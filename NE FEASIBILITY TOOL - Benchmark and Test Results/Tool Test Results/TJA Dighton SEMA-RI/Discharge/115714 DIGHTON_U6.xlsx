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frimpong\Documents\NE INTERCONNECTION TOOL\Tool Test Results\TJA Dighton SEMA-RI\Discharge\"/>
    </mc:Choice>
  </mc:AlternateContent>
  <xr:revisionPtr revIDLastSave="0" documentId="13_ncr:1_{5BBBFCB3-60ED-437A-BD54-D686B6D9A5F0}" xr6:coauthVersionLast="47" xr6:coauthVersionMax="47" xr10:uidLastSave="{00000000-0000-0000-0000-000000000000}"/>
  <bookViews>
    <workbookView xWindow="-110" yWindow="-110" windowWidth="19420" windowHeight="10420" activeTab="1" xr2:uid="{DA24631F-DEAE-4EA0-89BD-00F4CE8E3D7E}"/>
  </bookViews>
  <sheets>
    <sheet name="PRDcalc (2)" sheetId="2" r:id="rId1"/>
    <sheet name="PRDcalc" sheetId="1" r:id="rId2"/>
  </sheets>
  <definedNames>
    <definedName name="_xlnm._FilterDatabase" localSheetId="1" hidden="1">PRDcalc!$A$13:$V$714</definedName>
    <definedName name="_xlnm._FilterDatabase" localSheetId="0" hidden="1">'PRDcalc (2)'!$A$14:$X$715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15" i="2" l="1"/>
  <c r="J715" i="2"/>
  <c r="K714" i="2"/>
  <c r="J714" i="2"/>
  <c r="X714" i="2" s="1"/>
  <c r="K713" i="2"/>
  <c r="J713" i="2"/>
  <c r="K712" i="2"/>
  <c r="J712" i="2"/>
  <c r="K711" i="2"/>
  <c r="J711" i="2"/>
  <c r="X711" i="2" s="1"/>
  <c r="W710" i="2"/>
  <c r="V710" i="2"/>
  <c r="K710" i="2"/>
  <c r="J710" i="2"/>
  <c r="X710" i="2" s="1"/>
  <c r="K709" i="2"/>
  <c r="J709" i="2"/>
  <c r="K708" i="2"/>
  <c r="J708" i="2"/>
  <c r="K707" i="2"/>
  <c r="J707" i="2"/>
  <c r="X707" i="2" s="1"/>
  <c r="U706" i="2"/>
  <c r="K706" i="2"/>
  <c r="J706" i="2"/>
  <c r="X706" i="2" s="1"/>
  <c r="K705" i="2"/>
  <c r="J705" i="2"/>
  <c r="K704" i="2"/>
  <c r="J704" i="2"/>
  <c r="W703" i="2"/>
  <c r="K703" i="2"/>
  <c r="J703" i="2"/>
  <c r="X703" i="2" s="1"/>
  <c r="K702" i="2"/>
  <c r="J702" i="2"/>
  <c r="X702" i="2" s="1"/>
  <c r="K701" i="2"/>
  <c r="J701" i="2"/>
  <c r="K700" i="2"/>
  <c r="J700" i="2"/>
  <c r="K699" i="2"/>
  <c r="J699" i="2"/>
  <c r="X699" i="2" s="1"/>
  <c r="W698" i="2"/>
  <c r="V698" i="2"/>
  <c r="K698" i="2"/>
  <c r="J698" i="2"/>
  <c r="X698" i="2" s="1"/>
  <c r="K697" i="2"/>
  <c r="J697" i="2"/>
  <c r="K696" i="2"/>
  <c r="J696" i="2"/>
  <c r="X695" i="2"/>
  <c r="K695" i="2"/>
  <c r="J695" i="2"/>
  <c r="W695" i="2" s="1"/>
  <c r="K694" i="2"/>
  <c r="J694" i="2"/>
  <c r="K693" i="2"/>
  <c r="J693" i="2"/>
  <c r="K692" i="2"/>
  <c r="J692" i="2"/>
  <c r="K691" i="2"/>
  <c r="J691" i="2"/>
  <c r="K690" i="2"/>
  <c r="J690" i="2"/>
  <c r="X690" i="2" s="1"/>
  <c r="K689" i="2"/>
  <c r="J689" i="2"/>
  <c r="K688" i="2"/>
  <c r="J688" i="2"/>
  <c r="K687" i="2"/>
  <c r="J687" i="2"/>
  <c r="X687" i="2" s="1"/>
  <c r="U686" i="2"/>
  <c r="K686" i="2"/>
  <c r="J686" i="2"/>
  <c r="X686" i="2" s="1"/>
  <c r="K685" i="2"/>
  <c r="J685" i="2"/>
  <c r="K684" i="2"/>
  <c r="J684" i="2"/>
  <c r="X683" i="2"/>
  <c r="W683" i="2"/>
  <c r="K683" i="2"/>
  <c r="J683" i="2"/>
  <c r="K682" i="2"/>
  <c r="J682" i="2"/>
  <c r="X682" i="2" s="1"/>
  <c r="K681" i="2"/>
  <c r="J681" i="2"/>
  <c r="K680" i="2"/>
  <c r="J680" i="2"/>
  <c r="K679" i="2"/>
  <c r="J679" i="2"/>
  <c r="K678" i="2"/>
  <c r="J678" i="2"/>
  <c r="K677" i="2"/>
  <c r="J677" i="2"/>
  <c r="K676" i="2"/>
  <c r="J676" i="2"/>
  <c r="K675" i="2"/>
  <c r="J675" i="2"/>
  <c r="K674" i="2"/>
  <c r="J674" i="2"/>
  <c r="K673" i="2"/>
  <c r="J673" i="2"/>
  <c r="X672" i="2"/>
  <c r="K672" i="2"/>
  <c r="J672" i="2"/>
  <c r="X671" i="2"/>
  <c r="K671" i="2"/>
  <c r="J671" i="2"/>
  <c r="K670" i="2"/>
  <c r="J670" i="2"/>
  <c r="K669" i="2"/>
  <c r="J669" i="2"/>
  <c r="X668" i="2"/>
  <c r="K668" i="2"/>
  <c r="J668" i="2"/>
  <c r="K667" i="2"/>
  <c r="J667" i="2"/>
  <c r="K666" i="2"/>
  <c r="J666" i="2"/>
  <c r="K665" i="2"/>
  <c r="J665" i="2"/>
  <c r="X664" i="2"/>
  <c r="K664" i="2"/>
  <c r="J664" i="2"/>
  <c r="X663" i="2"/>
  <c r="K663" i="2"/>
  <c r="J663" i="2"/>
  <c r="K662" i="2"/>
  <c r="J662" i="2"/>
  <c r="K661" i="2"/>
  <c r="J661" i="2"/>
  <c r="X660" i="2"/>
  <c r="K660" i="2"/>
  <c r="J660" i="2"/>
  <c r="X659" i="2"/>
  <c r="K659" i="2"/>
  <c r="J659" i="2"/>
  <c r="T659" i="2" s="1"/>
  <c r="W658" i="2"/>
  <c r="V658" i="2"/>
  <c r="K658" i="2"/>
  <c r="J658" i="2"/>
  <c r="K657" i="2"/>
  <c r="J657" i="2"/>
  <c r="V657" i="2" s="1"/>
  <c r="K656" i="2"/>
  <c r="J656" i="2"/>
  <c r="K655" i="2"/>
  <c r="J655" i="2"/>
  <c r="V655" i="2" s="1"/>
  <c r="V654" i="2"/>
  <c r="U654" i="2"/>
  <c r="K654" i="2"/>
  <c r="J654" i="2"/>
  <c r="K653" i="2"/>
  <c r="J653" i="2"/>
  <c r="V653" i="2" s="1"/>
  <c r="K652" i="2"/>
  <c r="J652" i="2"/>
  <c r="K651" i="2"/>
  <c r="J651" i="2"/>
  <c r="V651" i="2" s="1"/>
  <c r="V650" i="2"/>
  <c r="U650" i="2"/>
  <c r="K650" i="2"/>
  <c r="J650" i="2"/>
  <c r="K649" i="2"/>
  <c r="J649" i="2"/>
  <c r="V649" i="2" s="1"/>
  <c r="K648" i="2"/>
  <c r="J648" i="2"/>
  <c r="K647" i="2"/>
  <c r="J647" i="2"/>
  <c r="U647" i="2" s="1"/>
  <c r="U646" i="2"/>
  <c r="K646" i="2"/>
  <c r="J646" i="2"/>
  <c r="V646" i="2" s="1"/>
  <c r="K645" i="2"/>
  <c r="J645" i="2"/>
  <c r="V645" i="2" s="1"/>
  <c r="K644" i="2"/>
  <c r="J644" i="2"/>
  <c r="T643" i="2"/>
  <c r="K643" i="2"/>
  <c r="J643" i="2"/>
  <c r="K642" i="2"/>
  <c r="J642" i="2"/>
  <c r="W642" i="2" s="1"/>
  <c r="K641" i="2"/>
  <c r="J641" i="2"/>
  <c r="K640" i="2"/>
  <c r="J640" i="2"/>
  <c r="W640" i="2" s="1"/>
  <c r="K639" i="2"/>
  <c r="J639" i="2"/>
  <c r="K638" i="2"/>
  <c r="J638" i="2"/>
  <c r="X638" i="2" s="1"/>
  <c r="K637" i="2"/>
  <c r="J637" i="2"/>
  <c r="K636" i="2"/>
  <c r="J636" i="2"/>
  <c r="K635" i="2"/>
  <c r="J635" i="2"/>
  <c r="X635" i="2" s="1"/>
  <c r="K634" i="2"/>
  <c r="J634" i="2"/>
  <c r="K633" i="2"/>
  <c r="J633" i="2"/>
  <c r="K632" i="2"/>
  <c r="J632" i="2"/>
  <c r="K631" i="2"/>
  <c r="J631" i="2"/>
  <c r="K630" i="2"/>
  <c r="J630" i="2"/>
  <c r="X630" i="2" s="1"/>
  <c r="K629" i="2"/>
  <c r="J629" i="2"/>
  <c r="K628" i="2"/>
  <c r="J628" i="2"/>
  <c r="K627" i="2"/>
  <c r="J627" i="2"/>
  <c r="X627" i="2" s="1"/>
  <c r="K626" i="2"/>
  <c r="J626" i="2"/>
  <c r="K625" i="2"/>
  <c r="J625" i="2"/>
  <c r="K624" i="2"/>
  <c r="J624" i="2"/>
  <c r="K623" i="2"/>
  <c r="J623" i="2"/>
  <c r="K622" i="2"/>
  <c r="J622" i="2"/>
  <c r="X622" i="2" s="1"/>
  <c r="K621" i="2"/>
  <c r="J621" i="2"/>
  <c r="K620" i="2"/>
  <c r="J620" i="2"/>
  <c r="K619" i="2"/>
  <c r="J619" i="2"/>
  <c r="X619" i="2" s="1"/>
  <c r="K618" i="2"/>
  <c r="J618" i="2"/>
  <c r="K617" i="2"/>
  <c r="J617" i="2"/>
  <c r="K616" i="2"/>
  <c r="J616" i="2"/>
  <c r="K615" i="2"/>
  <c r="J615" i="2"/>
  <c r="K614" i="2"/>
  <c r="J614" i="2"/>
  <c r="X614" i="2" s="1"/>
  <c r="K613" i="2"/>
  <c r="J613" i="2"/>
  <c r="K612" i="2"/>
  <c r="J612" i="2"/>
  <c r="I611" i="2"/>
  <c r="K611" i="2" s="1"/>
  <c r="K610" i="2"/>
  <c r="J610" i="2"/>
  <c r="W610" i="2" s="1"/>
  <c r="K609" i="2"/>
  <c r="J609" i="2"/>
  <c r="W608" i="2"/>
  <c r="V608" i="2"/>
  <c r="K608" i="2"/>
  <c r="J608" i="2"/>
  <c r="X608" i="2" s="1"/>
  <c r="K607" i="2"/>
  <c r="J607" i="2"/>
  <c r="K606" i="2"/>
  <c r="J606" i="2"/>
  <c r="K605" i="2"/>
  <c r="J605" i="2"/>
  <c r="W605" i="2" s="1"/>
  <c r="T604" i="2"/>
  <c r="K604" i="2"/>
  <c r="J604" i="2"/>
  <c r="X604" i="2" s="1"/>
  <c r="K603" i="2"/>
  <c r="J603" i="2"/>
  <c r="W602" i="2"/>
  <c r="K602" i="2"/>
  <c r="J602" i="2"/>
  <c r="U601" i="2"/>
  <c r="T601" i="2"/>
  <c r="K601" i="2"/>
  <c r="J601" i="2"/>
  <c r="X601" i="2" s="1"/>
  <c r="K600" i="2"/>
  <c r="J600" i="2"/>
  <c r="K599" i="2"/>
  <c r="J599" i="2"/>
  <c r="K598" i="2"/>
  <c r="J598" i="2"/>
  <c r="W598" i="2" s="1"/>
  <c r="K597" i="2"/>
  <c r="J597" i="2"/>
  <c r="V596" i="2"/>
  <c r="K596" i="2"/>
  <c r="J596" i="2"/>
  <c r="X596" i="2" s="1"/>
  <c r="K595" i="2"/>
  <c r="J595" i="2"/>
  <c r="V595" i="2" s="1"/>
  <c r="K594" i="2"/>
  <c r="J594" i="2"/>
  <c r="V593" i="2"/>
  <c r="K593" i="2"/>
  <c r="J593" i="2"/>
  <c r="X593" i="2" s="1"/>
  <c r="K592" i="2"/>
  <c r="J592" i="2"/>
  <c r="T591" i="2"/>
  <c r="K591" i="2"/>
  <c r="J591" i="2"/>
  <c r="V591" i="2" s="1"/>
  <c r="K590" i="2"/>
  <c r="J590" i="2"/>
  <c r="K589" i="2"/>
  <c r="J589" i="2"/>
  <c r="K588" i="2"/>
  <c r="J588" i="2"/>
  <c r="X588" i="2" s="1"/>
  <c r="K587" i="2"/>
  <c r="J587" i="2"/>
  <c r="W586" i="2"/>
  <c r="K586" i="2"/>
  <c r="J586" i="2"/>
  <c r="K585" i="2"/>
  <c r="J585" i="2"/>
  <c r="X585" i="2" s="1"/>
  <c r="K584" i="2"/>
  <c r="J584" i="2"/>
  <c r="U583" i="2"/>
  <c r="K583" i="2"/>
  <c r="J583" i="2"/>
  <c r="K582" i="2"/>
  <c r="J582" i="2"/>
  <c r="W582" i="2" s="1"/>
  <c r="K581" i="2"/>
  <c r="J581" i="2"/>
  <c r="K580" i="2"/>
  <c r="J580" i="2"/>
  <c r="X580" i="2" s="1"/>
  <c r="K579" i="2"/>
  <c r="J579" i="2"/>
  <c r="K578" i="2"/>
  <c r="J578" i="2"/>
  <c r="K577" i="2"/>
  <c r="J577" i="2"/>
  <c r="X577" i="2" s="1"/>
  <c r="W576" i="2"/>
  <c r="V576" i="2"/>
  <c r="K576" i="2"/>
  <c r="J576" i="2"/>
  <c r="X576" i="2" s="1"/>
  <c r="K575" i="2"/>
  <c r="J575" i="2"/>
  <c r="V575" i="2" s="1"/>
  <c r="W574" i="2"/>
  <c r="T574" i="2"/>
  <c r="K574" i="2"/>
  <c r="J574" i="2"/>
  <c r="K573" i="2"/>
  <c r="J573" i="2"/>
  <c r="X573" i="2" s="1"/>
  <c r="U572" i="2"/>
  <c r="T572" i="2"/>
  <c r="K572" i="2"/>
  <c r="J572" i="2"/>
  <c r="X572" i="2" s="1"/>
  <c r="K571" i="2"/>
  <c r="J571" i="2"/>
  <c r="K570" i="2"/>
  <c r="J570" i="2"/>
  <c r="W570" i="2" s="1"/>
  <c r="U569" i="2"/>
  <c r="T569" i="2"/>
  <c r="K569" i="2"/>
  <c r="J569" i="2"/>
  <c r="X569" i="2" s="1"/>
  <c r="K568" i="2"/>
  <c r="J568" i="2"/>
  <c r="K567" i="2"/>
  <c r="J567" i="2"/>
  <c r="U567" i="2" s="1"/>
  <c r="K566" i="2"/>
  <c r="J566" i="2"/>
  <c r="W566" i="2" s="1"/>
  <c r="K565" i="2"/>
  <c r="J565" i="2"/>
  <c r="V564" i="2"/>
  <c r="T564" i="2"/>
  <c r="K564" i="2"/>
  <c r="J564" i="2"/>
  <c r="X564" i="2" s="1"/>
  <c r="K563" i="2"/>
  <c r="J563" i="2"/>
  <c r="V563" i="2" s="1"/>
  <c r="K562" i="2"/>
  <c r="J562" i="2"/>
  <c r="K561" i="2"/>
  <c r="J561" i="2"/>
  <c r="X561" i="2" s="1"/>
  <c r="T560" i="2"/>
  <c r="K560" i="2"/>
  <c r="J560" i="2"/>
  <c r="X560" i="2" s="1"/>
  <c r="K559" i="2"/>
  <c r="J559" i="2"/>
  <c r="V559" i="2" s="1"/>
  <c r="T558" i="2"/>
  <c r="K558" i="2"/>
  <c r="J558" i="2"/>
  <c r="W558" i="2" s="1"/>
  <c r="K557" i="2"/>
  <c r="J557" i="2"/>
  <c r="X557" i="2" s="1"/>
  <c r="T556" i="2"/>
  <c r="K556" i="2"/>
  <c r="J556" i="2"/>
  <c r="X556" i="2" s="1"/>
  <c r="K555" i="2"/>
  <c r="J555" i="2"/>
  <c r="K554" i="2"/>
  <c r="J554" i="2"/>
  <c r="U553" i="2"/>
  <c r="K553" i="2"/>
  <c r="J553" i="2"/>
  <c r="X553" i="2" s="1"/>
  <c r="K552" i="2"/>
  <c r="J552" i="2"/>
  <c r="K551" i="2"/>
  <c r="J551" i="2"/>
  <c r="U551" i="2" s="1"/>
  <c r="K550" i="2"/>
  <c r="J550" i="2"/>
  <c r="W550" i="2" s="1"/>
  <c r="K549" i="2"/>
  <c r="J549" i="2"/>
  <c r="U548" i="2"/>
  <c r="K548" i="2"/>
  <c r="J548" i="2"/>
  <c r="W548" i="2" s="1"/>
  <c r="K547" i="2"/>
  <c r="J547" i="2"/>
  <c r="K546" i="2"/>
  <c r="J546" i="2"/>
  <c r="W546" i="2" s="1"/>
  <c r="V545" i="2"/>
  <c r="U545" i="2"/>
  <c r="K545" i="2"/>
  <c r="J545" i="2"/>
  <c r="T545" i="2" s="1"/>
  <c r="K544" i="2"/>
  <c r="J544" i="2"/>
  <c r="K543" i="2"/>
  <c r="J543" i="2"/>
  <c r="V542" i="2"/>
  <c r="K542" i="2"/>
  <c r="J542" i="2"/>
  <c r="W542" i="2" s="1"/>
  <c r="K541" i="2"/>
  <c r="J541" i="2"/>
  <c r="T540" i="2"/>
  <c r="K540" i="2"/>
  <c r="J540" i="2"/>
  <c r="U540" i="2" s="1"/>
  <c r="K539" i="2"/>
  <c r="J539" i="2"/>
  <c r="K538" i="2"/>
  <c r="J538" i="2"/>
  <c r="W538" i="2" s="1"/>
  <c r="V537" i="2"/>
  <c r="U537" i="2"/>
  <c r="K537" i="2"/>
  <c r="J537" i="2"/>
  <c r="T537" i="2" s="1"/>
  <c r="K536" i="2"/>
  <c r="J536" i="2"/>
  <c r="K535" i="2"/>
  <c r="J535" i="2"/>
  <c r="U534" i="2"/>
  <c r="K534" i="2"/>
  <c r="J534" i="2"/>
  <c r="W534" i="2" s="1"/>
  <c r="K533" i="2"/>
  <c r="J533" i="2"/>
  <c r="K532" i="2"/>
  <c r="J532" i="2"/>
  <c r="K531" i="2"/>
  <c r="J531" i="2"/>
  <c r="K530" i="2"/>
  <c r="J530" i="2"/>
  <c r="S530" i="2" s="1"/>
  <c r="K529" i="2"/>
  <c r="J529" i="2"/>
  <c r="K528" i="2"/>
  <c r="J528" i="2"/>
  <c r="K527" i="2"/>
  <c r="J527" i="2"/>
  <c r="S527" i="2" s="1"/>
  <c r="K526" i="2"/>
  <c r="J526" i="2"/>
  <c r="K525" i="2"/>
  <c r="J525" i="2"/>
  <c r="K524" i="2"/>
  <c r="J524" i="2"/>
  <c r="S524" i="2" s="1"/>
  <c r="K523" i="2"/>
  <c r="J523" i="2"/>
  <c r="W522" i="2"/>
  <c r="K522" i="2"/>
  <c r="J522" i="2"/>
  <c r="S522" i="2" s="1"/>
  <c r="K521" i="2"/>
  <c r="J521" i="2"/>
  <c r="K520" i="2"/>
  <c r="J520" i="2"/>
  <c r="S520" i="2" s="1"/>
  <c r="U519" i="2"/>
  <c r="T519" i="2"/>
  <c r="K519" i="2"/>
  <c r="J519" i="2"/>
  <c r="W519" i="2" s="1"/>
  <c r="K518" i="2"/>
  <c r="J518" i="2"/>
  <c r="S518" i="2" s="1"/>
  <c r="U517" i="2"/>
  <c r="K517" i="2"/>
  <c r="J517" i="2"/>
  <c r="S517" i="2" s="1"/>
  <c r="K516" i="2"/>
  <c r="J516" i="2"/>
  <c r="K515" i="2"/>
  <c r="J515" i="2"/>
  <c r="K514" i="2"/>
  <c r="J514" i="2"/>
  <c r="K513" i="2"/>
  <c r="J513" i="2"/>
  <c r="K512" i="2"/>
  <c r="J512" i="2"/>
  <c r="W511" i="2"/>
  <c r="K511" i="2"/>
  <c r="J511" i="2"/>
  <c r="S511" i="2" s="1"/>
  <c r="T510" i="2"/>
  <c r="K510" i="2"/>
  <c r="J510" i="2"/>
  <c r="S510" i="2" s="1"/>
  <c r="K509" i="2"/>
  <c r="J509" i="2"/>
  <c r="K508" i="2"/>
  <c r="J508" i="2"/>
  <c r="T508" i="2" s="1"/>
  <c r="X507" i="2"/>
  <c r="W507" i="2"/>
  <c r="K507" i="2"/>
  <c r="J507" i="2"/>
  <c r="S507" i="2" s="1"/>
  <c r="K506" i="2"/>
  <c r="J506" i="2"/>
  <c r="X506" i="2" s="1"/>
  <c r="X505" i="2"/>
  <c r="W505" i="2"/>
  <c r="K505" i="2"/>
  <c r="J505" i="2"/>
  <c r="S505" i="2" s="1"/>
  <c r="W504" i="2"/>
  <c r="V504" i="2"/>
  <c r="K504" i="2"/>
  <c r="J504" i="2"/>
  <c r="S504" i="2" s="1"/>
  <c r="U503" i="2"/>
  <c r="T503" i="2"/>
  <c r="K503" i="2"/>
  <c r="J503" i="2"/>
  <c r="S503" i="2" s="1"/>
  <c r="K502" i="2"/>
  <c r="J502" i="2"/>
  <c r="V502" i="2" s="1"/>
  <c r="K501" i="2"/>
  <c r="J501" i="2"/>
  <c r="K500" i="2"/>
  <c r="J500" i="2"/>
  <c r="X500" i="2" s="1"/>
  <c r="T499" i="2"/>
  <c r="K499" i="2"/>
  <c r="J499" i="2"/>
  <c r="S499" i="2" s="1"/>
  <c r="K498" i="2"/>
  <c r="J498" i="2"/>
  <c r="X498" i="2" s="1"/>
  <c r="K497" i="2"/>
  <c r="J497" i="2"/>
  <c r="K496" i="2"/>
  <c r="J496" i="2"/>
  <c r="K495" i="2"/>
  <c r="J495" i="2"/>
  <c r="K494" i="2"/>
  <c r="J494" i="2"/>
  <c r="K493" i="2"/>
  <c r="J493" i="2"/>
  <c r="T492" i="2"/>
  <c r="K492" i="2"/>
  <c r="J492" i="2"/>
  <c r="K491" i="2"/>
  <c r="J491" i="2"/>
  <c r="K490" i="2"/>
  <c r="J490" i="2"/>
  <c r="K489" i="2"/>
  <c r="J489" i="2"/>
  <c r="K488" i="2"/>
  <c r="J488" i="2"/>
  <c r="S488" i="2" s="1"/>
  <c r="V487" i="2"/>
  <c r="T487" i="2"/>
  <c r="K487" i="2"/>
  <c r="J487" i="2"/>
  <c r="K486" i="2"/>
  <c r="J486" i="2"/>
  <c r="K485" i="2"/>
  <c r="J485" i="2"/>
  <c r="K484" i="2"/>
  <c r="J484" i="2"/>
  <c r="S484" i="2" s="1"/>
  <c r="V483" i="2"/>
  <c r="K483" i="2"/>
  <c r="J483" i="2"/>
  <c r="X483" i="2" s="1"/>
  <c r="K482" i="2"/>
  <c r="J482" i="2"/>
  <c r="K481" i="2"/>
  <c r="J481" i="2"/>
  <c r="W480" i="2"/>
  <c r="K480" i="2"/>
  <c r="J480" i="2"/>
  <c r="S480" i="2" s="1"/>
  <c r="T479" i="2"/>
  <c r="K479" i="2"/>
  <c r="J479" i="2"/>
  <c r="V479" i="2" s="1"/>
  <c r="K478" i="2"/>
  <c r="J478" i="2"/>
  <c r="K477" i="2"/>
  <c r="J477" i="2"/>
  <c r="X476" i="2"/>
  <c r="K476" i="2"/>
  <c r="J476" i="2"/>
  <c r="S476" i="2" s="1"/>
  <c r="K475" i="2"/>
  <c r="J475" i="2"/>
  <c r="K474" i="2"/>
  <c r="J474" i="2"/>
  <c r="X473" i="2"/>
  <c r="K473" i="2"/>
  <c r="J473" i="2"/>
  <c r="S473" i="2" s="1"/>
  <c r="W472" i="2"/>
  <c r="V472" i="2"/>
  <c r="K472" i="2"/>
  <c r="J472" i="2"/>
  <c r="S472" i="2" s="1"/>
  <c r="K471" i="2"/>
  <c r="J471" i="2"/>
  <c r="K470" i="2"/>
  <c r="J470" i="2"/>
  <c r="X469" i="2"/>
  <c r="T469" i="2"/>
  <c r="K469" i="2"/>
  <c r="J469" i="2"/>
  <c r="X468" i="2"/>
  <c r="W468" i="2"/>
  <c r="K468" i="2"/>
  <c r="J468" i="2"/>
  <c r="S468" i="2" s="1"/>
  <c r="K467" i="2"/>
  <c r="J467" i="2"/>
  <c r="X466" i="2"/>
  <c r="V466" i="2"/>
  <c r="K466" i="2"/>
  <c r="J466" i="2"/>
  <c r="S466" i="2" s="1"/>
  <c r="X465" i="2"/>
  <c r="W465" i="2"/>
  <c r="K465" i="2"/>
  <c r="J465" i="2"/>
  <c r="S465" i="2" s="1"/>
  <c r="V464" i="2"/>
  <c r="U464" i="2"/>
  <c r="K464" i="2"/>
  <c r="J464" i="2"/>
  <c r="S464" i="2" s="1"/>
  <c r="K463" i="2"/>
  <c r="J463" i="2"/>
  <c r="K462" i="2"/>
  <c r="J462" i="2"/>
  <c r="K461" i="2"/>
  <c r="J461" i="2"/>
  <c r="X461" i="2" s="1"/>
  <c r="W460" i="2"/>
  <c r="K460" i="2"/>
  <c r="J460" i="2"/>
  <c r="S460" i="2" s="1"/>
  <c r="K459" i="2"/>
  <c r="J459" i="2"/>
  <c r="X459" i="2" s="1"/>
  <c r="X458" i="2"/>
  <c r="W458" i="2"/>
  <c r="V458" i="2"/>
  <c r="K458" i="2"/>
  <c r="J458" i="2"/>
  <c r="S458" i="2" s="1"/>
  <c r="V457" i="2"/>
  <c r="U457" i="2"/>
  <c r="K457" i="2"/>
  <c r="J457" i="2"/>
  <c r="S457" i="2" s="1"/>
  <c r="K456" i="2"/>
  <c r="J456" i="2"/>
  <c r="V456" i="2" s="1"/>
  <c r="K455" i="2"/>
  <c r="J455" i="2"/>
  <c r="K454" i="2"/>
  <c r="J454" i="2"/>
  <c r="U454" i="2" s="1"/>
  <c r="K453" i="2"/>
  <c r="J453" i="2"/>
  <c r="U452" i="2"/>
  <c r="S452" i="2"/>
  <c r="K452" i="2"/>
  <c r="J452" i="2"/>
  <c r="K451" i="2"/>
  <c r="J451" i="2"/>
  <c r="K450" i="2"/>
  <c r="J450" i="2"/>
  <c r="K449" i="2"/>
  <c r="J449" i="2"/>
  <c r="K448" i="2"/>
  <c r="J448" i="2"/>
  <c r="U448" i="2" s="1"/>
  <c r="K447" i="2"/>
  <c r="J447" i="2"/>
  <c r="K446" i="2"/>
  <c r="J446" i="2"/>
  <c r="U446" i="2" s="1"/>
  <c r="K445" i="2"/>
  <c r="J445" i="2"/>
  <c r="U444" i="2"/>
  <c r="S444" i="2"/>
  <c r="K444" i="2"/>
  <c r="J444" i="2"/>
  <c r="K443" i="2"/>
  <c r="J443" i="2"/>
  <c r="K442" i="2"/>
  <c r="J442" i="2"/>
  <c r="K441" i="2"/>
  <c r="J441" i="2"/>
  <c r="K440" i="2"/>
  <c r="J440" i="2"/>
  <c r="U440" i="2" s="1"/>
  <c r="K439" i="2"/>
  <c r="J439" i="2"/>
  <c r="K438" i="2"/>
  <c r="J438" i="2"/>
  <c r="U438" i="2" s="1"/>
  <c r="K437" i="2"/>
  <c r="J437" i="2"/>
  <c r="U436" i="2"/>
  <c r="S436" i="2"/>
  <c r="K436" i="2"/>
  <c r="J436" i="2"/>
  <c r="K435" i="2"/>
  <c r="J435" i="2"/>
  <c r="K434" i="2"/>
  <c r="J434" i="2"/>
  <c r="K433" i="2"/>
  <c r="J433" i="2"/>
  <c r="K432" i="2"/>
  <c r="J432" i="2"/>
  <c r="U432" i="2" s="1"/>
  <c r="K431" i="2"/>
  <c r="J431" i="2"/>
  <c r="K430" i="2"/>
  <c r="J430" i="2"/>
  <c r="U430" i="2" s="1"/>
  <c r="K429" i="2"/>
  <c r="J429" i="2"/>
  <c r="U428" i="2"/>
  <c r="S428" i="2"/>
  <c r="K428" i="2"/>
  <c r="J428" i="2"/>
  <c r="K427" i="2"/>
  <c r="J427" i="2"/>
  <c r="K426" i="2"/>
  <c r="J426" i="2"/>
  <c r="K425" i="2"/>
  <c r="J425" i="2"/>
  <c r="K424" i="2"/>
  <c r="J424" i="2"/>
  <c r="U424" i="2" s="1"/>
  <c r="K423" i="2"/>
  <c r="J423" i="2"/>
  <c r="K422" i="2"/>
  <c r="J422" i="2"/>
  <c r="U422" i="2" s="1"/>
  <c r="K421" i="2"/>
  <c r="J421" i="2"/>
  <c r="U420" i="2"/>
  <c r="S420" i="2"/>
  <c r="K420" i="2"/>
  <c r="J420" i="2"/>
  <c r="K419" i="2"/>
  <c r="J419" i="2"/>
  <c r="K418" i="2"/>
  <c r="J418" i="2"/>
  <c r="K417" i="2"/>
  <c r="J417" i="2"/>
  <c r="K416" i="2"/>
  <c r="J416" i="2"/>
  <c r="U416" i="2" s="1"/>
  <c r="K415" i="2"/>
  <c r="J415" i="2"/>
  <c r="K414" i="2"/>
  <c r="J414" i="2"/>
  <c r="U414" i="2" s="1"/>
  <c r="K413" i="2"/>
  <c r="J413" i="2"/>
  <c r="U412" i="2"/>
  <c r="S412" i="2"/>
  <c r="K412" i="2"/>
  <c r="J412" i="2"/>
  <c r="K411" i="2"/>
  <c r="J411" i="2"/>
  <c r="S410" i="2"/>
  <c r="K410" i="2"/>
  <c r="J410" i="2"/>
  <c r="W410" i="2" s="1"/>
  <c r="K409" i="2"/>
  <c r="J409" i="2"/>
  <c r="K408" i="2"/>
  <c r="J408" i="2"/>
  <c r="X407" i="2"/>
  <c r="K407" i="2"/>
  <c r="J407" i="2"/>
  <c r="T407" i="2" s="1"/>
  <c r="V406" i="2"/>
  <c r="T406" i="2"/>
  <c r="S406" i="2"/>
  <c r="K406" i="2"/>
  <c r="J406" i="2"/>
  <c r="X406" i="2" s="1"/>
  <c r="S405" i="2"/>
  <c r="K405" i="2"/>
  <c r="J405" i="2"/>
  <c r="X405" i="2" s="1"/>
  <c r="K404" i="2"/>
  <c r="J404" i="2"/>
  <c r="K403" i="2"/>
  <c r="J403" i="2"/>
  <c r="W402" i="2"/>
  <c r="K402" i="2"/>
  <c r="J402" i="2"/>
  <c r="X402" i="2" s="1"/>
  <c r="V401" i="2"/>
  <c r="T401" i="2"/>
  <c r="K401" i="2"/>
  <c r="J401" i="2"/>
  <c r="X401" i="2" s="1"/>
  <c r="K400" i="2"/>
  <c r="J400" i="2"/>
  <c r="K399" i="2"/>
  <c r="J399" i="2"/>
  <c r="K398" i="2"/>
  <c r="J398" i="2"/>
  <c r="X398" i="2" s="1"/>
  <c r="W397" i="2"/>
  <c r="V397" i="2"/>
  <c r="S397" i="2"/>
  <c r="K397" i="2"/>
  <c r="J397" i="2"/>
  <c r="K396" i="2"/>
  <c r="J396" i="2"/>
  <c r="K395" i="2"/>
  <c r="J395" i="2"/>
  <c r="W394" i="2"/>
  <c r="K394" i="2"/>
  <c r="J394" i="2"/>
  <c r="X394" i="2" s="1"/>
  <c r="W393" i="2"/>
  <c r="V393" i="2"/>
  <c r="T393" i="2"/>
  <c r="K393" i="2"/>
  <c r="J393" i="2"/>
  <c r="X393" i="2" s="1"/>
  <c r="K392" i="2"/>
  <c r="J392" i="2"/>
  <c r="K391" i="2"/>
  <c r="J391" i="2"/>
  <c r="S390" i="2"/>
  <c r="K390" i="2"/>
  <c r="J390" i="2"/>
  <c r="X390" i="2" s="1"/>
  <c r="V389" i="2"/>
  <c r="T389" i="2"/>
  <c r="K389" i="2"/>
  <c r="J389" i="2"/>
  <c r="X389" i="2" s="1"/>
  <c r="K388" i="2"/>
  <c r="J388" i="2"/>
  <c r="K387" i="2"/>
  <c r="J387" i="2"/>
  <c r="S386" i="2"/>
  <c r="K386" i="2"/>
  <c r="J386" i="2"/>
  <c r="X386" i="2" s="1"/>
  <c r="V385" i="2"/>
  <c r="T385" i="2"/>
  <c r="K385" i="2"/>
  <c r="J385" i="2"/>
  <c r="X385" i="2" s="1"/>
  <c r="K384" i="2"/>
  <c r="J384" i="2"/>
  <c r="K383" i="2"/>
  <c r="J383" i="2"/>
  <c r="S382" i="2"/>
  <c r="K382" i="2"/>
  <c r="J382" i="2"/>
  <c r="X382" i="2" s="1"/>
  <c r="V381" i="2"/>
  <c r="T381" i="2"/>
  <c r="K381" i="2"/>
  <c r="J381" i="2"/>
  <c r="X381" i="2" s="1"/>
  <c r="K380" i="2"/>
  <c r="J380" i="2"/>
  <c r="K379" i="2"/>
  <c r="J379" i="2"/>
  <c r="S378" i="2"/>
  <c r="K378" i="2"/>
  <c r="J378" i="2"/>
  <c r="X378" i="2" s="1"/>
  <c r="V377" i="2"/>
  <c r="T377" i="2"/>
  <c r="K377" i="2"/>
  <c r="J377" i="2"/>
  <c r="X377" i="2" s="1"/>
  <c r="K376" i="2"/>
  <c r="J376" i="2"/>
  <c r="K375" i="2"/>
  <c r="J375" i="2"/>
  <c r="S374" i="2"/>
  <c r="K374" i="2"/>
  <c r="J374" i="2"/>
  <c r="X374" i="2" s="1"/>
  <c r="V373" i="2"/>
  <c r="T373" i="2"/>
  <c r="K373" i="2"/>
  <c r="J373" i="2"/>
  <c r="X373" i="2" s="1"/>
  <c r="K372" i="2"/>
  <c r="J372" i="2"/>
  <c r="K371" i="2"/>
  <c r="J371" i="2"/>
  <c r="S370" i="2"/>
  <c r="K370" i="2"/>
  <c r="J370" i="2"/>
  <c r="X370" i="2" s="1"/>
  <c r="V369" i="2"/>
  <c r="T369" i="2"/>
  <c r="K369" i="2"/>
  <c r="J369" i="2"/>
  <c r="X369" i="2" s="1"/>
  <c r="K368" i="2"/>
  <c r="J368" i="2"/>
  <c r="K367" i="2"/>
  <c r="J367" i="2"/>
  <c r="S366" i="2"/>
  <c r="K366" i="2"/>
  <c r="J366" i="2"/>
  <c r="X366" i="2" s="1"/>
  <c r="V365" i="2"/>
  <c r="T365" i="2"/>
  <c r="K365" i="2"/>
  <c r="J365" i="2"/>
  <c r="X365" i="2" s="1"/>
  <c r="K364" i="2"/>
  <c r="J364" i="2"/>
  <c r="K363" i="2"/>
  <c r="J363" i="2"/>
  <c r="S362" i="2"/>
  <c r="K362" i="2"/>
  <c r="J362" i="2"/>
  <c r="X362" i="2" s="1"/>
  <c r="V361" i="2"/>
  <c r="T361" i="2"/>
  <c r="K361" i="2"/>
  <c r="J361" i="2"/>
  <c r="X361" i="2" s="1"/>
  <c r="K360" i="2"/>
  <c r="J360" i="2"/>
  <c r="K359" i="2"/>
  <c r="J359" i="2"/>
  <c r="S358" i="2"/>
  <c r="K358" i="2"/>
  <c r="J358" i="2"/>
  <c r="X358" i="2" s="1"/>
  <c r="V357" i="2"/>
  <c r="T357" i="2"/>
  <c r="K357" i="2"/>
  <c r="J357" i="2"/>
  <c r="X357" i="2" s="1"/>
  <c r="K356" i="2"/>
  <c r="J356" i="2"/>
  <c r="K355" i="2"/>
  <c r="J355" i="2"/>
  <c r="S354" i="2"/>
  <c r="K354" i="2"/>
  <c r="J354" i="2"/>
  <c r="X354" i="2" s="1"/>
  <c r="V353" i="2"/>
  <c r="T353" i="2"/>
  <c r="K353" i="2"/>
  <c r="J353" i="2"/>
  <c r="X353" i="2" s="1"/>
  <c r="K352" i="2"/>
  <c r="J352" i="2"/>
  <c r="K351" i="2"/>
  <c r="J351" i="2"/>
  <c r="S350" i="2"/>
  <c r="K350" i="2"/>
  <c r="J350" i="2"/>
  <c r="X350" i="2" s="1"/>
  <c r="V349" i="2"/>
  <c r="T349" i="2"/>
  <c r="K349" i="2"/>
  <c r="J349" i="2"/>
  <c r="X349" i="2" s="1"/>
  <c r="K348" i="2"/>
  <c r="J348" i="2"/>
  <c r="K347" i="2"/>
  <c r="J347" i="2"/>
  <c r="S346" i="2"/>
  <c r="K346" i="2"/>
  <c r="J346" i="2"/>
  <c r="X346" i="2" s="1"/>
  <c r="V345" i="2"/>
  <c r="T345" i="2"/>
  <c r="K345" i="2"/>
  <c r="J345" i="2"/>
  <c r="X345" i="2" s="1"/>
  <c r="K344" i="2"/>
  <c r="J344" i="2"/>
  <c r="K343" i="2"/>
  <c r="J343" i="2"/>
  <c r="S342" i="2"/>
  <c r="K342" i="2"/>
  <c r="J342" i="2"/>
  <c r="X342" i="2" s="1"/>
  <c r="V341" i="2"/>
  <c r="T341" i="2"/>
  <c r="K341" i="2"/>
  <c r="J341" i="2"/>
  <c r="X341" i="2" s="1"/>
  <c r="K340" i="2"/>
  <c r="J340" i="2"/>
  <c r="V340" i="2" s="1"/>
  <c r="W339" i="2"/>
  <c r="V339" i="2"/>
  <c r="T339" i="2"/>
  <c r="K339" i="2"/>
  <c r="J339" i="2"/>
  <c r="S339" i="2" s="1"/>
  <c r="K338" i="2"/>
  <c r="J338" i="2"/>
  <c r="K337" i="2"/>
  <c r="J337" i="2"/>
  <c r="W337" i="2" s="1"/>
  <c r="T336" i="2"/>
  <c r="K336" i="2"/>
  <c r="J336" i="2"/>
  <c r="V336" i="2" s="1"/>
  <c r="K335" i="2"/>
  <c r="J335" i="2"/>
  <c r="K334" i="2"/>
  <c r="J334" i="2"/>
  <c r="V334" i="2" s="1"/>
  <c r="K333" i="2"/>
  <c r="J333" i="2"/>
  <c r="T333" i="2" s="1"/>
  <c r="K332" i="2"/>
  <c r="J332" i="2"/>
  <c r="V332" i="2" s="1"/>
  <c r="K331" i="2"/>
  <c r="J331" i="2"/>
  <c r="T331" i="2" s="1"/>
  <c r="K330" i="2"/>
  <c r="J330" i="2"/>
  <c r="V330" i="2" s="1"/>
  <c r="K329" i="2"/>
  <c r="J329" i="2"/>
  <c r="W329" i="2" s="1"/>
  <c r="W328" i="2"/>
  <c r="T328" i="2"/>
  <c r="K328" i="2"/>
  <c r="J328" i="2"/>
  <c r="V328" i="2" s="1"/>
  <c r="K327" i="2"/>
  <c r="J327" i="2"/>
  <c r="K326" i="2"/>
  <c r="J326" i="2"/>
  <c r="W325" i="2"/>
  <c r="K325" i="2"/>
  <c r="J325" i="2"/>
  <c r="T325" i="2" s="1"/>
  <c r="K324" i="2"/>
  <c r="J324" i="2"/>
  <c r="V324" i="2" s="1"/>
  <c r="W323" i="2"/>
  <c r="V323" i="2"/>
  <c r="T323" i="2"/>
  <c r="K323" i="2"/>
  <c r="J323" i="2"/>
  <c r="S323" i="2" s="1"/>
  <c r="V322" i="2"/>
  <c r="K322" i="2"/>
  <c r="J322" i="2"/>
  <c r="K321" i="2"/>
  <c r="J321" i="2"/>
  <c r="K320" i="2"/>
  <c r="J320" i="2"/>
  <c r="K319" i="2"/>
  <c r="J319" i="2"/>
  <c r="X318" i="2"/>
  <c r="K318" i="2"/>
  <c r="J318" i="2"/>
  <c r="W318" i="2" s="1"/>
  <c r="X317" i="2"/>
  <c r="U317" i="2"/>
  <c r="T317" i="2"/>
  <c r="K317" i="2"/>
  <c r="J317" i="2"/>
  <c r="W317" i="2" s="1"/>
  <c r="K316" i="2"/>
  <c r="J316" i="2"/>
  <c r="U316" i="2" s="1"/>
  <c r="S315" i="2"/>
  <c r="K315" i="2"/>
  <c r="J315" i="2"/>
  <c r="W315" i="2" s="1"/>
  <c r="U314" i="2"/>
  <c r="T314" i="2"/>
  <c r="K314" i="2"/>
  <c r="J314" i="2"/>
  <c r="W314" i="2" s="1"/>
  <c r="K313" i="2"/>
  <c r="J313" i="2"/>
  <c r="K312" i="2"/>
  <c r="J312" i="2"/>
  <c r="X311" i="2"/>
  <c r="K311" i="2"/>
  <c r="J311" i="2"/>
  <c r="W311" i="2" s="1"/>
  <c r="X310" i="2"/>
  <c r="K310" i="2"/>
  <c r="J310" i="2"/>
  <c r="T309" i="2"/>
  <c r="K309" i="2"/>
  <c r="J309" i="2"/>
  <c r="W309" i="2" s="1"/>
  <c r="X308" i="2"/>
  <c r="V308" i="2"/>
  <c r="K308" i="2"/>
  <c r="J308" i="2"/>
  <c r="W308" i="2" s="1"/>
  <c r="V307" i="2"/>
  <c r="U307" i="2"/>
  <c r="T307" i="2"/>
  <c r="K307" i="2"/>
  <c r="J307" i="2"/>
  <c r="W307" i="2" s="1"/>
  <c r="K305" i="2"/>
  <c r="J305" i="2"/>
  <c r="K304" i="2"/>
  <c r="J304" i="2"/>
  <c r="K303" i="2"/>
  <c r="J303" i="2"/>
  <c r="W303" i="2" s="1"/>
  <c r="K302" i="2"/>
  <c r="J302" i="2"/>
  <c r="W302" i="2" s="1"/>
  <c r="K301" i="2"/>
  <c r="J301" i="2"/>
  <c r="W301" i="2" s="1"/>
  <c r="K300" i="2"/>
  <c r="J300" i="2"/>
  <c r="K299" i="2"/>
  <c r="J299" i="2"/>
  <c r="U299" i="2" s="1"/>
  <c r="K298" i="2"/>
  <c r="J298" i="2"/>
  <c r="K297" i="2"/>
  <c r="J297" i="2"/>
  <c r="K296" i="2"/>
  <c r="J296" i="2"/>
  <c r="U295" i="2"/>
  <c r="K295" i="2"/>
  <c r="J295" i="2"/>
  <c r="W295" i="2" s="1"/>
  <c r="K294" i="2"/>
  <c r="J294" i="2"/>
  <c r="W294" i="2" s="1"/>
  <c r="K293" i="2"/>
  <c r="J293" i="2"/>
  <c r="K292" i="2"/>
  <c r="J292" i="2"/>
  <c r="W292" i="2" s="1"/>
  <c r="K291" i="2"/>
  <c r="J291" i="2"/>
  <c r="W291" i="2" s="1"/>
  <c r="K290" i="2"/>
  <c r="J290" i="2"/>
  <c r="W290" i="2" s="1"/>
  <c r="K289" i="2"/>
  <c r="J289" i="2"/>
  <c r="K288" i="2"/>
  <c r="J288" i="2"/>
  <c r="W288" i="2" s="1"/>
  <c r="K287" i="2"/>
  <c r="J287" i="2"/>
  <c r="W287" i="2" s="1"/>
  <c r="K286" i="2"/>
  <c r="J286" i="2"/>
  <c r="K285" i="2"/>
  <c r="J285" i="2"/>
  <c r="W285" i="2" s="1"/>
  <c r="K284" i="2"/>
  <c r="J284" i="2"/>
  <c r="K283" i="2"/>
  <c r="J283" i="2"/>
  <c r="K282" i="2"/>
  <c r="J282" i="2"/>
  <c r="W282" i="2" s="1"/>
  <c r="K281" i="2"/>
  <c r="J281" i="2"/>
  <c r="W281" i="2" s="1"/>
  <c r="K280" i="2"/>
  <c r="J280" i="2"/>
  <c r="W279" i="2"/>
  <c r="K279" i="2"/>
  <c r="J279" i="2"/>
  <c r="U279" i="2" s="1"/>
  <c r="K278" i="2"/>
  <c r="J278" i="2"/>
  <c r="K277" i="2"/>
  <c r="J277" i="2"/>
  <c r="K276" i="2"/>
  <c r="J276" i="2"/>
  <c r="U275" i="2"/>
  <c r="K275" i="2"/>
  <c r="J275" i="2"/>
  <c r="W275" i="2" s="1"/>
  <c r="K274" i="2"/>
  <c r="J274" i="2"/>
  <c r="W274" i="2" s="1"/>
  <c r="K273" i="2"/>
  <c r="J273" i="2"/>
  <c r="K272" i="2"/>
  <c r="J272" i="2"/>
  <c r="W272" i="2" s="1"/>
  <c r="K271" i="2"/>
  <c r="J271" i="2"/>
  <c r="W271" i="2" s="1"/>
  <c r="K270" i="2"/>
  <c r="J270" i="2"/>
  <c r="W270" i="2" s="1"/>
  <c r="K269" i="2"/>
  <c r="J269" i="2"/>
  <c r="W269" i="2" s="1"/>
  <c r="K268" i="2"/>
  <c r="J268" i="2"/>
  <c r="K267" i="2"/>
  <c r="J267" i="2"/>
  <c r="U267" i="2" s="1"/>
  <c r="K266" i="2"/>
  <c r="J266" i="2"/>
  <c r="W266" i="2" s="1"/>
  <c r="K265" i="2"/>
  <c r="J265" i="2"/>
  <c r="K264" i="2"/>
  <c r="J264" i="2"/>
  <c r="K263" i="2"/>
  <c r="J263" i="2"/>
  <c r="K262" i="2"/>
  <c r="J262" i="2"/>
  <c r="K261" i="2"/>
  <c r="J261" i="2"/>
  <c r="K260" i="2"/>
  <c r="J260" i="2"/>
  <c r="K259" i="2"/>
  <c r="J259" i="2"/>
  <c r="U259" i="2" s="1"/>
  <c r="S258" i="2"/>
  <c r="K258" i="2"/>
  <c r="J258" i="2"/>
  <c r="W258" i="2" s="1"/>
  <c r="S257" i="2"/>
  <c r="K257" i="2"/>
  <c r="J257" i="2"/>
  <c r="W257" i="2" s="1"/>
  <c r="K256" i="2"/>
  <c r="J256" i="2"/>
  <c r="W256" i="2" s="1"/>
  <c r="K255" i="2"/>
  <c r="J255" i="2"/>
  <c r="T255" i="2" s="1"/>
  <c r="U254" i="2"/>
  <c r="K254" i="2"/>
  <c r="J254" i="2"/>
  <c r="W253" i="2"/>
  <c r="K253" i="2"/>
  <c r="J253" i="2"/>
  <c r="K252" i="2"/>
  <c r="J252" i="2"/>
  <c r="T252" i="2" s="1"/>
  <c r="K251" i="2"/>
  <c r="J251" i="2"/>
  <c r="T251" i="2" s="1"/>
  <c r="K250" i="2"/>
  <c r="J250" i="2"/>
  <c r="W250" i="2" s="1"/>
  <c r="W249" i="2"/>
  <c r="K249" i="2"/>
  <c r="J249" i="2"/>
  <c r="K248" i="2"/>
  <c r="J248" i="2"/>
  <c r="W248" i="2" s="1"/>
  <c r="K247" i="2"/>
  <c r="J247" i="2"/>
  <c r="T247" i="2" s="1"/>
  <c r="K246" i="2"/>
  <c r="J246" i="2"/>
  <c r="K245" i="2"/>
  <c r="J245" i="2"/>
  <c r="W245" i="2" s="1"/>
  <c r="K244" i="2"/>
  <c r="J244" i="2"/>
  <c r="W244" i="2" s="1"/>
  <c r="K243" i="2"/>
  <c r="J243" i="2"/>
  <c r="K242" i="2"/>
  <c r="J242" i="2"/>
  <c r="W242" i="2" s="1"/>
  <c r="W241" i="2"/>
  <c r="K241" i="2"/>
  <c r="J241" i="2"/>
  <c r="K240" i="2"/>
  <c r="J240" i="2"/>
  <c r="W240" i="2" s="1"/>
  <c r="K239" i="2"/>
  <c r="J239" i="2"/>
  <c r="U238" i="2"/>
  <c r="S238" i="2"/>
  <c r="K238" i="2"/>
  <c r="J238" i="2"/>
  <c r="W238" i="2" s="1"/>
  <c r="K237" i="2"/>
  <c r="J237" i="2"/>
  <c r="W236" i="2"/>
  <c r="K236" i="2"/>
  <c r="J236" i="2"/>
  <c r="T236" i="2" s="1"/>
  <c r="T235" i="2"/>
  <c r="K235" i="2"/>
  <c r="J235" i="2"/>
  <c r="K234" i="2"/>
  <c r="J234" i="2"/>
  <c r="W234" i="2" s="1"/>
  <c r="K233" i="2"/>
  <c r="J233" i="2"/>
  <c r="W233" i="2" s="1"/>
  <c r="K232" i="2"/>
  <c r="J232" i="2"/>
  <c r="W232" i="2" s="1"/>
  <c r="K231" i="2"/>
  <c r="J231" i="2"/>
  <c r="T231" i="2" s="1"/>
  <c r="K230" i="2"/>
  <c r="J230" i="2"/>
  <c r="W229" i="2"/>
  <c r="S229" i="2"/>
  <c r="K229" i="2"/>
  <c r="J229" i="2"/>
  <c r="U229" i="2" s="1"/>
  <c r="K228" i="2"/>
  <c r="J228" i="2"/>
  <c r="W228" i="2" s="1"/>
  <c r="W227" i="2"/>
  <c r="T227" i="2"/>
  <c r="S227" i="2"/>
  <c r="K227" i="2"/>
  <c r="J227" i="2"/>
  <c r="X227" i="2" s="1"/>
  <c r="V226" i="2"/>
  <c r="K226" i="2"/>
  <c r="J226" i="2"/>
  <c r="X225" i="2"/>
  <c r="K225" i="2"/>
  <c r="J225" i="2"/>
  <c r="U225" i="2" s="1"/>
  <c r="X224" i="2"/>
  <c r="W224" i="2"/>
  <c r="V224" i="2"/>
  <c r="K224" i="2"/>
  <c r="J224" i="2"/>
  <c r="U224" i="2" s="1"/>
  <c r="X223" i="2"/>
  <c r="V223" i="2"/>
  <c r="T223" i="2"/>
  <c r="K223" i="2"/>
  <c r="J223" i="2"/>
  <c r="U223" i="2" s="1"/>
  <c r="V222" i="2"/>
  <c r="K222" i="2"/>
  <c r="J222" i="2"/>
  <c r="X221" i="2"/>
  <c r="K221" i="2"/>
  <c r="J221" i="2"/>
  <c r="U221" i="2" s="1"/>
  <c r="X220" i="2"/>
  <c r="W220" i="2"/>
  <c r="V220" i="2"/>
  <c r="K220" i="2"/>
  <c r="J220" i="2"/>
  <c r="U220" i="2" s="1"/>
  <c r="X219" i="2"/>
  <c r="V219" i="2"/>
  <c r="T219" i="2"/>
  <c r="K219" i="2"/>
  <c r="J219" i="2"/>
  <c r="U219" i="2" s="1"/>
  <c r="V218" i="2"/>
  <c r="K218" i="2"/>
  <c r="J218" i="2"/>
  <c r="X217" i="2"/>
  <c r="K217" i="2"/>
  <c r="J217" i="2"/>
  <c r="U217" i="2" s="1"/>
  <c r="X216" i="2"/>
  <c r="W216" i="2"/>
  <c r="V216" i="2"/>
  <c r="K216" i="2"/>
  <c r="J216" i="2"/>
  <c r="U216" i="2" s="1"/>
  <c r="X215" i="2"/>
  <c r="V215" i="2"/>
  <c r="T215" i="2"/>
  <c r="K215" i="2"/>
  <c r="J215" i="2"/>
  <c r="U215" i="2" s="1"/>
  <c r="V214" i="2"/>
  <c r="K214" i="2"/>
  <c r="J214" i="2"/>
  <c r="X213" i="2"/>
  <c r="W213" i="2"/>
  <c r="K213" i="2"/>
  <c r="J213" i="2"/>
  <c r="U213" i="2" s="1"/>
  <c r="X212" i="2"/>
  <c r="W212" i="2"/>
  <c r="V212" i="2"/>
  <c r="K212" i="2"/>
  <c r="J212" i="2"/>
  <c r="U212" i="2" s="1"/>
  <c r="X211" i="2"/>
  <c r="V211" i="2"/>
  <c r="T211" i="2"/>
  <c r="K211" i="2"/>
  <c r="J211" i="2"/>
  <c r="U211" i="2" s="1"/>
  <c r="K210" i="2"/>
  <c r="J210" i="2"/>
  <c r="X209" i="2"/>
  <c r="W209" i="2"/>
  <c r="V209" i="2"/>
  <c r="T209" i="2"/>
  <c r="K209" i="2"/>
  <c r="J209" i="2"/>
  <c r="U209" i="2" s="1"/>
  <c r="X208" i="2"/>
  <c r="W208" i="2"/>
  <c r="V208" i="2"/>
  <c r="K208" i="2"/>
  <c r="J208" i="2"/>
  <c r="U208" i="2" s="1"/>
  <c r="X207" i="2"/>
  <c r="V207" i="2"/>
  <c r="T207" i="2"/>
  <c r="K207" i="2"/>
  <c r="J207" i="2"/>
  <c r="U207" i="2" s="1"/>
  <c r="K206" i="2"/>
  <c r="J206" i="2"/>
  <c r="X205" i="2"/>
  <c r="K205" i="2"/>
  <c r="J205" i="2"/>
  <c r="U205" i="2" s="1"/>
  <c r="X204" i="2"/>
  <c r="W204" i="2"/>
  <c r="V204" i="2"/>
  <c r="K204" i="2"/>
  <c r="J204" i="2"/>
  <c r="U204" i="2" s="1"/>
  <c r="X203" i="2"/>
  <c r="V203" i="2"/>
  <c r="T203" i="2"/>
  <c r="K203" i="2"/>
  <c r="J203" i="2"/>
  <c r="U203" i="2" s="1"/>
  <c r="K202" i="2"/>
  <c r="J202" i="2"/>
  <c r="V202" i="2" s="1"/>
  <c r="X201" i="2"/>
  <c r="K201" i="2"/>
  <c r="J201" i="2"/>
  <c r="U201" i="2" s="1"/>
  <c r="X200" i="2"/>
  <c r="W200" i="2"/>
  <c r="V200" i="2"/>
  <c r="K200" i="2"/>
  <c r="J200" i="2"/>
  <c r="U200" i="2" s="1"/>
  <c r="X199" i="2"/>
  <c r="V199" i="2"/>
  <c r="T199" i="2"/>
  <c r="K199" i="2"/>
  <c r="J199" i="2"/>
  <c r="U199" i="2" s="1"/>
  <c r="K198" i="2"/>
  <c r="J198" i="2"/>
  <c r="V198" i="2" s="1"/>
  <c r="X197" i="2"/>
  <c r="K197" i="2"/>
  <c r="J197" i="2"/>
  <c r="W197" i="2" s="1"/>
  <c r="X196" i="2"/>
  <c r="V196" i="2"/>
  <c r="U196" i="2"/>
  <c r="K196" i="2"/>
  <c r="J196" i="2"/>
  <c r="W196" i="2" s="1"/>
  <c r="K195" i="2"/>
  <c r="J195" i="2"/>
  <c r="U195" i="2" s="1"/>
  <c r="K194" i="2"/>
  <c r="J194" i="2"/>
  <c r="K193" i="2"/>
  <c r="J193" i="2"/>
  <c r="T193" i="2" s="1"/>
  <c r="V192" i="2"/>
  <c r="S192" i="2"/>
  <c r="K192" i="2"/>
  <c r="J192" i="2"/>
  <c r="T192" i="2" s="1"/>
  <c r="S191" i="2"/>
  <c r="K191" i="2"/>
  <c r="J191" i="2"/>
  <c r="T191" i="2" s="1"/>
  <c r="K190" i="2"/>
  <c r="J190" i="2"/>
  <c r="K189" i="2"/>
  <c r="J189" i="2"/>
  <c r="T189" i="2" s="1"/>
  <c r="K188" i="2"/>
  <c r="J188" i="2"/>
  <c r="K187" i="2"/>
  <c r="J187" i="2"/>
  <c r="V187" i="2" s="1"/>
  <c r="K186" i="2"/>
  <c r="J186" i="2"/>
  <c r="K185" i="2"/>
  <c r="J185" i="2"/>
  <c r="T185" i="2" s="1"/>
  <c r="K184" i="2"/>
  <c r="J184" i="2"/>
  <c r="T184" i="2" s="1"/>
  <c r="V183" i="2"/>
  <c r="U183" i="2"/>
  <c r="S183" i="2"/>
  <c r="K183" i="2"/>
  <c r="J183" i="2"/>
  <c r="T183" i="2" s="1"/>
  <c r="K182" i="2"/>
  <c r="J182" i="2"/>
  <c r="K181" i="2"/>
  <c r="J181" i="2"/>
  <c r="T181" i="2" s="1"/>
  <c r="X180" i="2"/>
  <c r="V180" i="2"/>
  <c r="K180" i="2"/>
  <c r="J180" i="2"/>
  <c r="T180" i="2" s="1"/>
  <c r="V179" i="2"/>
  <c r="K179" i="2"/>
  <c r="J179" i="2"/>
  <c r="K178" i="2"/>
  <c r="J178" i="2"/>
  <c r="K177" i="2"/>
  <c r="J177" i="2"/>
  <c r="T177" i="2" s="1"/>
  <c r="V176" i="2"/>
  <c r="S176" i="2"/>
  <c r="K176" i="2"/>
  <c r="J176" i="2"/>
  <c r="T176" i="2" s="1"/>
  <c r="S175" i="2"/>
  <c r="K175" i="2"/>
  <c r="J175" i="2"/>
  <c r="T175" i="2" s="1"/>
  <c r="K174" i="2"/>
  <c r="J174" i="2"/>
  <c r="K173" i="2"/>
  <c r="J173" i="2"/>
  <c r="T173" i="2" s="1"/>
  <c r="K172" i="2"/>
  <c r="J172" i="2"/>
  <c r="K171" i="2"/>
  <c r="J171" i="2"/>
  <c r="V171" i="2" s="1"/>
  <c r="K170" i="2"/>
  <c r="J170" i="2"/>
  <c r="K169" i="2"/>
  <c r="J169" i="2"/>
  <c r="T169" i="2" s="1"/>
  <c r="K168" i="2"/>
  <c r="J168" i="2"/>
  <c r="T168" i="2" s="1"/>
  <c r="V167" i="2"/>
  <c r="U167" i="2"/>
  <c r="S167" i="2"/>
  <c r="K167" i="2"/>
  <c r="J167" i="2"/>
  <c r="T167" i="2" s="1"/>
  <c r="K166" i="2"/>
  <c r="J166" i="2"/>
  <c r="K165" i="2"/>
  <c r="J165" i="2"/>
  <c r="T165" i="2" s="1"/>
  <c r="X164" i="2"/>
  <c r="V164" i="2"/>
  <c r="K164" i="2"/>
  <c r="J164" i="2"/>
  <c r="T164" i="2" s="1"/>
  <c r="V163" i="2"/>
  <c r="K163" i="2"/>
  <c r="J163" i="2"/>
  <c r="K162" i="2"/>
  <c r="J162" i="2"/>
  <c r="K161" i="2"/>
  <c r="J161" i="2"/>
  <c r="T161" i="2" s="1"/>
  <c r="S160" i="2"/>
  <c r="K160" i="2"/>
  <c r="J160" i="2"/>
  <c r="T160" i="2" s="1"/>
  <c r="S159" i="2"/>
  <c r="K159" i="2"/>
  <c r="J159" i="2"/>
  <c r="T159" i="2" s="1"/>
  <c r="S158" i="2"/>
  <c r="K158" i="2"/>
  <c r="J158" i="2"/>
  <c r="K157" i="2"/>
  <c r="J157" i="2"/>
  <c r="K156" i="2"/>
  <c r="J156" i="2"/>
  <c r="X156" i="2" s="1"/>
  <c r="K155" i="2"/>
  <c r="J155" i="2"/>
  <c r="T155" i="2" s="1"/>
  <c r="K154" i="2"/>
  <c r="J154" i="2"/>
  <c r="K153" i="2"/>
  <c r="J153" i="2"/>
  <c r="S152" i="2"/>
  <c r="K152" i="2"/>
  <c r="J152" i="2"/>
  <c r="T152" i="2" s="1"/>
  <c r="V151" i="2"/>
  <c r="U151" i="2"/>
  <c r="K151" i="2"/>
  <c r="J151" i="2"/>
  <c r="T151" i="2" s="1"/>
  <c r="K150" i="2"/>
  <c r="J150" i="2"/>
  <c r="K149" i="2"/>
  <c r="J149" i="2"/>
  <c r="V149" i="2" s="1"/>
  <c r="K148" i="2"/>
  <c r="J148" i="2"/>
  <c r="T148" i="2" s="1"/>
  <c r="K147" i="2"/>
  <c r="J147" i="2"/>
  <c r="K146" i="2"/>
  <c r="J146" i="2"/>
  <c r="K145" i="2"/>
  <c r="J145" i="2"/>
  <c r="S145" i="2" s="1"/>
  <c r="K144" i="2"/>
  <c r="J144" i="2"/>
  <c r="K143" i="2"/>
  <c r="J143" i="2"/>
  <c r="S143" i="2" s="1"/>
  <c r="K142" i="2"/>
  <c r="J142" i="2"/>
  <c r="V142" i="2" s="1"/>
  <c r="K141" i="2"/>
  <c r="J141" i="2"/>
  <c r="S141" i="2" s="1"/>
  <c r="K140" i="2"/>
  <c r="J140" i="2"/>
  <c r="K139" i="2"/>
  <c r="J139" i="2"/>
  <c r="K138" i="2"/>
  <c r="J138" i="2"/>
  <c r="U138" i="2" s="1"/>
  <c r="K137" i="2"/>
  <c r="J137" i="2"/>
  <c r="S137" i="2" s="1"/>
  <c r="K136" i="2"/>
  <c r="J136" i="2"/>
  <c r="V136" i="2" s="1"/>
  <c r="X135" i="2"/>
  <c r="K135" i="2"/>
  <c r="J135" i="2"/>
  <c r="X134" i="2"/>
  <c r="K134" i="2"/>
  <c r="J134" i="2"/>
  <c r="K133" i="2"/>
  <c r="J133" i="2"/>
  <c r="W133" i="2" s="1"/>
  <c r="K132" i="2"/>
  <c r="J132" i="2"/>
  <c r="K131" i="2"/>
  <c r="J131" i="2"/>
  <c r="W131" i="2" s="1"/>
  <c r="K130" i="2"/>
  <c r="J130" i="2"/>
  <c r="K129" i="2"/>
  <c r="J129" i="2"/>
  <c r="W129" i="2" s="1"/>
  <c r="K128" i="2"/>
  <c r="J128" i="2"/>
  <c r="K127" i="2"/>
  <c r="J127" i="2"/>
  <c r="W127" i="2" s="1"/>
  <c r="X126" i="2"/>
  <c r="K126" i="2"/>
  <c r="J126" i="2"/>
  <c r="K125" i="2"/>
  <c r="J125" i="2"/>
  <c r="W125" i="2" s="1"/>
  <c r="K124" i="2"/>
  <c r="J124" i="2"/>
  <c r="K123" i="2"/>
  <c r="J123" i="2"/>
  <c r="W123" i="2" s="1"/>
  <c r="K122" i="2"/>
  <c r="J122" i="2"/>
  <c r="K121" i="2"/>
  <c r="J121" i="2"/>
  <c r="K120" i="2"/>
  <c r="J120" i="2"/>
  <c r="K119" i="2"/>
  <c r="J119" i="2"/>
  <c r="W119" i="2" s="1"/>
  <c r="K118" i="2"/>
  <c r="J118" i="2"/>
  <c r="K117" i="2"/>
  <c r="J117" i="2"/>
  <c r="K116" i="2"/>
  <c r="J116" i="2"/>
  <c r="K115" i="2"/>
  <c r="J115" i="2"/>
  <c r="W115" i="2" s="1"/>
  <c r="X114" i="2"/>
  <c r="K114" i="2"/>
  <c r="J114" i="2"/>
  <c r="K113" i="2"/>
  <c r="J113" i="2"/>
  <c r="W113" i="2" s="1"/>
  <c r="K112" i="2"/>
  <c r="J112" i="2"/>
  <c r="K111" i="2"/>
  <c r="J111" i="2"/>
  <c r="W111" i="2" s="1"/>
  <c r="X110" i="2"/>
  <c r="K110" i="2"/>
  <c r="J110" i="2"/>
  <c r="K109" i="2"/>
  <c r="J109" i="2"/>
  <c r="W109" i="2" s="1"/>
  <c r="K108" i="2"/>
  <c r="J108" i="2"/>
  <c r="K107" i="2"/>
  <c r="J107" i="2"/>
  <c r="W107" i="2" s="1"/>
  <c r="X106" i="2"/>
  <c r="K106" i="2"/>
  <c r="J106" i="2"/>
  <c r="W106" i="2" s="1"/>
  <c r="K105" i="2"/>
  <c r="J105" i="2"/>
  <c r="K104" i="2"/>
  <c r="J104" i="2"/>
  <c r="K103" i="2"/>
  <c r="J103" i="2"/>
  <c r="W103" i="2" s="1"/>
  <c r="V102" i="2"/>
  <c r="K102" i="2"/>
  <c r="J102" i="2"/>
  <c r="U102" i="2" s="1"/>
  <c r="X101" i="2"/>
  <c r="W101" i="2"/>
  <c r="K101" i="2"/>
  <c r="J101" i="2"/>
  <c r="U101" i="2" s="1"/>
  <c r="V100" i="2"/>
  <c r="K100" i="2"/>
  <c r="J100" i="2"/>
  <c r="U100" i="2" s="1"/>
  <c r="K99" i="2"/>
  <c r="J99" i="2"/>
  <c r="U99" i="2" s="1"/>
  <c r="V98" i="2"/>
  <c r="K98" i="2"/>
  <c r="J98" i="2"/>
  <c r="U98" i="2" s="1"/>
  <c r="K97" i="2"/>
  <c r="J97" i="2"/>
  <c r="U97" i="2" s="1"/>
  <c r="V96" i="2"/>
  <c r="K96" i="2"/>
  <c r="J96" i="2"/>
  <c r="U96" i="2" s="1"/>
  <c r="K95" i="2"/>
  <c r="J95" i="2"/>
  <c r="U95" i="2" s="1"/>
  <c r="T94" i="2"/>
  <c r="K94" i="2"/>
  <c r="J94" i="2"/>
  <c r="U94" i="2" s="1"/>
  <c r="X93" i="2"/>
  <c r="W93" i="2"/>
  <c r="K93" i="2"/>
  <c r="J93" i="2"/>
  <c r="U93" i="2" s="1"/>
  <c r="T92" i="2"/>
  <c r="K92" i="2"/>
  <c r="J92" i="2"/>
  <c r="U92" i="2" s="1"/>
  <c r="K91" i="2"/>
  <c r="J91" i="2"/>
  <c r="U91" i="2" s="1"/>
  <c r="K90" i="2"/>
  <c r="J90" i="2"/>
  <c r="U90" i="2" s="1"/>
  <c r="W89" i="2"/>
  <c r="K89" i="2"/>
  <c r="J89" i="2"/>
  <c r="U89" i="2" s="1"/>
  <c r="V88" i="2"/>
  <c r="K88" i="2"/>
  <c r="J88" i="2"/>
  <c r="U88" i="2" s="1"/>
  <c r="K87" i="2"/>
  <c r="J87" i="2"/>
  <c r="U87" i="2" s="1"/>
  <c r="K86" i="2"/>
  <c r="J86" i="2"/>
  <c r="U86" i="2" s="1"/>
  <c r="K85" i="2"/>
  <c r="J85" i="2"/>
  <c r="U85" i="2" s="1"/>
  <c r="V84" i="2"/>
  <c r="K84" i="2"/>
  <c r="J84" i="2"/>
  <c r="U84" i="2" s="1"/>
  <c r="K83" i="2"/>
  <c r="J83" i="2"/>
  <c r="U83" i="2" s="1"/>
  <c r="K82" i="2"/>
  <c r="J82" i="2"/>
  <c r="U82" i="2" s="1"/>
  <c r="T81" i="2"/>
  <c r="K81" i="2"/>
  <c r="J81" i="2"/>
  <c r="V81" i="2" s="1"/>
  <c r="K80" i="2"/>
  <c r="J80" i="2"/>
  <c r="X80" i="2" s="1"/>
  <c r="V79" i="2"/>
  <c r="K79" i="2"/>
  <c r="J79" i="2"/>
  <c r="X79" i="2" s="1"/>
  <c r="K78" i="2"/>
  <c r="J78" i="2"/>
  <c r="V78" i="2" s="1"/>
  <c r="T77" i="2"/>
  <c r="K77" i="2"/>
  <c r="J77" i="2"/>
  <c r="V77" i="2" s="1"/>
  <c r="K76" i="2"/>
  <c r="J76" i="2"/>
  <c r="X76" i="2" s="1"/>
  <c r="K75" i="2"/>
  <c r="J75" i="2"/>
  <c r="X75" i="2" s="1"/>
  <c r="K74" i="2"/>
  <c r="J74" i="2"/>
  <c r="V74" i="2" s="1"/>
  <c r="K73" i="2"/>
  <c r="J73" i="2"/>
  <c r="V73" i="2" s="1"/>
  <c r="K72" i="2"/>
  <c r="J72" i="2"/>
  <c r="X72" i="2" s="1"/>
  <c r="K71" i="2"/>
  <c r="J71" i="2"/>
  <c r="X71" i="2" s="1"/>
  <c r="K70" i="2"/>
  <c r="J70" i="2"/>
  <c r="V70" i="2" s="1"/>
  <c r="K69" i="2"/>
  <c r="J69" i="2"/>
  <c r="V69" i="2" s="1"/>
  <c r="X68" i="2"/>
  <c r="K68" i="2"/>
  <c r="J68" i="2"/>
  <c r="T67" i="2"/>
  <c r="K67" i="2"/>
  <c r="J67" i="2"/>
  <c r="X67" i="2" s="1"/>
  <c r="X66" i="2"/>
  <c r="W66" i="2"/>
  <c r="K66" i="2"/>
  <c r="J66" i="2"/>
  <c r="V66" i="2" s="1"/>
  <c r="K65" i="2"/>
  <c r="J65" i="2"/>
  <c r="T65" i="2" s="1"/>
  <c r="K64" i="2"/>
  <c r="J64" i="2"/>
  <c r="X64" i="2" s="1"/>
  <c r="K63" i="2"/>
  <c r="J63" i="2"/>
  <c r="X63" i="2" s="1"/>
  <c r="W62" i="2"/>
  <c r="K62" i="2"/>
  <c r="J62" i="2"/>
  <c r="V62" i="2" s="1"/>
  <c r="T61" i="2"/>
  <c r="K61" i="2"/>
  <c r="J61" i="2"/>
  <c r="V61" i="2" s="1"/>
  <c r="K60" i="2"/>
  <c r="J60" i="2"/>
  <c r="X60" i="2" s="1"/>
  <c r="K59" i="2"/>
  <c r="J59" i="2"/>
  <c r="X59" i="2" s="1"/>
  <c r="K58" i="2"/>
  <c r="J58" i="2"/>
  <c r="V58" i="2" s="1"/>
  <c r="K57" i="2"/>
  <c r="J57" i="2"/>
  <c r="V57" i="2" s="1"/>
  <c r="K56" i="2"/>
  <c r="J56" i="2"/>
  <c r="X56" i="2" s="1"/>
  <c r="K55" i="2"/>
  <c r="J55" i="2"/>
  <c r="S55" i="2" s="1"/>
  <c r="K54" i="2"/>
  <c r="J54" i="2"/>
  <c r="S54" i="2" s="1"/>
  <c r="K53" i="2"/>
  <c r="J53" i="2"/>
  <c r="S53" i="2" s="1"/>
  <c r="V52" i="2"/>
  <c r="K52" i="2"/>
  <c r="J52" i="2"/>
  <c r="S52" i="2" s="1"/>
  <c r="K51" i="2"/>
  <c r="J51" i="2"/>
  <c r="S51" i="2" s="1"/>
  <c r="K50" i="2"/>
  <c r="J50" i="2"/>
  <c r="S50" i="2" s="1"/>
  <c r="K49" i="2"/>
  <c r="J49" i="2"/>
  <c r="S49" i="2" s="1"/>
  <c r="K48" i="2"/>
  <c r="J48" i="2"/>
  <c r="S48" i="2" s="1"/>
  <c r="K47" i="2"/>
  <c r="J47" i="2"/>
  <c r="S47" i="2" s="1"/>
  <c r="K46" i="2"/>
  <c r="J46" i="2"/>
  <c r="S46" i="2" s="1"/>
  <c r="K45" i="2"/>
  <c r="J45" i="2"/>
  <c r="S45" i="2" s="1"/>
  <c r="K44" i="2"/>
  <c r="J44" i="2"/>
  <c r="S44" i="2" s="1"/>
  <c r="K43" i="2"/>
  <c r="J43" i="2"/>
  <c r="S43" i="2" s="1"/>
  <c r="V42" i="2"/>
  <c r="K42" i="2"/>
  <c r="J42" i="2"/>
  <c r="S42" i="2" s="1"/>
  <c r="K41" i="2"/>
  <c r="J41" i="2"/>
  <c r="S41" i="2" s="1"/>
  <c r="K40" i="2"/>
  <c r="J40" i="2"/>
  <c r="S40" i="2" s="1"/>
  <c r="K39" i="2"/>
  <c r="J39" i="2"/>
  <c r="S39" i="2" s="1"/>
  <c r="K38" i="2"/>
  <c r="J38" i="2"/>
  <c r="S38" i="2" s="1"/>
  <c r="T37" i="2"/>
  <c r="K37" i="2"/>
  <c r="J37" i="2"/>
  <c r="S37" i="2" s="1"/>
  <c r="K36" i="2"/>
  <c r="J36" i="2"/>
  <c r="S36" i="2" s="1"/>
  <c r="K35" i="2"/>
  <c r="J35" i="2"/>
  <c r="S35" i="2" s="1"/>
  <c r="K34" i="2"/>
  <c r="J34" i="2"/>
  <c r="S34" i="2" s="1"/>
  <c r="T33" i="2"/>
  <c r="K33" i="2"/>
  <c r="J33" i="2"/>
  <c r="S33" i="2" s="1"/>
  <c r="K32" i="2"/>
  <c r="J32" i="2"/>
  <c r="S32" i="2" s="1"/>
  <c r="K31" i="2"/>
  <c r="J31" i="2"/>
  <c r="S31" i="2" s="1"/>
  <c r="K30" i="2"/>
  <c r="J30" i="2"/>
  <c r="S30" i="2" s="1"/>
  <c r="T29" i="2"/>
  <c r="K29" i="2"/>
  <c r="J29" i="2"/>
  <c r="S29" i="2" s="1"/>
  <c r="K28" i="2"/>
  <c r="J28" i="2"/>
  <c r="S28" i="2" s="1"/>
  <c r="K27" i="2"/>
  <c r="J27" i="2"/>
  <c r="S27" i="2" s="1"/>
  <c r="K26" i="2"/>
  <c r="J26" i="2"/>
  <c r="S26" i="2" s="1"/>
  <c r="K25" i="2"/>
  <c r="J25" i="2"/>
  <c r="S25" i="2" s="1"/>
  <c r="W24" i="2"/>
  <c r="K24" i="2"/>
  <c r="J24" i="2"/>
  <c r="S24" i="2" s="1"/>
  <c r="V23" i="2"/>
  <c r="K23" i="2"/>
  <c r="J23" i="2"/>
  <c r="S23" i="2" s="1"/>
  <c r="K22" i="2"/>
  <c r="J22" i="2"/>
  <c r="S22" i="2" s="1"/>
  <c r="K21" i="2"/>
  <c r="J21" i="2"/>
  <c r="S21" i="2" s="1"/>
  <c r="K20" i="2"/>
  <c r="J20" i="2"/>
  <c r="S20" i="2" s="1"/>
  <c r="K19" i="2"/>
  <c r="J19" i="2"/>
  <c r="S19" i="2" s="1"/>
  <c r="U18" i="2"/>
  <c r="K18" i="2"/>
  <c r="J18" i="2"/>
  <c r="S18" i="2" s="1"/>
  <c r="K17" i="2"/>
  <c r="J17" i="2"/>
  <c r="S17" i="2" s="1"/>
  <c r="K16" i="2"/>
  <c r="J16" i="2"/>
  <c r="S16" i="2" s="1"/>
  <c r="K15" i="2"/>
  <c r="J15" i="2"/>
  <c r="X15" i="2" s="1"/>
  <c r="I403" i="1"/>
  <c r="I706" i="1"/>
  <c r="K706" i="1" s="1"/>
  <c r="J706" i="1"/>
  <c r="V706" i="1" s="1"/>
  <c r="I580" i="1"/>
  <c r="K580" i="1" s="1"/>
  <c r="I567" i="1"/>
  <c r="I549" i="1"/>
  <c r="I518" i="1"/>
  <c r="I514" i="1"/>
  <c r="I469" i="1"/>
  <c r="I456" i="1"/>
  <c r="I440" i="1"/>
  <c r="I420" i="1"/>
  <c r="J420" i="1" s="1"/>
  <c r="V420" i="1" s="1"/>
  <c r="I414" i="1"/>
  <c r="I379" i="1"/>
  <c r="I357" i="1"/>
  <c r="J14" i="1"/>
  <c r="K714" i="1"/>
  <c r="J714" i="1"/>
  <c r="V714" i="1" s="1"/>
  <c r="K713" i="1"/>
  <c r="J713" i="1"/>
  <c r="U713" i="1" s="1"/>
  <c r="K712" i="1"/>
  <c r="J712" i="1"/>
  <c r="T712" i="1" s="1"/>
  <c r="K711" i="1"/>
  <c r="J711" i="1"/>
  <c r="S711" i="1" s="1"/>
  <c r="K710" i="1"/>
  <c r="J710" i="1"/>
  <c r="R710" i="1" s="1"/>
  <c r="K709" i="1"/>
  <c r="J709" i="1"/>
  <c r="U709" i="1" s="1"/>
  <c r="K708" i="1"/>
  <c r="J708" i="1"/>
  <c r="R708" i="1" s="1"/>
  <c r="K707" i="1"/>
  <c r="J707" i="1"/>
  <c r="V707" i="1" s="1"/>
  <c r="K705" i="1"/>
  <c r="J705" i="1"/>
  <c r="U705" i="1" s="1"/>
  <c r="K704" i="1"/>
  <c r="J704" i="1"/>
  <c r="T704" i="1" s="1"/>
  <c r="K703" i="1"/>
  <c r="J703" i="1"/>
  <c r="S703" i="1" s="1"/>
  <c r="K702" i="1"/>
  <c r="J702" i="1"/>
  <c r="R702" i="1" s="1"/>
  <c r="K701" i="1"/>
  <c r="J701" i="1"/>
  <c r="V701" i="1" s="1"/>
  <c r="K700" i="1"/>
  <c r="J700" i="1"/>
  <c r="U700" i="1" s="1"/>
  <c r="K699" i="1"/>
  <c r="J699" i="1"/>
  <c r="V699" i="1" s="1"/>
  <c r="K698" i="1"/>
  <c r="J698" i="1"/>
  <c r="V698" i="1" s="1"/>
  <c r="K697" i="1"/>
  <c r="J697" i="1"/>
  <c r="U697" i="1" s="1"/>
  <c r="K696" i="1"/>
  <c r="J696" i="1"/>
  <c r="T696" i="1" s="1"/>
  <c r="K695" i="1"/>
  <c r="J695" i="1"/>
  <c r="S695" i="1" s="1"/>
  <c r="K694" i="1"/>
  <c r="J694" i="1"/>
  <c r="R694" i="1" s="1"/>
  <c r="K693" i="1"/>
  <c r="J693" i="1"/>
  <c r="V693" i="1" s="1"/>
  <c r="K692" i="1"/>
  <c r="J692" i="1"/>
  <c r="U692" i="1" s="1"/>
  <c r="K691" i="1"/>
  <c r="J691" i="1"/>
  <c r="V691" i="1" s="1"/>
  <c r="K690" i="1"/>
  <c r="J690" i="1"/>
  <c r="V690" i="1" s="1"/>
  <c r="K689" i="1"/>
  <c r="J689" i="1"/>
  <c r="U689" i="1" s="1"/>
  <c r="K688" i="1"/>
  <c r="J688" i="1"/>
  <c r="T688" i="1" s="1"/>
  <c r="K687" i="1"/>
  <c r="J687" i="1"/>
  <c r="S687" i="1" s="1"/>
  <c r="K686" i="1"/>
  <c r="J686" i="1"/>
  <c r="T686" i="1" s="1"/>
  <c r="K685" i="1"/>
  <c r="J685" i="1"/>
  <c r="V685" i="1" s="1"/>
  <c r="K684" i="1"/>
  <c r="J684" i="1"/>
  <c r="U684" i="1" s="1"/>
  <c r="K683" i="1"/>
  <c r="J683" i="1"/>
  <c r="V683" i="1" s="1"/>
  <c r="K682" i="1"/>
  <c r="J682" i="1"/>
  <c r="T682" i="1" s="1"/>
  <c r="K681" i="1"/>
  <c r="J681" i="1"/>
  <c r="U681" i="1" s="1"/>
  <c r="K680" i="1"/>
  <c r="J680" i="1"/>
  <c r="T680" i="1" s="1"/>
  <c r="K679" i="1"/>
  <c r="J679" i="1"/>
  <c r="S679" i="1" s="1"/>
  <c r="K678" i="1"/>
  <c r="J678" i="1"/>
  <c r="K677" i="1"/>
  <c r="J677" i="1"/>
  <c r="V677" i="1" s="1"/>
  <c r="K676" i="1"/>
  <c r="J676" i="1"/>
  <c r="U676" i="1" s="1"/>
  <c r="K675" i="1"/>
  <c r="J675" i="1"/>
  <c r="V675" i="1" s="1"/>
  <c r="K674" i="1"/>
  <c r="J674" i="1"/>
  <c r="K673" i="1"/>
  <c r="J673" i="1"/>
  <c r="R673" i="1" s="1"/>
  <c r="K672" i="1"/>
  <c r="J672" i="1"/>
  <c r="T672" i="1" s="1"/>
  <c r="U671" i="1"/>
  <c r="K671" i="1"/>
  <c r="J671" i="1"/>
  <c r="V671" i="1" s="1"/>
  <c r="K670" i="1"/>
  <c r="J670" i="1"/>
  <c r="K669" i="1"/>
  <c r="J669" i="1"/>
  <c r="V669" i="1" s="1"/>
  <c r="K668" i="1"/>
  <c r="J668" i="1"/>
  <c r="U668" i="1" s="1"/>
  <c r="K667" i="1"/>
  <c r="J667" i="1"/>
  <c r="V667" i="1" s="1"/>
  <c r="K666" i="1"/>
  <c r="J666" i="1"/>
  <c r="K665" i="1"/>
  <c r="J665" i="1"/>
  <c r="T665" i="1" s="1"/>
  <c r="K664" i="1"/>
  <c r="J664" i="1"/>
  <c r="S664" i="1" s="1"/>
  <c r="K663" i="1"/>
  <c r="J663" i="1"/>
  <c r="R663" i="1" s="1"/>
  <c r="K662" i="1"/>
  <c r="J662" i="1"/>
  <c r="K661" i="1"/>
  <c r="J661" i="1"/>
  <c r="V661" i="1" s="1"/>
  <c r="K660" i="1"/>
  <c r="J660" i="1"/>
  <c r="U660" i="1" s="1"/>
  <c r="K659" i="1"/>
  <c r="J659" i="1"/>
  <c r="V659" i="1" s="1"/>
  <c r="K658" i="1"/>
  <c r="J658" i="1"/>
  <c r="T658" i="1" s="1"/>
  <c r="K657" i="1"/>
  <c r="J657" i="1"/>
  <c r="T657" i="1" s="1"/>
  <c r="K656" i="1"/>
  <c r="J656" i="1"/>
  <c r="S656" i="1" s="1"/>
  <c r="K655" i="1"/>
  <c r="J655" i="1"/>
  <c r="R655" i="1" s="1"/>
  <c r="K654" i="1"/>
  <c r="J654" i="1"/>
  <c r="K653" i="1"/>
  <c r="J653" i="1"/>
  <c r="V653" i="1" s="1"/>
  <c r="K652" i="1"/>
  <c r="J652" i="1"/>
  <c r="U652" i="1" s="1"/>
  <c r="K651" i="1"/>
  <c r="J651" i="1"/>
  <c r="V651" i="1" s="1"/>
  <c r="K650" i="1"/>
  <c r="J650" i="1"/>
  <c r="T650" i="1" s="1"/>
  <c r="K649" i="1"/>
  <c r="J649" i="1"/>
  <c r="T649" i="1" s="1"/>
  <c r="K648" i="1"/>
  <c r="J648" i="1"/>
  <c r="T648" i="1" s="1"/>
  <c r="K647" i="1"/>
  <c r="J647" i="1"/>
  <c r="R647" i="1" s="1"/>
  <c r="K646" i="1"/>
  <c r="J646" i="1"/>
  <c r="K645" i="1"/>
  <c r="J645" i="1"/>
  <c r="V645" i="1" s="1"/>
  <c r="K644" i="1"/>
  <c r="J644" i="1"/>
  <c r="U644" i="1" s="1"/>
  <c r="U643" i="1"/>
  <c r="K643" i="1"/>
  <c r="J643" i="1"/>
  <c r="V643" i="1" s="1"/>
  <c r="K642" i="1"/>
  <c r="J642" i="1"/>
  <c r="T642" i="1" s="1"/>
  <c r="K641" i="1"/>
  <c r="J641" i="1"/>
  <c r="U641" i="1" s="1"/>
  <c r="K640" i="1"/>
  <c r="J640" i="1"/>
  <c r="T640" i="1" s="1"/>
  <c r="K639" i="1"/>
  <c r="J639" i="1"/>
  <c r="S639" i="1" s="1"/>
  <c r="K638" i="1"/>
  <c r="J638" i="1"/>
  <c r="T638" i="1" s="1"/>
  <c r="K637" i="1"/>
  <c r="J637" i="1"/>
  <c r="U637" i="1" s="1"/>
  <c r="K636" i="1"/>
  <c r="J636" i="1"/>
  <c r="U636" i="1" s="1"/>
  <c r="K635" i="1"/>
  <c r="J635" i="1"/>
  <c r="V635" i="1" s="1"/>
  <c r="K634" i="1"/>
  <c r="J634" i="1"/>
  <c r="T634" i="1" s="1"/>
  <c r="K633" i="1"/>
  <c r="J633" i="1"/>
  <c r="U633" i="1" s="1"/>
  <c r="K632" i="1"/>
  <c r="J632" i="1"/>
  <c r="T632" i="1" s="1"/>
  <c r="K631" i="1"/>
  <c r="J631" i="1"/>
  <c r="S631" i="1" s="1"/>
  <c r="K630" i="1"/>
  <c r="J630" i="1"/>
  <c r="K629" i="1"/>
  <c r="J629" i="1"/>
  <c r="V629" i="1" s="1"/>
  <c r="K628" i="1"/>
  <c r="J628" i="1"/>
  <c r="U628" i="1" s="1"/>
  <c r="K627" i="1"/>
  <c r="J627" i="1"/>
  <c r="V627" i="1" s="1"/>
  <c r="K626" i="1"/>
  <c r="J626" i="1"/>
  <c r="K625" i="1"/>
  <c r="J625" i="1"/>
  <c r="U625" i="1" s="1"/>
  <c r="K624" i="1"/>
  <c r="J624" i="1"/>
  <c r="T624" i="1" s="1"/>
  <c r="K623" i="1"/>
  <c r="J623" i="1"/>
  <c r="S623" i="1" s="1"/>
  <c r="K622" i="1"/>
  <c r="J622" i="1"/>
  <c r="T622" i="1" s="1"/>
  <c r="K621" i="1"/>
  <c r="J621" i="1"/>
  <c r="V621" i="1" s="1"/>
  <c r="K620" i="1"/>
  <c r="J620" i="1"/>
  <c r="U620" i="1" s="1"/>
  <c r="K619" i="1"/>
  <c r="J619" i="1"/>
  <c r="V619" i="1" s="1"/>
  <c r="K618" i="1"/>
  <c r="J618" i="1"/>
  <c r="T618" i="1" s="1"/>
  <c r="K617" i="1"/>
  <c r="J617" i="1"/>
  <c r="U617" i="1" s="1"/>
  <c r="K616" i="1"/>
  <c r="J616" i="1"/>
  <c r="T616" i="1" s="1"/>
  <c r="K615" i="1"/>
  <c r="J615" i="1"/>
  <c r="S615" i="1" s="1"/>
  <c r="K614" i="1"/>
  <c r="J614" i="1"/>
  <c r="K613" i="1"/>
  <c r="J613" i="1"/>
  <c r="V613" i="1" s="1"/>
  <c r="K612" i="1"/>
  <c r="J612" i="1"/>
  <c r="U612" i="1" s="1"/>
  <c r="K611" i="1"/>
  <c r="J611" i="1"/>
  <c r="V611" i="1" s="1"/>
  <c r="K610" i="1"/>
  <c r="J610" i="1"/>
  <c r="K609" i="1"/>
  <c r="J609" i="1"/>
  <c r="U609" i="1" s="1"/>
  <c r="K608" i="1"/>
  <c r="J608" i="1"/>
  <c r="T608" i="1" s="1"/>
  <c r="K607" i="1"/>
  <c r="J607" i="1"/>
  <c r="S607" i="1" s="1"/>
  <c r="K606" i="1"/>
  <c r="J606" i="1"/>
  <c r="T606" i="1" s="1"/>
  <c r="K605" i="1"/>
  <c r="J605" i="1"/>
  <c r="V605" i="1" s="1"/>
  <c r="K604" i="1"/>
  <c r="J604" i="1"/>
  <c r="U604" i="1" s="1"/>
  <c r="K603" i="1"/>
  <c r="J603" i="1"/>
  <c r="V603" i="1" s="1"/>
  <c r="K602" i="1"/>
  <c r="J602" i="1"/>
  <c r="T602" i="1" s="1"/>
  <c r="K601" i="1"/>
  <c r="J601" i="1"/>
  <c r="U601" i="1" s="1"/>
  <c r="K600" i="1"/>
  <c r="J600" i="1"/>
  <c r="T600" i="1" s="1"/>
  <c r="K599" i="1"/>
  <c r="J599" i="1"/>
  <c r="S599" i="1" s="1"/>
  <c r="K598" i="1"/>
  <c r="J598" i="1"/>
  <c r="K597" i="1"/>
  <c r="J597" i="1"/>
  <c r="V597" i="1" s="1"/>
  <c r="K596" i="1"/>
  <c r="J596" i="1"/>
  <c r="U596" i="1" s="1"/>
  <c r="K595" i="1"/>
  <c r="J595" i="1"/>
  <c r="V595" i="1" s="1"/>
  <c r="K594" i="1"/>
  <c r="J594" i="1"/>
  <c r="K593" i="1"/>
  <c r="J593" i="1"/>
  <c r="U593" i="1" s="1"/>
  <c r="K592" i="1"/>
  <c r="J592" i="1"/>
  <c r="T592" i="1" s="1"/>
  <c r="K591" i="1"/>
  <c r="J591" i="1"/>
  <c r="S591" i="1" s="1"/>
  <c r="K590" i="1"/>
  <c r="J590" i="1"/>
  <c r="T590" i="1" s="1"/>
  <c r="K589" i="1"/>
  <c r="J589" i="1"/>
  <c r="V589" i="1" s="1"/>
  <c r="K588" i="1"/>
  <c r="J588" i="1"/>
  <c r="U588" i="1" s="1"/>
  <c r="K587" i="1"/>
  <c r="J587" i="1"/>
  <c r="V587" i="1" s="1"/>
  <c r="K586" i="1"/>
  <c r="J586" i="1"/>
  <c r="T586" i="1" s="1"/>
  <c r="K585" i="1"/>
  <c r="J585" i="1"/>
  <c r="U585" i="1" s="1"/>
  <c r="K584" i="1"/>
  <c r="J584" i="1"/>
  <c r="T584" i="1" s="1"/>
  <c r="K583" i="1"/>
  <c r="J583" i="1"/>
  <c r="S583" i="1" s="1"/>
  <c r="K582" i="1"/>
  <c r="J582" i="1"/>
  <c r="K581" i="1"/>
  <c r="J581" i="1"/>
  <c r="V581" i="1" s="1"/>
  <c r="J580" i="1"/>
  <c r="U580" i="1" s="1"/>
  <c r="K579" i="1"/>
  <c r="J579" i="1"/>
  <c r="V579" i="1" s="1"/>
  <c r="K578" i="1"/>
  <c r="J578" i="1"/>
  <c r="K577" i="1"/>
  <c r="J577" i="1"/>
  <c r="S577" i="1" s="1"/>
  <c r="K576" i="1"/>
  <c r="J576" i="1"/>
  <c r="T576" i="1" s="1"/>
  <c r="K575" i="1"/>
  <c r="J575" i="1"/>
  <c r="R575" i="1" s="1"/>
  <c r="K574" i="1"/>
  <c r="J574" i="1"/>
  <c r="U574" i="1" s="1"/>
  <c r="V573" i="1"/>
  <c r="K573" i="1"/>
  <c r="J573" i="1"/>
  <c r="U573" i="1" s="1"/>
  <c r="K572" i="1"/>
  <c r="J572" i="1"/>
  <c r="V572" i="1" s="1"/>
  <c r="K571" i="1"/>
  <c r="J571" i="1"/>
  <c r="V571" i="1" s="1"/>
  <c r="K570" i="1"/>
  <c r="J570" i="1"/>
  <c r="T570" i="1" s="1"/>
  <c r="K569" i="1"/>
  <c r="J569" i="1"/>
  <c r="S569" i="1" s="1"/>
  <c r="K568" i="1"/>
  <c r="J568" i="1"/>
  <c r="R568" i="1" s="1"/>
  <c r="K567" i="1"/>
  <c r="J567" i="1"/>
  <c r="R567" i="1" s="1"/>
  <c r="K566" i="1"/>
  <c r="J566" i="1"/>
  <c r="T566" i="1" s="1"/>
  <c r="K565" i="1"/>
  <c r="J565" i="1"/>
  <c r="U565" i="1" s="1"/>
  <c r="K564" i="1"/>
  <c r="J564" i="1"/>
  <c r="V564" i="1" s="1"/>
  <c r="K563" i="1"/>
  <c r="J563" i="1"/>
  <c r="V563" i="1" s="1"/>
  <c r="K562" i="1"/>
  <c r="J562" i="1"/>
  <c r="T562" i="1" s="1"/>
  <c r="K561" i="1"/>
  <c r="J561" i="1"/>
  <c r="S561" i="1" s="1"/>
  <c r="K560" i="1"/>
  <c r="J560" i="1"/>
  <c r="R560" i="1" s="1"/>
  <c r="K559" i="1"/>
  <c r="J559" i="1"/>
  <c r="R559" i="1" s="1"/>
  <c r="K558" i="1"/>
  <c r="J558" i="1"/>
  <c r="T558" i="1" s="1"/>
  <c r="K557" i="1"/>
  <c r="J557" i="1"/>
  <c r="U557" i="1" s="1"/>
  <c r="K556" i="1"/>
  <c r="J556" i="1"/>
  <c r="V556" i="1" s="1"/>
  <c r="K555" i="1"/>
  <c r="J555" i="1"/>
  <c r="T555" i="1" s="1"/>
  <c r="K554" i="1"/>
  <c r="J554" i="1"/>
  <c r="T554" i="1" s="1"/>
  <c r="K553" i="1"/>
  <c r="J553" i="1"/>
  <c r="S553" i="1" s="1"/>
  <c r="K552" i="1"/>
  <c r="J552" i="1"/>
  <c r="R552" i="1" s="1"/>
  <c r="K551" i="1"/>
  <c r="J551" i="1"/>
  <c r="T551" i="1" s="1"/>
  <c r="K550" i="1"/>
  <c r="J550" i="1"/>
  <c r="T550" i="1" s="1"/>
  <c r="K549" i="1"/>
  <c r="J549" i="1"/>
  <c r="U549" i="1" s="1"/>
  <c r="U548" i="1"/>
  <c r="K548" i="1"/>
  <c r="J548" i="1"/>
  <c r="V548" i="1" s="1"/>
  <c r="K547" i="1"/>
  <c r="J547" i="1"/>
  <c r="K546" i="1"/>
  <c r="J546" i="1"/>
  <c r="T546" i="1" s="1"/>
  <c r="K545" i="1"/>
  <c r="J545" i="1"/>
  <c r="S545" i="1" s="1"/>
  <c r="K544" i="1"/>
  <c r="J544" i="1"/>
  <c r="R544" i="1" s="1"/>
  <c r="K543" i="1"/>
  <c r="J543" i="1"/>
  <c r="T543" i="1" s="1"/>
  <c r="K542" i="1"/>
  <c r="J542" i="1"/>
  <c r="T542" i="1" s="1"/>
  <c r="K541" i="1"/>
  <c r="J541" i="1"/>
  <c r="U541" i="1" s="1"/>
  <c r="K540" i="1"/>
  <c r="J540" i="1"/>
  <c r="V540" i="1" s="1"/>
  <c r="K539" i="1"/>
  <c r="J539" i="1"/>
  <c r="T539" i="1" s="1"/>
  <c r="K538" i="1"/>
  <c r="J538" i="1"/>
  <c r="T538" i="1" s="1"/>
  <c r="K537" i="1"/>
  <c r="J537" i="1"/>
  <c r="S537" i="1" s="1"/>
  <c r="K536" i="1"/>
  <c r="J536" i="1"/>
  <c r="R536" i="1" s="1"/>
  <c r="K535" i="1"/>
  <c r="J535" i="1"/>
  <c r="T535" i="1" s="1"/>
  <c r="K534" i="1"/>
  <c r="J534" i="1"/>
  <c r="T534" i="1" s="1"/>
  <c r="K533" i="1"/>
  <c r="J533" i="1"/>
  <c r="U533" i="1" s="1"/>
  <c r="K532" i="1"/>
  <c r="J532" i="1"/>
  <c r="V532" i="1" s="1"/>
  <c r="K531" i="1"/>
  <c r="J531" i="1"/>
  <c r="T531" i="1" s="1"/>
  <c r="K530" i="1"/>
  <c r="J530" i="1"/>
  <c r="T530" i="1" s="1"/>
  <c r="K529" i="1"/>
  <c r="J529" i="1"/>
  <c r="S529" i="1" s="1"/>
  <c r="K528" i="1"/>
  <c r="J528" i="1"/>
  <c r="R528" i="1" s="1"/>
  <c r="K527" i="1"/>
  <c r="J527" i="1"/>
  <c r="K526" i="1"/>
  <c r="J526" i="1"/>
  <c r="T526" i="1" s="1"/>
  <c r="K525" i="1"/>
  <c r="J525" i="1"/>
  <c r="U525" i="1" s="1"/>
  <c r="K524" i="1"/>
  <c r="J524" i="1"/>
  <c r="V524" i="1" s="1"/>
  <c r="K523" i="1"/>
  <c r="J523" i="1"/>
  <c r="K522" i="1"/>
  <c r="J522" i="1"/>
  <c r="T522" i="1" s="1"/>
  <c r="K521" i="1"/>
  <c r="J521" i="1"/>
  <c r="S521" i="1" s="1"/>
  <c r="K520" i="1"/>
  <c r="J520" i="1"/>
  <c r="R520" i="1" s="1"/>
  <c r="K519" i="1"/>
  <c r="J519" i="1"/>
  <c r="T519" i="1" s="1"/>
  <c r="K518" i="1"/>
  <c r="J518" i="1"/>
  <c r="T518" i="1" s="1"/>
  <c r="K517" i="1"/>
  <c r="J517" i="1"/>
  <c r="U517" i="1" s="1"/>
  <c r="K516" i="1"/>
  <c r="J516" i="1"/>
  <c r="V516" i="1" s="1"/>
  <c r="K515" i="1"/>
  <c r="J515" i="1"/>
  <c r="K514" i="1"/>
  <c r="J514" i="1"/>
  <c r="T514" i="1" s="1"/>
  <c r="K513" i="1"/>
  <c r="J513" i="1"/>
  <c r="S513" i="1" s="1"/>
  <c r="K512" i="1"/>
  <c r="J512" i="1"/>
  <c r="R512" i="1" s="1"/>
  <c r="K511" i="1"/>
  <c r="J511" i="1"/>
  <c r="T511" i="1" s="1"/>
  <c r="K510" i="1"/>
  <c r="J510" i="1"/>
  <c r="T510" i="1" s="1"/>
  <c r="K509" i="1"/>
  <c r="J509" i="1"/>
  <c r="U509" i="1" s="1"/>
  <c r="K508" i="1"/>
  <c r="J508" i="1"/>
  <c r="V508" i="1" s="1"/>
  <c r="K507" i="1"/>
  <c r="J507" i="1"/>
  <c r="T507" i="1" s="1"/>
  <c r="K506" i="1"/>
  <c r="J506" i="1"/>
  <c r="T506" i="1" s="1"/>
  <c r="K505" i="1"/>
  <c r="J505" i="1"/>
  <c r="S505" i="1" s="1"/>
  <c r="K504" i="1"/>
  <c r="J504" i="1"/>
  <c r="R504" i="1" s="1"/>
  <c r="K503" i="1"/>
  <c r="J503" i="1"/>
  <c r="K502" i="1"/>
  <c r="J502" i="1"/>
  <c r="T502" i="1" s="1"/>
  <c r="K501" i="1"/>
  <c r="J501" i="1"/>
  <c r="U501" i="1" s="1"/>
  <c r="K500" i="1"/>
  <c r="J500" i="1"/>
  <c r="V500" i="1" s="1"/>
  <c r="K499" i="1"/>
  <c r="J499" i="1"/>
  <c r="T499" i="1" s="1"/>
  <c r="K498" i="1"/>
  <c r="J498" i="1"/>
  <c r="T498" i="1" s="1"/>
  <c r="K497" i="1"/>
  <c r="J497" i="1"/>
  <c r="S497" i="1" s="1"/>
  <c r="K496" i="1"/>
  <c r="J496" i="1"/>
  <c r="R496" i="1" s="1"/>
  <c r="K495" i="1"/>
  <c r="J495" i="1"/>
  <c r="K494" i="1"/>
  <c r="J494" i="1"/>
  <c r="T494" i="1" s="1"/>
  <c r="K493" i="1"/>
  <c r="J493" i="1"/>
  <c r="U493" i="1" s="1"/>
  <c r="K492" i="1"/>
  <c r="J492" i="1"/>
  <c r="V492" i="1" s="1"/>
  <c r="K491" i="1"/>
  <c r="J491" i="1"/>
  <c r="K490" i="1"/>
  <c r="J490" i="1"/>
  <c r="T490" i="1" s="1"/>
  <c r="K489" i="1"/>
  <c r="J489" i="1"/>
  <c r="S489" i="1" s="1"/>
  <c r="K488" i="1"/>
  <c r="J488" i="1"/>
  <c r="R488" i="1" s="1"/>
  <c r="K487" i="1"/>
  <c r="J487" i="1"/>
  <c r="T487" i="1" s="1"/>
  <c r="K486" i="1"/>
  <c r="J486" i="1"/>
  <c r="T486" i="1" s="1"/>
  <c r="K485" i="1"/>
  <c r="J485" i="1"/>
  <c r="U485" i="1" s="1"/>
  <c r="K484" i="1"/>
  <c r="J484" i="1"/>
  <c r="V484" i="1" s="1"/>
  <c r="K483" i="1"/>
  <c r="J483" i="1"/>
  <c r="K482" i="1"/>
  <c r="J482" i="1"/>
  <c r="T482" i="1" s="1"/>
  <c r="K481" i="1"/>
  <c r="J481" i="1"/>
  <c r="S481" i="1" s="1"/>
  <c r="K480" i="1"/>
  <c r="J480" i="1"/>
  <c r="R480" i="1" s="1"/>
  <c r="K479" i="1"/>
  <c r="J479" i="1"/>
  <c r="T479" i="1" s="1"/>
  <c r="K478" i="1"/>
  <c r="J478" i="1"/>
  <c r="T478" i="1" s="1"/>
  <c r="K477" i="1"/>
  <c r="J477" i="1"/>
  <c r="U477" i="1" s="1"/>
  <c r="K476" i="1"/>
  <c r="J476" i="1"/>
  <c r="V476" i="1" s="1"/>
  <c r="K475" i="1"/>
  <c r="J475" i="1"/>
  <c r="T475" i="1" s="1"/>
  <c r="K474" i="1"/>
  <c r="J474" i="1"/>
  <c r="T474" i="1" s="1"/>
  <c r="K473" i="1"/>
  <c r="J473" i="1"/>
  <c r="S473" i="1" s="1"/>
  <c r="K472" i="1"/>
  <c r="J472" i="1"/>
  <c r="R472" i="1" s="1"/>
  <c r="K471" i="1"/>
  <c r="J471" i="1"/>
  <c r="K470" i="1"/>
  <c r="J470" i="1"/>
  <c r="T470" i="1" s="1"/>
  <c r="K469" i="1"/>
  <c r="J469" i="1"/>
  <c r="U469" i="1" s="1"/>
  <c r="K468" i="1"/>
  <c r="J468" i="1"/>
  <c r="V468" i="1" s="1"/>
  <c r="K467" i="1"/>
  <c r="J467" i="1"/>
  <c r="T467" i="1" s="1"/>
  <c r="K466" i="1"/>
  <c r="J466" i="1"/>
  <c r="T466" i="1" s="1"/>
  <c r="K465" i="1"/>
  <c r="J465" i="1"/>
  <c r="S465" i="1" s="1"/>
  <c r="K464" i="1"/>
  <c r="J464" i="1"/>
  <c r="R464" i="1" s="1"/>
  <c r="K463" i="1"/>
  <c r="J463" i="1"/>
  <c r="K462" i="1"/>
  <c r="J462" i="1"/>
  <c r="T462" i="1" s="1"/>
  <c r="K461" i="1"/>
  <c r="J461" i="1"/>
  <c r="T461" i="1" s="1"/>
  <c r="K460" i="1"/>
  <c r="J460" i="1"/>
  <c r="V460" i="1" s="1"/>
  <c r="K459" i="1"/>
  <c r="J459" i="1"/>
  <c r="V459" i="1" s="1"/>
  <c r="K458" i="1"/>
  <c r="J458" i="1"/>
  <c r="T458" i="1" s="1"/>
  <c r="K457" i="1"/>
  <c r="J457" i="1"/>
  <c r="V457" i="1" s="1"/>
  <c r="K456" i="1"/>
  <c r="J456" i="1"/>
  <c r="R456" i="1" s="1"/>
  <c r="K455" i="1"/>
  <c r="J455" i="1"/>
  <c r="V455" i="1" s="1"/>
  <c r="K454" i="1"/>
  <c r="J454" i="1"/>
  <c r="T454" i="1" s="1"/>
  <c r="K453" i="1"/>
  <c r="J453" i="1"/>
  <c r="U453" i="1" s="1"/>
  <c r="K452" i="1"/>
  <c r="J452" i="1"/>
  <c r="T452" i="1" s="1"/>
  <c r="K451" i="1"/>
  <c r="J451" i="1"/>
  <c r="U451" i="1" s="1"/>
  <c r="K450" i="1"/>
  <c r="J450" i="1"/>
  <c r="T450" i="1" s="1"/>
  <c r="K449" i="1"/>
  <c r="J449" i="1"/>
  <c r="S449" i="1" s="1"/>
  <c r="K448" i="1"/>
  <c r="J448" i="1"/>
  <c r="K447" i="1"/>
  <c r="J447" i="1"/>
  <c r="U447" i="1" s="1"/>
  <c r="K446" i="1"/>
  <c r="J446" i="1"/>
  <c r="T446" i="1" s="1"/>
  <c r="K445" i="1"/>
  <c r="J445" i="1"/>
  <c r="K444" i="1"/>
  <c r="J444" i="1"/>
  <c r="V444" i="1" s="1"/>
  <c r="K443" i="1"/>
  <c r="J443" i="1"/>
  <c r="U443" i="1" s="1"/>
  <c r="K442" i="1"/>
  <c r="J442" i="1"/>
  <c r="T442" i="1" s="1"/>
  <c r="K441" i="1"/>
  <c r="J441" i="1"/>
  <c r="T441" i="1" s="1"/>
  <c r="K440" i="1"/>
  <c r="J440" i="1"/>
  <c r="R440" i="1" s="1"/>
  <c r="K439" i="1"/>
  <c r="J439" i="1"/>
  <c r="U439" i="1" s="1"/>
  <c r="K438" i="1"/>
  <c r="J438" i="1"/>
  <c r="T438" i="1" s="1"/>
  <c r="K437" i="1"/>
  <c r="J437" i="1"/>
  <c r="K436" i="1"/>
  <c r="J436" i="1"/>
  <c r="V436" i="1" s="1"/>
  <c r="K435" i="1"/>
  <c r="J435" i="1"/>
  <c r="U435" i="1" s="1"/>
  <c r="K434" i="1"/>
  <c r="J434" i="1"/>
  <c r="T434" i="1" s="1"/>
  <c r="K433" i="1"/>
  <c r="J433" i="1"/>
  <c r="K432" i="1"/>
  <c r="J432" i="1"/>
  <c r="R432" i="1" s="1"/>
  <c r="R431" i="1"/>
  <c r="K431" i="1"/>
  <c r="J431" i="1"/>
  <c r="U431" i="1" s="1"/>
  <c r="K430" i="1"/>
  <c r="J430" i="1"/>
  <c r="T430" i="1" s="1"/>
  <c r="K429" i="1"/>
  <c r="J429" i="1"/>
  <c r="K428" i="1"/>
  <c r="J428" i="1"/>
  <c r="V428" i="1" s="1"/>
  <c r="K427" i="1"/>
  <c r="J427" i="1"/>
  <c r="U427" i="1" s="1"/>
  <c r="K426" i="1"/>
  <c r="J426" i="1"/>
  <c r="T426" i="1" s="1"/>
  <c r="K425" i="1"/>
  <c r="J425" i="1"/>
  <c r="T425" i="1" s="1"/>
  <c r="K424" i="1"/>
  <c r="J424" i="1"/>
  <c r="R424" i="1" s="1"/>
  <c r="K423" i="1"/>
  <c r="J423" i="1"/>
  <c r="U423" i="1" s="1"/>
  <c r="K422" i="1"/>
  <c r="J422" i="1"/>
  <c r="T422" i="1" s="1"/>
  <c r="K421" i="1"/>
  <c r="J421" i="1"/>
  <c r="T421" i="1" s="1"/>
  <c r="K420" i="1"/>
  <c r="K419" i="1"/>
  <c r="J419" i="1"/>
  <c r="U419" i="1" s="1"/>
  <c r="K418" i="1"/>
  <c r="J418" i="1"/>
  <c r="T418" i="1" s="1"/>
  <c r="K417" i="1"/>
  <c r="J417" i="1"/>
  <c r="K416" i="1"/>
  <c r="J416" i="1"/>
  <c r="R416" i="1" s="1"/>
  <c r="V415" i="1"/>
  <c r="K415" i="1"/>
  <c r="J415" i="1"/>
  <c r="U415" i="1" s="1"/>
  <c r="K414" i="1"/>
  <c r="J414" i="1"/>
  <c r="T414" i="1" s="1"/>
  <c r="K413" i="1"/>
  <c r="J413" i="1"/>
  <c r="T413" i="1" s="1"/>
  <c r="K412" i="1"/>
  <c r="J412" i="1"/>
  <c r="V412" i="1" s="1"/>
  <c r="K411" i="1"/>
  <c r="J411" i="1"/>
  <c r="U411" i="1" s="1"/>
  <c r="K410" i="1"/>
  <c r="J410" i="1"/>
  <c r="T410" i="1" s="1"/>
  <c r="K409" i="1"/>
  <c r="J409" i="1"/>
  <c r="K408" i="1"/>
  <c r="J408" i="1"/>
  <c r="R408" i="1" s="1"/>
  <c r="R407" i="1"/>
  <c r="K407" i="1"/>
  <c r="J407" i="1"/>
  <c r="U407" i="1" s="1"/>
  <c r="K406" i="1"/>
  <c r="J406" i="1"/>
  <c r="V406" i="1" s="1"/>
  <c r="K405" i="1"/>
  <c r="J405" i="1"/>
  <c r="T405" i="1" s="1"/>
  <c r="K404" i="1"/>
  <c r="J404" i="1"/>
  <c r="V404" i="1" s="1"/>
  <c r="K403" i="1"/>
  <c r="J403" i="1"/>
  <c r="T403" i="1" s="1"/>
  <c r="K402" i="1"/>
  <c r="J402" i="1"/>
  <c r="T402" i="1" s="1"/>
  <c r="K401" i="1"/>
  <c r="J401" i="1"/>
  <c r="V401" i="1" s="1"/>
  <c r="K400" i="1"/>
  <c r="J400" i="1"/>
  <c r="R400" i="1" s="1"/>
  <c r="K399" i="1"/>
  <c r="J399" i="1"/>
  <c r="T399" i="1" s="1"/>
  <c r="K398" i="1"/>
  <c r="J398" i="1"/>
  <c r="V398" i="1" s="1"/>
  <c r="K397" i="1"/>
  <c r="J397" i="1"/>
  <c r="V397" i="1" s="1"/>
  <c r="K396" i="1"/>
  <c r="J396" i="1"/>
  <c r="V396" i="1" s="1"/>
  <c r="K395" i="1"/>
  <c r="J395" i="1"/>
  <c r="V395" i="1" s="1"/>
  <c r="K394" i="1"/>
  <c r="J394" i="1"/>
  <c r="T394" i="1" s="1"/>
  <c r="K393" i="1"/>
  <c r="J393" i="1"/>
  <c r="K392" i="1"/>
  <c r="J392" i="1"/>
  <c r="R392" i="1" s="1"/>
  <c r="K391" i="1"/>
  <c r="J391" i="1"/>
  <c r="V391" i="1" s="1"/>
  <c r="K390" i="1"/>
  <c r="J390" i="1"/>
  <c r="V390" i="1" s="1"/>
  <c r="K389" i="1"/>
  <c r="J389" i="1"/>
  <c r="R389" i="1" s="1"/>
  <c r="K388" i="1"/>
  <c r="J388" i="1"/>
  <c r="V388" i="1" s="1"/>
  <c r="K387" i="1"/>
  <c r="J387" i="1"/>
  <c r="T387" i="1" s="1"/>
  <c r="K386" i="1"/>
  <c r="J386" i="1"/>
  <c r="T386" i="1" s="1"/>
  <c r="K385" i="1"/>
  <c r="J385" i="1"/>
  <c r="V385" i="1" s="1"/>
  <c r="K384" i="1"/>
  <c r="J384" i="1"/>
  <c r="R384" i="1" s="1"/>
  <c r="K383" i="1"/>
  <c r="J383" i="1"/>
  <c r="T383" i="1" s="1"/>
  <c r="K382" i="1"/>
  <c r="J382" i="1"/>
  <c r="V382" i="1" s="1"/>
  <c r="K381" i="1"/>
  <c r="J381" i="1"/>
  <c r="V381" i="1" s="1"/>
  <c r="K380" i="1"/>
  <c r="J380" i="1"/>
  <c r="V380" i="1" s="1"/>
  <c r="K379" i="1"/>
  <c r="J379" i="1"/>
  <c r="V379" i="1" s="1"/>
  <c r="K378" i="1"/>
  <c r="J378" i="1"/>
  <c r="T378" i="1" s="1"/>
  <c r="K377" i="1"/>
  <c r="J377" i="1"/>
  <c r="K376" i="1"/>
  <c r="J376" i="1"/>
  <c r="R376" i="1" s="1"/>
  <c r="K375" i="1"/>
  <c r="J375" i="1"/>
  <c r="R375" i="1" s="1"/>
  <c r="K374" i="1"/>
  <c r="J374" i="1"/>
  <c r="V374" i="1" s="1"/>
  <c r="K373" i="1"/>
  <c r="J373" i="1"/>
  <c r="R373" i="1" s="1"/>
  <c r="K372" i="1"/>
  <c r="J372" i="1"/>
  <c r="V372" i="1" s="1"/>
  <c r="K371" i="1"/>
  <c r="J371" i="1"/>
  <c r="T371" i="1" s="1"/>
  <c r="K370" i="1"/>
  <c r="J370" i="1"/>
  <c r="T370" i="1" s="1"/>
  <c r="K369" i="1"/>
  <c r="J369" i="1"/>
  <c r="V369" i="1" s="1"/>
  <c r="K368" i="1"/>
  <c r="J368" i="1"/>
  <c r="R368" i="1" s="1"/>
  <c r="K367" i="1"/>
  <c r="J367" i="1"/>
  <c r="T367" i="1" s="1"/>
  <c r="K366" i="1"/>
  <c r="J366" i="1"/>
  <c r="V366" i="1" s="1"/>
  <c r="K365" i="1"/>
  <c r="J365" i="1"/>
  <c r="T365" i="1" s="1"/>
  <c r="K364" i="1"/>
  <c r="J364" i="1"/>
  <c r="V364" i="1" s="1"/>
  <c r="K363" i="1"/>
  <c r="J363" i="1"/>
  <c r="V363" i="1" s="1"/>
  <c r="K362" i="1"/>
  <c r="J362" i="1"/>
  <c r="T362" i="1" s="1"/>
  <c r="K361" i="1"/>
  <c r="J361" i="1"/>
  <c r="K360" i="1"/>
  <c r="J360" i="1"/>
  <c r="R360" i="1" s="1"/>
  <c r="T359" i="1"/>
  <c r="K359" i="1"/>
  <c r="J359" i="1"/>
  <c r="V359" i="1" s="1"/>
  <c r="K358" i="1"/>
  <c r="J358" i="1"/>
  <c r="V358" i="1" s="1"/>
  <c r="K357" i="1"/>
  <c r="J357" i="1"/>
  <c r="K356" i="1"/>
  <c r="J356" i="1"/>
  <c r="V356" i="1" s="1"/>
  <c r="K355" i="1"/>
  <c r="J355" i="1"/>
  <c r="T355" i="1" s="1"/>
  <c r="K354" i="1"/>
  <c r="J354" i="1"/>
  <c r="K353" i="1"/>
  <c r="J353" i="1"/>
  <c r="K352" i="1"/>
  <c r="J352" i="1"/>
  <c r="K351" i="1"/>
  <c r="J351" i="1"/>
  <c r="T351" i="1" s="1"/>
  <c r="K350" i="1"/>
  <c r="J350" i="1"/>
  <c r="V350" i="1" s="1"/>
  <c r="K349" i="1"/>
  <c r="J349" i="1"/>
  <c r="T349" i="1" s="1"/>
  <c r="U348" i="1"/>
  <c r="K348" i="1"/>
  <c r="J348" i="1"/>
  <c r="V348" i="1" s="1"/>
  <c r="K347" i="1"/>
  <c r="J347" i="1"/>
  <c r="V347" i="1" s="1"/>
  <c r="K346" i="1"/>
  <c r="J346" i="1"/>
  <c r="T346" i="1" s="1"/>
  <c r="K345" i="1"/>
  <c r="J345" i="1"/>
  <c r="K344" i="1"/>
  <c r="J344" i="1"/>
  <c r="R344" i="1" s="1"/>
  <c r="K343" i="1"/>
  <c r="J343" i="1"/>
  <c r="V343" i="1" s="1"/>
  <c r="K342" i="1"/>
  <c r="J342" i="1"/>
  <c r="V342" i="1" s="1"/>
  <c r="K341" i="1"/>
  <c r="J341" i="1"/>
  <c r="R341" i="1" s="1"/>
  <c r="K340" i="1"/>
  <c r="J340" i="1"/>
  <c r="V340" i="1" s="1"/>
  <c r="K339" i="1"/>
  <c r="J339" i="1"/>
  <c r="T339" i="1" s="1"/>
  <c r="K338" i="1"/>
  <c r="J338" i="1"/>
  <c r="K337" i="1"/>
  <c r="J337" i="1"/>
  <c r="K336" i="1"/>
  <c r="J336" i="1"/>
  <c r="K335" i="1"/>
  <c r="J335" i="1"/>
  <c r="T335" i="1" s="1"/>
  <c r="K334" i="1"/>
  <c r="J334" i="1"/>
  <c r="V334" i="1" s="1"/>
  <c r="K333" i="1"/>
  <c r="J333" i="1"/>
  <c r="T333" i="1" s="1"/>
  <c r="K332" i="1"/>
  <c r="J332" i="1"/>
  <c r="V332" i="1" s="1"/>
  <c r="K331" i="1"/>
  <c r="J331" i="1"/>
  <c r="V331" i="1" s="1"/>
  <c r="K330" i="1"/>
  <c r="J330" i="1"/>
  <c r="T330" i="1" s="1"/>
  <c r="K329" i="1"/>
  <c r="J329" i="1"/>
  <c r="K328" i="1"/>
  <c r="J328" i="1"/>
  <c r="R328" i="1" s="1"/>
  <c r="K327" i="1"/>
  <c r="J327" i="1"/>
  <c r="V327" i="1" s="1"/>
  <c r="K326" i="1"/>
  <c r="J326" i="1"/>
  <c r="V326" i="1" s="1"/>
  <c r="K325" i="1"/>
  <c r="J325" i="1"/>
  <c r="K324" i="1"/>
  <c r="J324" i="1"/>
  <c r="K323" i="1"/>
  <c r="J323" i="1"/>
  <c r="T323" i="1" s="1"/>
  <c r="K322" i="1"/>
  <c r="J322" i="1"/>
  <c r="T322" i="1" s="1"/>
  <c r="K321" i="1"/>
  <c r="J321" i="1"/>
  <c r="R321" i="1" s="1"/>
  <c r="K320" i="1"/>
  <c r="J320" i="1"/>
  <c r="R320" i="1" s="1"/>
  <c r="K319" i="1"/>
  <c r="J319" i="1"/>
  <c r="T319" i="1" s="1"/>
  <c r="K318" i="1"/>
  <c r="J318" i="1"/>
  <c r="V318" i="1" s="1"/>
  <c r="K317" i="1"/>
  <c r="J317" i="1"/>
  <c r="T317" i="1" s="1"/>
  <c r="K316" i="1"/>
  <c r="J316" i="1"/>
  <c r="V316" i="1" s="1"/>
  <c r="K315" i="1"/>
  <c r="J315" i="1"/>
  <c r="V315" i="1" s="1"/>
  <c r="K314" i="1"/>
  <c r="J314" i="1"/>
  <c r="T314" i="1" s="1"/>
  <c r="K313" i="1"/>
  <c r="J313" i="1"/>
  <c r="K312" i="1"/>
  <c r="J312" i="1"/>
  <c r="R311" i="1"/>
  <c r="K311" i="1"/>
  <c r="J311" i="1"/>
  <c r="V311" i="1" s="1"/>
  <c r="K310" i="1"/>
  <c r="J310" i="1"/>
  <c r="V310" i="1" s="1"/>
  <c r="K309" i="1"/>
  <c r="J309" i="1"/>
  <c r="R309" i="1" s="1"/>
  <c r="K308" i="1"/>
  <c r="J308" i="1"/>
  <c r="K307" i="1"/>
  <c r="J307" i="1"/>
  <c r="T307" i="1" s="1"/>
  <c r="K306" i="1"/>
  <c r="J306" i="1"/>
  <c r="T306" i="1" s="1"/>
  <c r="K305" i="1"/>
  <c r="J305" i="1"/>
  <c r="R305" i="1" s="1"/>
  <c r="K304" i="1"/>
  <c r="J304" i="1"/>
  <c r="R304" i="1" s="1"/>
  <c r="K303" i="1"/>
  <c r="J303" i="1"/>
  <c r="T303" i="1" s="1"/>
  <c r="K302" i="1"/>
  <c r="J302" i="1"/>
  <c r="S301" i="1"/>
  <c r="K301" i="1"/>
  <c r="J301" i="1"/>
  <c r="U301" i="1" s="1"/>
  <c r="K300" i="1"/>
  <c r="J300" i="1"/>
  <c r="V300" i="1" s="1"/>
  <c r="K299" i="1"/>
  <c r="J299" i="1"/>
  <c r="U299" i="1" s="1"/>
  <c r="K298" i="1"/>
  <c r="J298" i="1"/>
  <c r="V298" i="1" s="1"/>
  <c r="K297" i="1"/>
  <c r="J297" i="1"/>
  <c r="K296" i="1"/>
  <c r="J296" i="1"/>
  <c r="U296" i="1" s="1"/>
  <c r="K295" i="1"/>
  <c r="J295" i="1"/>
  <c r="T295" i="1" s="1"/>
  <c r="R294" i="1"/>
  <c r="K294" i="1"/>
  <c r="J294" i="1"/>
  <c r="K293" i="1"/>
  <c r="J293" i="1"/>
  <c r="R293" i="1" s="1"/>
  <c r="K292" i="1"/>
  <c r="J292" i="1"/>
  <c r="K291" i="1"/>
  <c r="J291" i="1"/>
  <c r="V291" i="1" s="1"/>
  <c r="K290" i="1"/>
  <c r="J290" i="1"/>
  <c r="U290" i="1" s="1"/>
  <c r="K289" i="1"/>
  <c r="J289" i="1"/>
  <c r="V289" i="1" s="1"/>
  <c r="K288" i="1"/>
  <c r="J288" i="1"/>
  <c r="U288" i="1" s="1"/>
  <c r="K287" i="1"/>
  <c r="J287" i="1"/>
  <c r="T287" i="1" s="1"/>
  <c r="K286" i="1"/>
  <c r="J286" i="1"/>
  <c r="K285" i="1"/>
  <c r="J285" i="1"/>
  <c r="T285" i="1" s="1"/>
  <c r="K284" i="1"/>
  <c r="J284" i="1"/>
  <c r="V284" i="1" s="1"/>
  <c r="K283" i="1"/>
  <c r="J283" i="1"/>
  <c r="V283" i="1" s="1"/>
  <c r="K282" i="1"/>
  <c r="J282" i="1"/>
  <c r="U282" i="1" s="1"/>
  <c r="K281" i="1"/>
  <c r="J281" i="1"/>
  <c r="V281" i="1" s="1"/>
  <c r="K280" i="1"/>
  <c r="J280" i="1"/>
  <c r="U280" i="1" s="1"/>
  <c r="K279" i="1"/>
  <c r="J279" i="1"/>
  <c r="T279" i="1" s="1"/>
  <c r="K278" i="1"/>
  <c r="J278" i="1"/>
  <c r="R278" i="1" s="1"/>
  <c r="K277" i="1"/>
  <c r="J277" i="1"/>
  <c r="R277" i="1" s="1"/>
  <c r="K276" i="1"/>
  <c r="J276" i="1"/>
  <c r="V276" i="1" s="1"/>
  <c r="K275" i="1"/>
  <c r="J275" i="1"/>
  <c r="V275" i="1" s="1"/>
  <c r="K274" i="1"/>
  <c r="J274" i="1"/>
  <c r="U274" i="1" s="1"/>
  <c r="K273" i="1"/>
  <c r="J273" i="1"/>
  <c r="V273" i="1" s="1"/>
  <c r="K272" i="1"/>
  <c r="J272" i="1"/>
  <c r="U272" i="1" s="1"/>
  <c r="U271" i="1"/>
  <c r="K271" i="1"/>
  <c r="J271" i="1"/>
  <c r="T271" i="1" s="1"/>
  <c r="K270" i="1"/>
  <c r="J270" i="1"/>
  <c r="T270" i="1" s="1"/>
  <c r="K269" i="1"/>
  <c r="J269" i="1"/>
  <c r="R269" i="1" s="1"/>
  <c r="K268" i="1"/>
  <c r="J268" i="1"/>
  <c r="K267" i="1"/>
  <c r="J267" i="1"/>
  <c r="V267" i="1" s="1"/>
  <c r="K266" i="1"/>
  <c r="J266" i="1"/>
  <c r="K265" i="1"/>
  <c r="J265" i="1"/>
  <c r="V265" i="1" s="1"/>
  <c r="K264" i="1"/>
  <c r="J264" i="1"/>
  <c r="U264" i="1" s="1"/>
  <c r="K263" i="1"/>
  <c r="J263" i="1"/>
  <c r="T263" i="1" s="1"/>
  <c r="K262" i="1"/>
  <c r="J262" i="1"/>
  <c r="R262" i="1" s="1"/>
  <c r="K261" i="1"/>
  <c r="J261" i="1"/>
  <c r="R261" i="1" s="1"/>
  <c r="K260" i="1"/>
  <c r="J260" i="1"/>
  <c r="K259" i="1"/>
  <c r="J259" i="1"/>
  <c r="T259" i="1" s="1"/>
  <c r="K258" i="1"/>
  <c r="J258" i="1"/>
  <c r="T258" i="1" s="1"/>
  <c r="K257" i="1"/>
  <c r="J257" i="1"/>
  <c r="V257" i="1" s="1"/>
  <c r="K256" i="1"/>
  <c r="J256" i="1"/>
  <c r="U256" i="1" s="1"/>
  <c r="K255" i="1"/>
  <c r="J255" i="1"/>
  <c r="T255" i="1" s="1"/>
  <c r="K254" i="1"/>
  <c r="J254" i="1"/>
  <c r="T254" i="1" s="1"/>
  <c r="K253" i="1"/>
  <c r="J253" i="1"/>
  <c r="R253" i="1" s="1"/>
  <c r="K252" i="1"/>
  <c r="J252" i="1"/>
  <c r="V252" i="1" s="1"/>
  <c r="K251" i="1"/>
  <c r="J251" i="1"/>
  <c r="V251" i="1" s="1"/>
  <c r="K250" i="1"/>
  <c r="J250" i="1"/>
  <c r="V250" i="1" s="1"/>
  <c r="K249" i="1"/>
  <c r="J249" i="1"/>
  <c r="V249" i="1" s="1"/>
  <c r="K248" i="1"/>
  <c r="J248" i="1"/>
  <c r="U248" i="1" s="1"/>
  <c r="K247" i="1"/>
  <c r="J247" i="1"/>
  <c r="T247" i="1" s="1"/>
  <c r="K246" i="1"/>
  <c r="J246" i="1"/>
  <c r="K245" i="1"/>
  <c r="J245" i="1"/>
  <c r="R245" i="1" s="1"/>
  <c r="K244" i="1"/>
  <c r="J244" i="1"/>
  <c r="K243" i="1"/>
  <c r="J243" i="1"/>
  <c r="V243" i="1" s="1"/>
  <c r="K242" i="1"/>
  <c r="J242" i="1"/>
  <c r="K241" i="1"/>
  <c r="J241" i="1"/>
  <c r="V241" i="1" s="1"/>
  <c r="K240" i="1"/>
  <c r="J240" i="1"/>
  <c r="U240" i="1" s="1"/>
  <c r="K239" i="1"/>
  <c r="J239" i="1"/>
  <c r="T239" i="1" s="1"/>
  <c r="K238" i="1"/>
  <c r="J238" i="1"/>
  <c r="T238" i="1" s="1"/>
  <c r="K237" i="1"/>
  <c r="J237" i="1"/>
  <c r="R237" i="1" s="1"/>
  <c r="K236" i="1"/>
  <c r="J236" i="1"/>
  <c r="V236" i="1" s="1"/>
  <c r="K235" i="1"/>
  <c r="J235" i="1"/>
  <c r="V235" i="1" s="1"/>
  <c r="K234" i="1"/>
  <c r="J234" i="1"/>
  <c r="V234" i="1" s="1"/>
  <c r="K233" i="1"/>
  <c r="J233" i="1"/>
  <c r="V233" i="1" s="1"/>
  <c r="K232" i="1"/>
  <c r="J232" i="1"/>
  <c r="U232" i="1" s="1"/>
  <c r="K231" i="1"/>
  <c r="J231" i="1"/>
  <c r="T231" i="1" s="1"/>
  <c r="K230" i="1"/>
  <c r="J230" i="1"/>
  <c r="T230" i="1" s="1"/>
  <c r="K229" i="1"/>
  <c r="J229" i="1"/>
  <c r="R229" i="1" s="1"/>
  <c r="K228" i="1"/>
  <c r="J228" i="1"/>
  <c r="V228" i="1" s="1"/>
  <c r="K227" i="1"/>
  <c r="J227" i="1"/>
  <c r="V227" i="1" s="1"/>
  <c r="K226" i="1"/>
  <c r="J226" i="1"/>
  <c r="T226" i="1" s="1"/>
  <c r="K225" i="1"/>
  <c r="J225" i="1"/>
  <c r="V225" i="1" s="1"/>
  <c r="K224" i="1"/>
  <c r="J224" i="1"/>
  <c r="R224" i="1" s="1"/>
  <c r="K223" i="1"/>
  <c r="J223" i="1"/>
  <c r="T223" i="1" s="1"/>
  <c r="K222" i="1"/>
  <c r="J222" i="1"/>
  <c r="K221" i="1"/>
  <c r="J221" i="1"/>
  <c r="R221" i="1" s="1"/>
  <c r="K220" i="1"/>
  <c r="J220" i="1"/>
  <c r="U219" i="1"/>
  <c r="K219" i="1"/>
  <c r="J219" i="1"/>
  <c r="V219" i="1" s="1"/>
  <c r="K218" i="1"/>
  <c r="J218" i="1"/>
  <c r="V218" i="1" s="1"/>
  <c r="K217" i="1"/>
  <c r="J217" i="1"/>
  <c r="V217" i="1" s="1"/>
  <c r="R216" i="1"/>
  <c r="K216" i="1"/>
  <c r="J216" i="1"/>
  <c r="K215" i="1"/>
  <c r="J215" i="1"/>
  <c r="T215" i="1" s="1"/>
  <c r="K214" i="1"/>
  <c r="J214" i="1"/>
  <c r="V214" i="1" s="1"/>
  <c r="K213" i="1"/>
  <c r="J213" i="1"/>
  <c r="R213" i="1" s="1"/>
  <c r="K212" i="1"/>
  <c r="J212" i="1"/>
  <c r="V212" i="1" s="1"/>
  <c r="K211" i="1"/>
  <c r="J211" i="1"/>
  <c r="V211" i="1" s="1"/>
  <c r="K210" i="1"/>
  <c r="J210" i="1"/>
  <c r="T210" i="1" s="1"/>
  <c r="K209" i="1"/>
  <c r="J209" i="1"/>
  <c r="V209" i="1" s="1"/>
  <c r="K208" i="1"/>
  <c r="J208" i="1"/>
  <c r="V208" i="1" s="1"/>
  <c r="K207" i="1"/>
  <c r="J207" i="1"/>
  <c r="T207" i="1" s="1"/>
  <c r="K206" i="1"/>
  <c r="J206" i="1"/>
  <c r="U205" i="1"/>
  <c r="K205" i="1"/>
  <c r="J205" i="1"/>
  <c r="R205" i="1" s="1"/>
  <c r="K204" i="1"/>
  <c r="J204" i="1"/>
  <c r="K203" i="1"/>
  <c r="J203" i="1"/>
  <c r="V203" i="1" s="1"/>
  <c r="K202" i="1"/>
  <c r="J202" i="1"/>
  <c r="V202" i="1" s="1"/>
  <c r="K201" i="1"/>
  <c r="J201" i="1"/>
  <c r="V201" i="1" s="1"/>
  <c r="K200" i="1"/>
  <c r="J200" i="1"/>
  <c r="K199" i="1"/>
  <c r="J199" i="1"/>
  <c r="T199" i="1" s="1"/>
  <c r="K198" i="1"/>
  <c r="J198" i="1"/>
  <c r="V198" i="1" s="1"/>
  <c r="K197" i="1"/>
  <c r="J197" i="1"/>
  <c r="R197" i="1" s="1"/>
  <c r="K196" i="1"/>
  <c r="J196" i="1"/>
  <c r="R196" i="1" s="1"/>
  <c r="K195" i="1"/>
  <c r="J195" i="1"/>
  <c r="V195" i="1" s="1"/>
  <c r="K194" i="1"/>
  <c r="J194" i="1"/>
  <c r="T194" i="1" s="1"/>
  <c r="K193" i="1"/>
  <c r="J193" i="1"/>
  <c r="V193" i="1" s="1"/>
  <c r="K192" i="1"/>
  <c r="J192" i="1"/>
  <c r="V192" i="1" s="1"/>
  <c r="K191" i="1"/>
  <c r="J191" i="1"/>
  <c r="T191" i="1" s="1"/>
  <c r="K190" i="1"/>
  <c r="J190" i="1"/>
  <c r="K189" i="1"/>
  <c r="J189" i="1"/>
  <c r="R189" i="1" s="1"/>
  <c r="K188" i="1"/>
  <c r="J188" i="1"/>
  <c r="K187" i="1"/>
  <c r="J187" i="1"/>
  <c r="V187" i="1" s="1"/>
  <c r="K186" i="1"/>
  <c r="J186" i="1"/>
  <c r="V186" i="1" s="1"/>
  <c r="K185" i="1"/>
  <c r="J185" i="1"/>
  <c r="V185" i="1" s="1"/>
  <c r="K184" i="1"/>
  <c r="J184" i="1"/>
  <c r="R184" i="1" s="1"/>
  <c r="K183" i="1"/>
  <c r="J183" i="1"/>
  <c r="T183" i="1" s="1"/>
  <c r="K182" i="1"/>
  <c r="J182" i="1"/>
  <c r="T182" i="1" s="1"/>
  <c r="K181" i="1"/>
  <c r="J181" i="1"/>
  <c r="R181" i="1" s="1"/>
  <c r="K180" i="1"/>
  <c r="J180" i="1"/>
  <c r="V180" i="1" s="1"/>
  <c r="K179" i="1"/>
  <c r="J179" i="1"/>
  <c r="V179" i="1" s="1"/>
  <c r="K178" i="1"/>
  <c r="J178" i="1"/>
  <c r="T178" i="1" s="1"/>
  <c r="K177" i="1"/>
  <c r="J177" i="1"/>
  <c r="V177" i="1" s="1"/>
  <c r="K176" i="1"/>
  <c r="J176" i="1"/>
  <c r="R176" i="1" s="1"/>
  <c r="K175" i="1"/>
  <c r="J175" i="1"/>
  <c r="T175" i="1" s="1"/>
  <c r="K174" i="1"/>
  <c r="J174" i="1"/>
  <c r="K173" i="1"/>
  <c r="J173" i="1"/>
  <c r="R173" i="1" s="1"/>
  <c r="K172" i="1"/>
  <c r="J172" i="1"/>
  <c r="K171" i="1"/>
  <c r="J171" i="1"/>
  <c r="V171" i="1" s="1"/>
  <c r="K170" i="1"/>
  <c r="J170" i="1"/>
  <c r="V170" i="1" s="1"/>
  <c r="K169" i="1"/>
  <c r="J169" i="1"/>
  <c r="V169" i="1" s="1"/>
  <c r="K168" i="1"/>
  <c r="J168" i="1"/>
  <c r="K167" i="1"/>
  <c r="J167" i="1"/>
  <c r="T167" i="1" s="1"/>
  <c r="K166" i="1"/>
  <c r="J166" i="1"/>
  <c r="V166" i="1" s="1"/>
  <c r="K165" i="1"/>
  <c r="J165" i="1"/>
  <c r="R165" i="1" s="1"/>
  <c r="K164" i="1"/>
  <c r="J164" i="1"/>
  <c r="V164" i="1" s="1"/>
  <c r="S163" i="1"/>
  <c r="K163" i="1"/>
  <c r="J163" i="1"/>
  <c r="V163" i="1" s="1"/>
  <c r="K162" i="1"/>
  <c r="J162" i="1"/>
  <c r="T162" i="1" s="1"/>
  <c r="K161" i="1"/>
  <c r="J161" i="1"/>
  <c r="V161" i="1" s="1"/>
  <c r="K160" i="1"/>
  <c r="J160" i="1"/>
  <c r="V160" i="1" s="1"/>
  <c r="K159" i="1"/>
  <c r="J159" i="1"/>
  <c r="T159" i="1" s="1"/>
  <c r="K158" i="1"/>
  <c r="J158" i="1"/>
  <c r="K157" i="1"/>
  <c r="J157" i="1"/>
  <c r="S157" i="1" s="1"/>
  <c r="S156" i="1"/>
  <c r="K156" i="1"/>
  <c r="J156" i="1"/>
  <c r="T156" i="1" s="1"/>
  <c r="K155" i="1"/>
  <c r="J155" i="1"/>
  <c r="S155" i="1" s="1"/>
  <c r="K154" i="1"/>
  <c r="J154" i="1"/>
  <c r="U154" i="1" s="1"/>
  <c r="K153" i="1"/>
  <c r="J153" i="1"/>
  <c r="R153" i="1" s="1"/>
  <c r="K152" i="1"/>
  <c r="J152" i="1"/>
  <c r="V152" i="1" s="1"/>
  <c r="K151" i="1"/>
  <c r="J151" i="1"/>
  <c r="V151" i="1" s="1"/>
  <c r="K150" i="1"/>
  <c r="J150" i="1"/>
  <c r="V150" i="1" s="1"/>
  <c r="K149" i="1"/>
  <c r="J149" i="1"/>
  <c r="S149" i="1" s="1"/>
  <c r="K148" i="1"/>
  <c r="J148" i="1"/>
  <c r="T148" i="1" s="1"/>
  <c r="K147" i="1"/>
  <c r="J147" i="1"/>
  <c r="S147" i="1" s="1"/>
  <c r="K146" i="1"/>
  <c r="J146" i="1"/>
  <c r="U146" i="1" s="1"/>
  <c r="K145" i="1"/>
  <c r="J145" i="1"/>
  <c r="R145" i="1" s="1"/>
  <c r="K144" i="1"/>
  <c r="J144" i="1"/>
  <c r="V144" i="1" s="1"/>
  <c r="K143" i="1"/>
  <c r="J143" i="1"/>
  <c r="K142" i="1"/>
  <c r="J142" i="1"/>
  <c r="V142" i="1" s="1"/>
  <c r="K141" i="1"/>
  <c r="J141" i="1"/>
  <c r="S141" i="1" s="1"/>
  <c r="K140" i="1"/>
  <c r="J140" i="1"/>
  <c r="T140" i="1" s="1"/>
  <c r="K139" i="1"/>
  <c r="J139" i="1"/>
  <c r="S139" i="1" s="1"/>
  <c r="S138" i="1"/>
  <c r="K138" i="1"/>
  <c r="J138" i="1"/>
  <c r="U138" i="1" s="1"/>
  <c r="K137" i="1"/>
  <c r="J137" i="1"/>
  <c r="K136" i="1"/>
  <c r="J136" i="1"/>
  <c r="V136" i="1" s="1"/>
  <c r="K135" i="1"/>
  <c r="J135" i="1"/>
  <c r="K134" i="1"/>
  <c r="J134" i="1"/>
  <c r="V134" i="1" s="1"/>
  <c r="K133" i="1"/>
  <c r="J133" i="1"/>
  <c r="S133" i="1" s="1"/>
  <c r="K132" i="1"/>
  <c r="J132" i="1"/>
  <c r="T132" i="1" s="1"/>
  <c r="K131" i="1"/>
  <c r="J131" i="1"/>
  <c r="S131" i="1" s="1"/>
  <c r="K130" i="1"/>
  <c r="J130" i="1"/>
  <c r="U130" i="1" s="1"/>
  <c r="K129" i="1"/>
  <c r="J129" i="1"/>
  <c r="K128" i="1"/>
  <c r="J128" i="1"/>
  <c r="V128" i="1" s="1"/>
  <c r="K127" i="1"/>
  <c r="J127" i="1"/>
  <c r="V127" i="1" s="1"/>
  <c r="K126" i="1"/>
  <c r="J126" i="1"/>
  <c r="U126" i="1" s="1"/>
  <c r="K125" i="1"/>
  <c r="J125" i="1"/>
  <c r="S125" i="1" s="1"/>
  <c r="K124" i="1"/>
  <c r="J124" i="1"/>
  <c r="T124" i="1" s="1"/>
  <c r="K123" i="1"/>
  <c r="J123" i="1"/>
  <c r="S123" i="1" s="1"/>
  <c r="K122" i="1"/>
  <c r="J122" i="1"/>
  <c r="U122" i="1" s="1"/>
  <c r="K121" i="1"/>
  <c r="J121" i="1"/>
  <c r="K120" i="1"/>
  <c r="J120" i="1"/>
  <c r="V120" i="1" s="1"/>
  <c r="V119" i="1"/>
  <c r="K119" i="1"/>
  <c r="J119" i="1"/>
  <c r="K118" i="1"/>
  <c r="J118" i="1"/>
  <c r="U118" i="1" s="1"/>
  <c r="K117" i="1"/>
  <c r="J117" i="1"/>
  <c r="S117" i="1" s="1"/>
  <c r="K116" i="1"/>
  <c r="J116" i="1"/>
  <c r="T116" i="1" s="1"/>
  <c r="K115" i="1"/>
  <c r="J115" i="1"/>
  <c r="S115" i="1" s="1"/>
  <c r="K114" i="1"/>
  <c r="J114" i="1"/>
  <c r="U114" i="1" s="1"/>
  <c r="K113" i="1"/>
  <c r="J113" i="1"/>
  <c r="S113" i="1" s="1"/>
  <c r="K112" i="1"/>
  <c r="J112" i="1"/>
  <c r="V112" i="1" s="1"/>
  <c r="K111" i="1"/>
  <c r="J111" i="1"/>
  <c r="V111" i="1" s="1"/>
  <c r="K110" i="1"/>
  <c r="J110" i="1"/>
  <c r="U110" i="1" s="1"/>
  <c r="K109" i="1"/>
  <c r="J109" i="1"/>
  <c r="S109" i="1" s="1"/>
  <c r="K108" i="1"/>
  <c r="J108" i="1"/>
  <c r="T108" i="1" s="1"/>
  <c r="K107" i="1"/>
  <c r="J107" i="1"/>
  <c r="S107" i="1" s="1"/>
  <c r="K106" i="1"/>
  <c r="J106" i="1"/>
  <c r="U106" i="1" s="1"/>
  <c r="K105" i="1"/>
  <c r="J105" i="1"/>
  <c r="K104" i="1"/>
  <c r="J104" i="1"/>
  <c r="V104" i="1" s="1"/>
  <c r="K103" i="1"/>
  <c r="J103" i="1"/>
  <c r="V103" i="1" s="1"/>
  <c r="K102" i="1"/>
  <c r="J102" i="1"/>
  <c r="U102" i="1" s="1"/>
  <c r="K101" i="1"/>
  <c r="J101" i="1"/>
  <c r="S101" i="1" s="1"/>
  <c r="K100" i="1"/>
  <c r="J100" i="1"/>
  <c r="T100" i="1" s="1"/>
  <c r="K99" i="1"/>
  <c r="J99" i="1"/>
  <c r="S99" i="1" s="1"/>
  <c r="K98" i="1"/>
  <c r="J98" i="1"/>
  <c r="U98" i="1" s="1"/>
  <c r="K97" i="1"/>
  <c r="J97" i="1"/>
  <c r="S97" i="1" s="1"/>
  <c r="K96" i="1"/>
  <c r="J96" i="1"/>
  <c r="V96" i="1" s="1"/>
  <c r="K95" i="1"/>
  <c r="J95" i="1"/>
  <c r="V95" i="1" s="1"/>
  <c r="K94" i="1"/>
  <c r="J94" i="1"/>
  <c r="U94" i="1" s="1"/>
  <c r="K93" i="1"/>
  <c r="J93" i="1"/>
  <c r="S93" i="1" s="1"/>
  <c r="K92" i="1"/>
  <c r="J92" i="1"/>
  <c r="T92" i="1" s="1"/>
  <c r="K91" i="1"/>
  <c r="J91" i="1"/>
  <c r="S91" i="1" s="1"/>
  <c r="V90" i="1"/>
  <c r="K90" i="1"/>
  <c r="J90" i="1"/>
  <c r="U90" i="1" s="1"/>
  <c r="K89" i="1"/>
  <c r="J89" i="1"/>
  <c r="K88" i="1"/>
  <c r="J88" i="1"/>
  <c r="V88" i="1" s="1"/>
  <c r="V87" i="1"/>
  <c r="K87" i="1"/>
  <c r="J87" i="1"/>
  <c r="K86" i="1"/>
  <c r="J86" i="1"/>
  <c r="U86" i="1" s="1"/>
  <c r="K85" i="1"/>
  <c r="J85" i="1"/>
  <c r="U85" i="1" s="1"/>
  <c r="K84" i="1"/>
  <c r="J84" i="1"/>
  <c r="T84" i="1" s="1"/>
  <c r="K83" i="1"/>
  <c r="J83" i="1"/>
  <c r="S83" i="1" s="1"/>
  <c r="K82" i="1"/>
  <c r="J82" i="1"/>
  <c r="U82" i="1" s="1"/>
  <c r="K81" i="1"/>
  <c r="J81" i="1"/>
  <c r="S81" i="1" s="1"/>
  <c r="K80" i="1"/>
  <c r="J80" i="1"/>
  <c r="V80" i="1" s="1"/>
  <c r="K79" i="1"/>
  <c r="J79" i="1"/>
  <c r="V79" i="1" s="1"/>
  <c r="K78" i="1"/>
  <c r="J78" i="1"/>
  <c r="K77" i="1"/>
  <c r="J77" i="1"/>
  <c r="S77" i="1" s="1"/>
  <c r="K76" i="1"/>
  <c r="J76" i="1"/>
  <c r="T76" i="1" s="1"/>
  <c r="K75" i="1"/>
  <c r="J75" i="1"/>
  <c r="U75" i="1" s="1"/>
  <c r="K74" i="1"/>
  <c r="J74" i="1"/>
  <c r="U74" i="1" s="1"/>
  <c r="K73" i="1"/>
  <c r="J73" i="1"/>
  <c r="K72" i="1"/>
  <c r="J72" i="1"/>
  <c r="V72" i="1" s="1"/>
  <c r="K71" i="1"/>
  <c r="J71" i="1"/>
  <c r="K70" i="1"/>
  <c r="J70" i="1"/>
  <c r="U70" i="1" s="1"/>
  <c r="T69" i="1"/>
  <c r="K69" i="1"/>
  <c r="J69" i="1"/>
  <c r="S69" i="1" s="1"/>
  <c r="K68" i="1"/>
  <c r="J68" i="1"/>
  <c r="T68" i="1" s="1"/>
  <c r="K67" i="1"/>
  <c r="J67" i="1"/>
  <c r="U67" i="1" s="1"/>
  <c r="S66" i="1"/>
  <c r="K66" i="1"/>
  <c r="J66" i="1"/>
  <c r="R66" i="1" s="1"/>
  <c r="K65" i="1"/>
  <c r="J65" i="1"/>
  <c r="V65" i="1" s="1"/>
  <c r="K64" i="1"/>
  <c r="J64" i="1"/>
  <c r="V64" i="1" s="1"/>
  <c r="K63" i="1"/>
  <c r="J63" i="1"/>
  <c r="V63" i="1" s="1"/>
  <c r="K62" i="1"/>
  <c r="J62" i="1"/>
  <c r="U62" i="1" s="1"/>
  <c r="K61" i="1"/>
  <c r="J61" i="1"/>
  <c r="U61" i="1" s="1"/>
  <c r="K60" i="1"/>
  <c r="J60" i="1"/>
  <c r="T60" i="1" s="1"/>
  <c r="K59" i="1"/>
  <c r="J59" i="1"/>
  <c r="K58" i="1"/>
  <c r="J58" i="1"/>
  <c r="R58" i="1" s="1"/>
  <c r="K57" i="1"/>
  <c r="J57" i="1"/>
  <c r="S57" i="1" s="1"/>
  <c r="K56" i="1"/>
  <c r="J56" i="1"/>
  <c r="V56" i="1" s="1"/>
  <c r="K55" i="1"/>
  <c r="J55" i="1"/>
  <c r="V55" i="1" s="1"/>
  <c r="K54" i="1"/>
  <c r="J54" i="1"/>
  <c r="V54" i="1" s="1"/>
  <c r="K53" i="1"/>
  <c r="J53" i="1"/>
  <c r="V53" i="1" s="1"/>
  <c r="K52" i="1"/>
  <c r="J52" i="1"/>
  <c r="T52" i="1" s="1"/>
  <c r="K51" i="1"/>
  <c r="J51" i="1"/>
  <c r="T51" i="1" s="1"/>
  <c r="K50" i="1"/>
  <c r="J50" i="1"/>
  <c r="R50" i="1" s="1"/>
  <c r="K49" i="1"/>
  <c r="J49" i="1"/>
  <c r="R49" i="1" s="1"/>
  <c r="K48" i="1"/>
  <c r="J48" i="1"/>
  <c r="T48" i="1" s="1"/>
  <c r="K47" i="1"/>
  <c r="J47" i="1"/>
  <c r="U47" i="1" s="1"/>
  <c r="K46" i="1"/>
  <c r="J46" i="1"/>
  <c r="V46" i="1" s="1"/>
  <c r="K45" i="1"/>
  <c r="J45" i="1"/>
  <c r="V45" i="1" s="1"/>
  <c r="K44" i="1"/>
  <c r="J44" i="1"/>
  <c r="T44" i="1" s="1"/>
  <c r="K43" i="1"/>
  <c r="J43" i="1"/>
  <c r="T43" i="1" s="1"/>
  <c r="K42" i="1"/>
  <c r="J42" i="1"/>
  <c r="R42" i="1" s="1"/>
  <c r="K41" i="1"/>
  <c r="J41" i="1"/>
  <c r="R41" i="1" s="1"/>
  <c r="K40" i="1"/>
  <c r="J40" i="1"/>
  <c r="T40" i="1" s="1"/>
  <c r="K39" i="1"/>
  <c r="J39" i="1"/>
  <c r="U39" i="1" s="1"/>
  <c r="K38" i="1"/>
  <c r="J38" i="1"/>
  <c r="V38" i="1" s="1"/>
  <c r="K37" i="1"/>
  <c r="J37" i="1"/>
  <c r="V37" i="1" s="1"/>
  <c r="K36" i="1"/>
  <c r="J36" i="1"/>
  <c r="T36" i="1" s="1"/>
  <c r="K35" i="1"/>
  <c r="J35" i="1"/>
  <c r="T35" i="1" s="1"/>
  <c r="K34" i="1"/>
  <c r="J34" i="1"/>
  <c r="R34" i="1" s="1"/>
  <c r="K33" i="1"/>
  <c r="J33" i="1"/>
  <c r="R33" i="1" s="1"/>
  <c r="K32" i="1"/>
  <c r="J32" i="1"/>
  <c r="T32" i="1" s="1"/>
  <c r="K31" i="1"/>
  <c r="J31" i="1"/>
  <c r="U31" i="1" s="1"/>
  <c r="K30" i="1"/>
  <c r="J30" i="1"/>
  <c r="U30" i="1" s="1"/>
  <c r="K29" i="1"/>
  <c r="J29" i="1"/>
  <c r="V29" i="1" s="1"/>
  <c r="K28" i="1"/>
  <c r="J28" i="1"/>
  <c r="V28" i="1" s="1"/>
  <c r="K27" i="1"/>
  <c r="J27" i="1"/>
  <c r="T27" i="1" s="1"/>
  <c r="K26" i="1"/>
  <c r="J26" i="1"/>
  <c r="T26" i="1" s="1"/>
  <c r="U25" i="1"/>
  <c r="K25" i="1"/>
  <c r="J25" i="1"/>
  <c r="R25" i="1" s="1"/>
  <c r="K24" i="1"/>
  <c r="J24" i="1"/>
  <c r="R24" i="1" s="1"/>
  <c r="K23" i="1"/>
  <c r="J23" i="1"/>
  <c r="T23" i="1" s="1"/>
  <c r="K22" i="1"/>
  <c r="J22" i="1"/>
  <c r="U22" i="1" s="1"/>
  <c r="K21" i="1"/>
  <c r="J21" i="1"/>
  <c r="V21" i="1" s="1"/>
  <c r="K20" i="1"/>
  <c r="J20" i="1"/>
  <c r="V20" i="1" s="1"/>
  <c r="K19" i="1"/>
  <c r="J19" i="1"/>
  <c r="T19" i="1" s="1"/>
  <c r="K18" i="1"/>
  <c r="J18" i="1"/>
  <c r="T18" i="1" s="1"/>
  <c r="K17" i="1"/>
  <c r="J17" i="1"/>
  <c r="R17" i="1" s="1"/>
  <c r="K16" i="1"/>
  <c r="J16" i="1"/>
  <c r="R16" i="1" s="1"/>
  <c r="K15" i="1"/>
  <c r="J15" i="1"/>
  <c r="T15" i="1" s="1"/>
  <c r="K14" i="1"/>
  <c r="V32" i="1" l="1"/>
  <c r="U84" i="1"/>
  <c r="T198" i="1"/>
  <c r="R485" i="1"/>
  <c r="U500" i="1"/>
  <c r="V36" i="1"/>
  <c r="R81" i="1"/>
  <c r="S114" i="1"/>
  <c r="U195" i="1"/>
  <c r="S316" i="1"/>
  <c r="R327" i="1"/>
  <c r="U330" i="1"/>
  <c r="S398" i="1"/>
  <c r="S482" i="1"/>
  <c r="S516" i="1"/>
  <c r="R542" i="1"/>
  <c r="U556" i="1"/>
  <c r="V154" i="1"/>
  <c r="S217" i="1"/>
  <c r="S255" i="1"/>
  <c r="V285" i="1"/>
  <c r="R296" i="1"/>
  <c r="S299" i="1"/>
  <c r="T327" i="1"/>
  <c r="V542" i="1"/>
  <c r="R553" i="1"/>
  <c r="S92" i="1"/>
  <c r="R147" i="1"/>
  <c r="T232" i="1"/>
  <c r="S263" i="1"/>
  <c r="V296" i="1"/>
  <c r="S372" i="1"/>
  <c r="S472" i="1"/>
  <c r="R486" i="1"/>
  <c r="R592" i="1"/>
  <c r="U611" i="1"/>
  <c r="R27" i="1"/>
  <c r="V122" i="1"/>
  <c r="U144" i="1"/>
  <c r="S165" i="1"/>
  <c r="U225" i="1"/>
  <c r="U263" i="1"/>
  <c r="S314" i="1"/>
  <c r="V321" i="1"/>
  <c r="U350" i="1"/>
  <c r="R369" i="1"/>
  <c r="U410" i="1"/>
  <c r="U472" i="1"/>
  <c r="R521" i="1"/>
  <c r="U536" i="1"/>
  <c r="V596" i="1"/>
  <c r="S697" i="1"/>
  <c r="S27" i="1"/>
  <c r="S130" i="1"/>
  <c r="S25" i="1"/>
  <c r="R69" i="1"/>
  <c r="R80" i="1"/>
  <c r="V116" i="1"/>
  <c r="R138" i="1"/>
  <c r="R212" i="1"/>
  <c r="U304" i="1"/>
  <c r="U404" i="1"/>
  <c r="S450" i="1"/>
  <c r="S570" i="1"/>
  <c r="V616" i="1"/>
  <c r="S647" i="1"/>
  <c r="S576" i="1"/>
  <c r="U579" i="1"/>
  <c r="U583" i="1"/>
  <c r="S589" i="1"/>
  <c r="V592" i="1"/>
  <c r="U607" i="1"/>
  <c r="R656" i="1"/>
  <c r="S663" i="1"/>
  <c r="R688" i="1"/>
  <c r="R704" i="1"/>
  <c r="R18" i="1"/>
  <c r="R23" i="1"/>
  <c r="R30" i="1"/>
  <c r="V40" i="1"/>
  <c r="S76" i="1"/>
  <c r="S108" i="1"/>
  <c r="R117" i="1"/>
  <c r="V125" i="1"/>
  <c r="R141" i="1"/>
  <c r="S193" i="1"/>
  <c r="S215" i="1"/>
  <c r="U217" i="1"/>
  <c r="U223" i="1"/>
  <c r="U235" i="1"/>
  <c r="U245" i="1"/>
  <c r="S261" i="1"/>
  <c r="T282" i="1"/>
  <c r="T311" i="1"/>
  <c r="V333" i="1"/>
  <c r="R343" i="1"/>
  <c r="U372" i="1"/>
  <c r="U378" i="1"/>
  <c r="R381" i="1"/>
  <c r="S390" i="1"/>
  <c r="S392" i="1"/>
  <c r="R423" i="1"/>
  <c r="S428" i="1"/>
  <c r="V454" i="1"/>
  <c r="S470" i="1"/>
  <c r="V485" i="1"/>
  <c r="V490" i="1"/>
  <c r="R506" i="1"/>
  <c r="U516" i="1"/>
  <c r="U528" i="1"/>
  <c r="S534" i="1"/>
  <c r="S546" i="1"/>
  <c r="S554" i="1"/>
  <c r="S601" i="1"/>
  <c r="R620" i="1"/>
  <c r="R644" i="1"/>
  <c r="T663" i="1"/>
  <c r="S669" i="1"/>
  <c r="S685" i="1"/>
  <c r="S701" i="1"/>
  <c r="V18" i="1"/>
  <c r="U21" i="1"/>
  <c r="S23" i="1"/>
  <c r="V30" i="1"/>
  <c r="V44" i="1"/>
  <c r="R82" i="1"/>
  <c r="V93" i="1"/>
  <c r="V106" i="1"/>
  <c r="T117" i="1"/>
  <c r="U120" i="1"/>
  <c r="R123" i="1"/>
  <c r="V157" i="1"/>
  <c r="R166" i="1"/>
  <c r="U169" i="1"/>
  <c r="S187" i="1"/>
  <c r="V196" i="1"/>
  <c r="U215" i="1"/>
  <c r="V230" i="1"/>
  <c r="S239" i="1"/>
  <c r="S249" i="1"/>
  <c r="R259" i="1"/>
  <c r="R267" i="1"/>
  <c r="R270" i="1"/>
  <c r="R272" i="1"/>
  <c r="V282" i="1"/>
  <c r="S293" i="1"/>
  <c r="S295" i="1"/>
  <c r="V305" i="1"/>
  <c r="R317" i="1"/>
  <c r="U322" i="1"/>
  <c r="T343" i="1"/>
  <c r="U346" i="1"/>
  <c r="S358" i="1"/>
  <c r="S360" i="1"/>
  <c r="S370" i="1"/>
  <c r="U390" i="1"/>
  <c r="U396" i="1"/>
  <c r="V423" i="1"/>
  <c r="R435" i="1"/>
  <c r="V451" i="1"/>
  <c r="S464" i="1"/>
  <c r="T473" i="1"/>
  <c r="V494" i="1"/>
  <c r="R510" i="1"/>
  <c r="V522" i="1"/>
  <c r="T537" i="1"/>
  <c r="V546" i="1"/>
  <c r="V554" i="1"/>
  <c r="S560" i="1"/>
  <c r="U587" i="1"/>
  <c r="R596" i="1"/>
  <c r="V644" i="1"/>
  <c r="V672" i="1"/>
  <c r="U683" i="1"/>
  <c r="R692" i="1"/>
  <c r="R26" i="1"/>
  <c r="V48" i="1"/>
  <c r="S58" i="1"/>
  <c r="V61" i="1"/>
  <c r="R74" i="1"/>
  <c r="S82" i="1"/>
  <c r="R85" i="1"/>
  <c r="U88" i="1"/>
  <c r="R91" i="1"/>
  <c r="U115" i="1"/>
  <c r="T123" i="1"/>
  <c r="U139" i="1"/>
  <c r="R155" i="1"/>
  <c r="R164" i="1"/>
  <c r="T166" i="1"/>
  <c r="S191" i="1"/>
  <c r="S199" i="1"/>
  <c r="S213" i="1"/>
  <c r="S233" i="1"/>
  <c r="R243" i="1"/>
  <c r="U249" i="1"/>
  <c r="R256" i="1"/>
  <c r="U259" i="1"/>
  <c r="R264" i="1"/>
  <c r="S267" i="1"/>
  <c r="T293" i="1"/>
  <c r="U295" i="1"/>
  <c r="R315" i="1"/>
  <c r="V317" i="1"/>
  <c r="S326" i="1"/>
  <c r="S328" i="1"/>
  <c r="T331" i="1"/>
  <c r="V349" i="1"/>
  <c r="U358" i="1"/>
  <c r="S376" i="1"/>
  <c r="S388" i="1"/>
  <c r="S408" i="1"/>
  <c r="R411" i="1"/>
  <c r="S432" i="1"/>
  <c r="R442" i="1"/>
  <c r="V449" i="1"/>
  <c r="V458" i="1"/>
  <c r="S488" i="1"/>
  <c r="V501" i="1"/>
  <c r="U504" i="1"/>
  <c r="V510" i="1"/>
  <c r="S526" i="1"/>
  <c r="U532" i="1"/>
  <c r="S552" i="1"/>
  <c r="U560" i="1"/>
  <c r="S574" i="1"/>
  <c r="V584" i="1"/>
  <c r="S593" i="1"/>
  <c r="V608" i="1"/>
  <c r="R624" i="1"/>
  <c r="S689" i="1"/>
  <c r="S705" i="1"/>
  <c r="V26" i="1"/>
  <c r="V52" i="1"/>
  <c r="T58" i="1"/>
  <c r="V68" i="1"/>
  <c r="S74" i="1"/>
  <c r="T77" i="1"/>
  <c r="T91" i="1"/>
  <c r="V109" i="1"/>
  <c r="T133" i="1"/>
  <c r="T155" i="1"/>
  <c r="S173" i="1"/>
  <c r="R218" i="1"/>
  <c r="S221" i="1"/>
  <c r="V224" i="1"/>
  <c r="S243" i="1"/>
  <c r="V259" i="1"/>
  <c r="R285" i="1"/>
  <c r="S287" i="1"/>
  <c r="U293" i="1"/>
  <c r="V295" i="1"/>
  <c r="T315" i="1"/>
  <c r="U320" i="1"/>
  <c r="U326" i="1"/>
  <c r="U334" i="1"/>
  <c r="S368" i="1"/>
  <c r="U376" i="1"/>
  <c r="S382" i="1"/>
  <c r="S414" i="1"/>
  <c r="R439" i="1"/>
  <c r="R446" i="1"/>
  <c r="R462" i="1"/>
  <c r="U468" i="1"/>
  <c r="S484" i="1"/>
  <c r="R517" i="1"/>
  <c r="S520" i="1"/>
  <c r="V526" i="1"/>
  <c r="V541" i="1"/>
  <c r="R550" i="1"/>
  <c r="S558" i="1"/>
  <c r="U615" i="1"/>
  <c r="S621" i="1"/>
  <c r="S655" i="1"/>
  <c r="R664" i="1"/>
  <c r="R696" i="1"/>
  <c r="S19" i="1"/>
  <c r="R22" i="1"/>
  <c r="S29" i="1"/>
  <c r="R56" i="1"/>
  <c r="V77" i="1"/>
  <c r="T101" i="1"/>
  <c r="U104" i="1"/>
  <c r="R107" i="1"/>
  <c r="R170" i="1"/>
  <c r="U185" i="1"/>
  <c r="U197" i="1"/>
  <c r="S211" i="1"/>
  <c r="U231" i="1"/>
  <c r="S281" i="1"/>
  <c r="R283" i="1"/>
  <c r="S285" i="1"/>
  <c r="V287" i="1"/>
  <c r="U306" i="1"/>
  <c r="S344" i="1"/>
  <c r="T347" i="1"/>
  <c r="U356" i="1"/>
  <c r="V365" i="1"/>
  <c r="U382" i="1"/>
  <c r="R391" i="1"/>
  <c r="S400" i="1"/>
  <c r="S406" i="1"/>
  <c r="S424" i="1"/>
  <c r="S436" i="1"/>
  <c r="V462" i="1"/>
  <c r="R474" i="1"/>
  <c r="U484" i="1"/>
  <c r="S486" i="1"/>
  <c r="V517" i="1"/>
  <c r="R538" i="1"/>
  <c r="S550" i="1"/>
  <c r="V558" i="1"/>
  <c r="U572" i="1"/>
  <c r="R588" i="1"/>
  <c r="R600" i="1"/>
  <c r="V612" i="1"/>
  <c r="R632" i="1"/>
  <c r="R645" i="1"/>
  <c r="T655" i="1"/>
  <c r="V664" i="1"/>
  <c r="T673" i="1"/>
  <c r="R684" i="1"/>
  <c r="S693" i="1"/>
  <c r="U17" i="1"/>
  <c r="V22" i="1"/>
  <c r="U29" i="1"/>
  <c r="S98" i="1"/>
  <c r="T107" i="1"/>
  <c r="S124" i="1"/>
  <c r="U140" i="1"/>
  <c r="U150" i="1"/>
  <c r="R192" i="1"/>
  <c r="R214" i="1"/>
  <c r="T234" i="1"/>
  <c r="S271" i="1"/>
  <c r="U281" i="1"/>
  <c r="S283" i="1"/>
  <c r="U285" i="1"/>
  <c r="S318" i="1"/>
  <c r="U332" i="1"/>
  <c r="S342" i="1"/>
  <c r="S350" i="1"/>
  <c r="R359" i="1"/>
  <c r="S380" i="1"/>
  <c r="T391" i="1"/>
  <c r="U400" i="1"/>
  <c r="S412" i="1"/>
  <c r="R418" i="1"/>
  <c r="V422" i="1"/>
  <c r="U424" i="1"/>
  <c r="R427" i="1"/>
  <c r="R450" i="1"/>
  <c r="V478" i="1"/>
  <c r="V486" i="1"/>
  <c r="R489" i="1"/>
  <c r="S502" i="1"/>
  <c r="T505" i="1"/>
  <c r="V533" i="1"/>
  <c r="S536" i="1"/>
  <c r="V550" i="1"/>
  <c r="T597" i="1"/>
  <c r="V600" i="1"/>
  <c r="U619" i="1"/>
  <c r="S629" i="1"/>
  <c r="S645" i="1"/>
  <c r="R668" i="1"/>
  <c r="T671" i="1"/>
  <c r="V684" i="1"/>
  <c r="R700" i="1"/>
  <c r="U711" i="1"/>
  <c r="U118" i="2"/>
  <c r="W118" i="2"/>
  <c r="T118" i="2"/>
  <c r="T172" i="2"/>
  <c r="X172" i="2"/>
  <c r="S172" i="2"/>
  <c r="U206" i="2"/>
  <c r="X206" i="2"/>
  <c r="W206" i="2"/>
  <c r="T206" i="2"/>
  <c r="W246" i="2"/>
  <c r="S246" i="2"/>
  <c r="X351" i="2"/>
  <c r="W351" i="2"/>
  <c r="U110" i="2"/>
  <c r="W110" i="2"/>
  <c r="T110" i="2"/>
  <c r="U249" i="2"/>
  <c r="S249" i="2"/>
  <c r="W297" i="2"/>
  <c r="U297" i="2"/>
  <c r="W322" i="2"/>
  <c r="T322" i="2"/>
  <c r="S322" i="2"/>
  <c r="X359" i="2"/>
  <c r="W359" i="2"/>
  <c r="X391" i="2"/>
  <c r="W391" i="2"/>
  <c r="W670" i="2"/>
  <c r="V670" i="2"/>
  <c r="U670" i="2"/>
  <c r="T670" i="2"/>
  <c r="S670" i="2"/>
  <c r="X670" i="2"/>
  <c r="X677" i="2"/>
  <c r="W677" i="2"/>
  <c r="V677" i="2"/>
  <c r="U677" i="2"/>
  <c r="T677" i="2"/>
  <c r="S677" i="2"/>
  <c r="X29" i="2"/>
  <c r="U37" i="2"/>
  <c r="W40" i="2"/>
  <c r="U42" i="2"/>
  <c r="W48" i="2"/>
  <c r="T79" i="2"/>
  <c r="T84" i="2"/>
  <c r="V86" i="2"/>
  <c r="T96" i="2"/>
  <c r="T98" i="2"/>
  <c r="U114" i="2"/>
  <c r="W114" i="2"/>
  <c r="T114" i="2"/>
  <c r="T163" i="2"/>
  <c r="U163" i="2"/>
  <c r="S163" i="2"/>
  <c r="U253" i="2"/>
  <c r="S253" i="2"/>
  <c r="W333" i="2"/>
  <c r="X371" i="2"/>
  <c r="W371" i="2"/>
  <c r="X383" i="2"/>
  <c r="W383" i="2"/>
  <c r="W543" i="2"/>
  <c r="U543" i="2"/>
  <c r="X18" i="2"/>
  <c r="U122" i="2"/>
  <c r="W122" i="2"/>
  <c r="T122" i="2"/>
  <c r="W260" i="2"/>
  <c r="U260" i="2"/>
  <c r="W338" i="2"/>
  <c r="T338" i="2"/>
  <c r="S338" i="2"/>
  <c r="V579" i="2"/>
  <c r="U579" i="2"/>
  <c r="X618" i="2"/>
  <c r="T618" i="2"/>
  <c r="S618" i="2"/>
  <c r="W661" i="2"/>
  <c r="V661" i="2"/>
  <c r="U661" i="2"/>
  <c r="T661" i="2"/>
  <c r="S661" i="2"/>
  <c r="X661" i="2"/>
  <c r="T22" i="2"/>
  <c r="V28" i="2"/>
  <c r="X33" i="2"/>
  <c r="V36" i="2"/>
  <c r="X38" i="2"/>
  <c r="T41" i="2"/>
  <c r="T46" i="2"/>
  <c r="V65" i="2"/>
  <c r="V67" i="2"/>
  <c r="X70" i="2"/>
  <c r="V82" i="2"/>
  <c r="V92" i="2"/>
  <c r="V94" i="2"/>
  <c r="X118" i="2"/>
  <c r="U126" i="2"/>
  <c r="W126" i="2"/>
  <c r="T126" i="2"/>
  <c r="V172" i="2"/>
  <c r="T179" i="2"/>
  <c r="U179" i="2"/>
  <c r="S179" i="2"/>
  <c r="V206" i="2"/>
  <c r="W254" i="2"/>
  <c r="S254" i="2"/>
  <c r="X343" i="2"/>
  <c r="W343" i="2"/>
  <c r="X375" i="2"/>
  <c r="W375" i="2"/>
  <c r="X395" i="2"/>
  <c r="W395" i="2"/>
  <c r="X679" i="2"/>
  <c r="W679" i="2"/>
  <c r="V679" i="2"/>
  <c r="U679" i="2"/>
  <c r="T679" i="2"/>
  <c r="S679" i="2"/>
  <c r="X89" i="2"/>
  <c r="X363" i="2"/>
  <c r="W363" i="2"/>
  <c r="T409" i="2"/>
  <c r="X409" i="2"/>
  <c r="W409" i="2"/>
  <c r="V409" i="2"/>
  <c r="U409" i="2"/>
  <c r="S409" i="2"/>
  <c r="X626" i="2"/>
  <c r="T626" i="2"/>
  <c r="S626" i="2"/>
  <c r="U22" i="2"/>
  <c r="W28" i="2"/>
  <c r="W36" i="2"/>
  <c r="U41" i="2"/>
  <c r="T53" i="2"/>
  <c r="T63" i="2"/>
  <c r="W85" i="2"/>
  <c r="W97" i="2"/>
  <c r="X122" i="2"/>
  <c r="U130" i="2"/>
  <c r="W130" i="2"/>
  <c r="T130" i="2"/>
  <c r="T188" i="2"/>
  <c r="X188" i="2"/>
  <c r="S188" i="2"/>
  <c r="U210" i="2"/>
  <c r="X210" i="2"/>
  <c r="W210" i="2"/>
  <c r="T210" i="2"/>
  <c r="U261" i="2"/>
  <c r="W261" i="2"/>
  <c r="S261" i="2"/>
  <c r="W265" i="2"/>
  <c r="U265" i="2"/>
  <c r="W284" i="2"/>
  <c r="U284" i="2"/>
  <c r="V326" i="2"/>
  <c r="W326" i="2"/>
  <c r="V338" i="2"/>
  <c r="X355" i="2"/>
  <c r="W355" i="2"/>
  <c r="X387" i="2"/>
  <c r="W387" i="2"/>
  <c r="W662" i="2"/>
  <c r="V662" i="2"/>
  <c r="U662" i="2"/>
  <c r="T662" i="2"/>
  <c r="S662" i="2"/>
  <c r="X662" i="2"/>
  <c r="T187" i="2"/>
  <c r="U187" i="2"/>
  <c r="S187" i="2"/>
  <c r="U198" i="2"/>
  <c r="X198" i="2"/>
  <c r="W198" i="2"/>
  <c r="T198" i="2"/>
  <c r="W319" i="2"/>
  <c r="X319" i="2"/>
  <c r="S512" i="2"/>
  <c r="X512" i="2"/>
  <c r="W512" i="2"/>
  <c r="V512" i="2"/>
  <c r="U512" i="2"/>
  <c r="T512" i="2"/>
  <c r="T17" i="2"/>
  <c r="X41" i="2"/>
  <c r="X53" i="2"/>
  <c r="V63" i="2"/>
  <c r="W78" i="2"/>
  <c r="X85" i="2"/>
  <c r="T88" i="2"/>
  <c r="V90" i="2"/>
  <c r="X97" i="2"/>
  <c r="U134" i="2"/>
  <c r="W134" i="2"/>
  <c r="T134" i="2"/>
  <c r="U214" i="2"/>
  <c r="X214" i="2"/>
  <c r="W214" i="2"/>
  <c r="T214" i="2"/>
  <c r="U218" i="2"/>
  <c r="X218" i="2"/>
  <c r="W218" i="2"/>
  <c r="T218" i="2"/>
  <c r="U222" i="2"/>
  <c r="X222" i="2"/>
  <c r="W222" i="2"/>
  <c r="T222" i="2"/>
  <c r="U226" i="2"/>
  <c r="X226" i="2"/>
  <c r="W226" i="2"/>
  <c r="T226" i="2"/>
  <c r="U241" i="2"/>
  <c r="S241" i="2"/>
  <c r="W277" i="2"/>
  <c r="U277" i="2"/>
  <c r="W300" i="2"/>
  <c r="U300" i="2"/>
  <c r="W310" i="2"/>
  <c r="V310" i="2"/>
  <c r="U310" i="2"/>
  <c r="X367" i="2"/>
  <c r="W367" i="2"/>
  <c r="U442" i="2"/>
  <c r="S442" i="2"/>
  <c r="S481" i="2"/>
  <c r="X481" i="2"/>
  <c r="W481" i="2"/>
  <c r="V481" i="2"/>
  <c r="U481" i="2"/>
  <c r="T481" i="2"/>
  <c r="W535" i="2"/>
  <c r="U535" i="2"/>
  <c r="W669" i="2"/>
  <c r="V669" i="2"/>
  <c r="U669" i="2"/>
  <c r="T669" i="2"/>
  <c r="S669" i="2"/>
  <c r="X669" i="2"/>
  <c r="U202" i="2"/>
  <c r="X202" i="2"/>
  <c r="W202" i="2"/>
  <c r="T202" i="2"/>
  <c r="W331" i="2"/>
  <c r="V331" i="2"/>
  <c r="S331" i="2"/>
  <c r="X403" i="2"/>
  <c r="W403" i="2"/>
  <c r="T403" i="2"/>
  <c r="U426" i="2"/>
  <c r="S426" i="2"/>
  <c r="V463" i="2"/>
  <c r="T463" i="2"/>
  <c r="W674" i="2"/>
  <c r="V674" i="2"/>
  <c r="U674" i="2"/>
  <c r="T674" i="2"/>
  <c r="S674" i="2"/>
  <c r="X674" i="2"/>
  <c r="W33" i="2"/>
  <c r="X634" i="2"/>
  <c r="T634" i="2"/>
  <c r="S634" i="2"/>
  <c r="U17" i="2"/>
  <c r="U34" i="2"/>
  <c r="W44" i="2"/>
  <c r="T100" i="2"/>
  <c r="T102" i="2"/>
  <c r="X130" i="2"/>
  <c r="T156" i="2"/>
  <c r="V156" i="2"/>
  <c r="S156" i="2"/>
  <c r="T171" i="2"/>
  <c r="U171" i="2"/>
  <c r="S171" i="2"/>
  <c r="V188" i="2"/>
  <c r="W195" i="2"/>
  <c r="T195" i="2"/>
  <c r="S195" i="2"/>
  <c r="V210" i="2"/>
  <c r="U245" i="2"/>
  <c r="S245" i="2"/>
  <c r="W262" i="2"/>
  <c r="U262" i="2"/>
  <c r="S262" i="2"/>
  <c r="W293" i="2"/>
  <c r="U293" i="2"/>
  <c r="W316" i="2"/>
  <c r="X316" i="2"/>
  <c r="V316" i="2"/>
  <c r="T316" i="2"/>
  <c r="S316" i="2"/>
  <c r="W330" i="2"/>
  <c r="T330" i="2"/>
  <c r="S330" i="2"/>
  <c r="X347" i="2"/>
  <c r="W347" i="2"/>
  <c r="X379" i="2"/>
  <c r="W379" i="2"/>
  <c r="W666" i="2"/>
  <c r="V666" i="2"/>
  <c r="U666" i="2"/>
  <c r="T666" i="2"/>
  <c r="S666" i="2"/>
  <c r="X666" i="2"/>
  <c r="V160" i="2"/>
  <c r="U434" i="2"/>
  <c r="S434" i="2"/>
  <c r="V471" i="2"/>
  <c r="T471" i="2"/>
  <c r="X477" i="2"/>
  <c r="T477" i="2"/>
  <c r="W554" i="2"/>
  <c r="T554" i="2"/>
  <c r="V607" i="2"/>
  <c r="U607" i="2"/>
  <c r="W664" i="2"/>
  <c r="V664" i="2"/>
  <c r="U664" i="2"/>
  <c r="T664" i="2"/>
  <c r="S664" i="2"/>
  <c r="W672" i="2"/>
  <c r="V672" i="2"/>
  <c r="U672" i="2"/>
  <c r="T672" i="2"/>
  <c r="S672" i="2"/>
  <c r="X678" i="2"/>
  <c r="W678" i="2"/>
  <c r="V678" i="2"/>
  <c r="U678" i="2"/>
  <c r="T678" i="2"/>
  <c r="S678" i="2"/>
  <c r="X160" i="2"/>
  <c r="X176" i="2"/>
  <c r="X192" i="2"/>
  <c r="W199" i="2"/>
  <c r="W203" i="2"/>
  <c r="W207" i="2"/>
  <c r="W211" i="2"/>
  <c r="W215" i="2"/>
  <c r="W219" i="2"/>
  <c r="W223" i="2"/>
  <c r="V227" i="2"/>
  <c r="V317" i="2"/>
  <c r="S474" i="2"/>
  <c r="X474" i="2"/>
  <c r="W474" i="2"/>
  <c r="V474" i="2"/>
  <c r="U474" i="2"/>
  <c r="T474" i="2"/>
  <c r="S513" i="2"/>
  <c r="X513" i="2"/>
  <c r="W513" i="2"/>
  <c r="V513" i="2"/>
  <c r="U513" i="2"/>
  <c r="T513" i="2"/>
  <c r="S523" i="2"/>
  <c r="X523" i="2"/>
  <c r="W523" i="2"/>
  <c r="X615" i="2"/>
  <c r="W615" i="2"/>
  <c r="X623" i="2"/>
  <c r="W623" i="2"/>
  <c r="X631" i="2"/>
  <c r="W631" i="2"/>
  <c r="X639" i="2"/>
  <c r="W639" i="2"/>
  <c r="W667" i="2"/>
  <c r="V667" i="2"/>
  <c r="U667" i="2"/>
  <c r="T667" i="2"/>
  <c r="S667" i="2"/>
  <c r="W675" i="2"/>
  <c r="V675" i="2"/>
  <c r="U675" i="2"/>
  <c r="T675" i="2"/>
  <c r="S675" i="2"/>
  <c r="S148" i="2"/>
  <c r="V152" i="2"/>
  <c r="S155" i="2"/>
  <c r="U159" i="2"/>
  <c r="S168" i="2"/>
  <c r="U175" i="2"/>
  <c r="S184" i="2"/>
  <c r="U191" i="2"/>
  <c r="S197" i="2"/>
  <c r="T201" i="2"/>
  <c r="T205" i="2"/>
  <c r="T213" i="2"/>
  <c r="T217" i="2"/>
  <c r="T221" i="2"/>
  <c r="T225" i="2"/>
  <c r="S234" i="2"/>
  <c r="U257" i="2"/>
  <c r="S308" i="2"/>
  <c r="U309" i="2"/>
  <c r="T315" i="2"/>
  <c r="W336" i="2"/>
  <c r="T342" i="2"/>
  <c r="T346" i="2"/>
  <c r="T350" i="2"/>
  <c r="T354" i="2"/>
  <c r="T358" i="2"/>
  <c r="T362" i="2"/>
  <c r="T366" i="2"/>
  <c r="T370" i="2"/>
  <c r="T374" i="2"/>
  <c r="T378" i="2"/>
  <c r="T382" i="2"/>
  <c r="T386" i="2"/>
  <c r="T390" i="2"/>
  <c r="S394" i="2"/>
  <c r="X399" i="2"/>
  <c r="W399" i="2"/>
  <c r="X475" i="2"/>
  <c r="W475" i="2"/>
  <c r="V475" i="2"/>
  <c r="X485" i="2"/>
  <c r="T485" i="2"/>
  <c r="V532" i="2"/>
  <c r="X532" i="2"/>
  <c r="W665" i="2"/>
  <c r="V665" i="2"/>
  <c r="U665" i="2"/>
  <c r="T665" i="2"/>
  <c r="S665" i="2"/>
  <c r="X667" i="2"/>
  <c r="W673" i="2"/>
  <c r="V673" i="2"/>
  <c r="U673" i="2"/>
  <c r="T673" i="2"/>
  <c r="S673" i="2"/>
  <c r="X675" i="2"/>
  <c r="X694" i="2"/>
  <c r="W694" i="2"/>
  <c r="V694" i="2"/>
  <c r="U694" i="2"/>
  <c r="V148" i="2"/>
  <c r="X152" i="2"/>
  <c r="U155" i="2"/>
  <c r="V159" i="2"/>
  <c r="V168" i="2"/>
  <c r="V175" i="2"/>
  <c r="V184" i="2"/>
  <c r="V191" i="2"/>
  <c r="U197" i="2"/>
  <c r="V201" i="2"/>
  <c r="V205" i="2"/>
  <c r="V213" i="2"/>
  <c r="V217" i="2"/>
  <c r="V221" i="2"/>
  <c r="V225" i="2"/>
  <c r="U234" i="2"/>
  <c r="T308" i="2"/>
  <c r="V309" i="2"/>
  <c r="U315" i="2"/>
  <c r="V342" i="2"/>
  <c r="V346" i="2"/>
  <c r="V350" i="2"/>
  <c r="V354" i="2"/>
  <c r="V358" i="2"/>
  <c r="V362" i="2"/>
  <c r="V366" i="2"/>
  <c r="V370" i="2"/>
  <c r="V374" i="2"/>
  <c r="V378" i="2"/>
  <c r="V382" i="2"/>
  <c r="V386" i="2"/>
  <c r="V390" i="2"/>
  <c r="T394" i="2"/>
  <c r="X397" i="2"/>
  <c r="T397" i="2"/>
  <c r="U418" i="2"/>
  <c r="S418" i="2"/>
  <c r="U450" i="2"/>
  <c r="S450" i="2"/>
  <c r="X467" i="2"/>
  <c r="W467" i="2"/>
  <c r="V467" i="2"/>
  <c r="S482" i="2"/>
  <c r="X482" i="2"/>
  <c r="W482" i="2"/>
  <c r="V482" i="2"/>
  <c r="U482" i="2"/>
  <c r="T482" i="2"/>
  <c r="S521" i="2"/>
  <c r="W521" i="2"/>
  <c r="V521" i="2"/>
  <c r="U521" i="2"/>
  <c r="X592" i="2"/>
  <c r="W592" i="2"/>
  <c r="V592" i="2"/>
  <c r="T592" i="2"/>
  <c r="V599" i="2"/>
  <c r="U599" i="2"/>
  <c r="W660" i="2"/>
  <c r="V660" i="2"/>
  <c r="U660" i="2"/>
  <c r="T660" i="2"/>
  <c r="S660" i="2"/>
  <c r="W668" i="2"/>
  <c r="V668" i="2"/>
  <c r="U668" i="2"/>
  <c r="T668" i="2"/>
  <c r="S668" i="2"/>
  <c r="X676" i="2"/>
  <c r="W676" i="2"/>
  <c r="V676" i="2"/>
  <c r="U676" i="2"/>
  <c r="T676" i="2"/>
  <c r="S676" i="2"/>
  <c r="V680" i="2"/>
  <c r="X680" i="2"/>
  <c r="W680" i="2"/>
  <c r="U680" i="2"/>
  <c r="T680" i="2"/>
  <c r="S680" i="2"/>
  <c r="U142" i="2"/>
  <c r="X148" i="2"/>
  <c r="S151" i="2"/>
  <c r="V155" i="2"/>
  <c r="S164" i="2"/>
  <c r="X168" i="2"/>
  <c r="S180" i="2"/>
  <c r="X184" i="2"/>
  <c r="T196" i="2"/>
  <c r="V197" i="2"/>
  <c r="T200" i="2"/>
  <c r="W201" i="2"/>
  <c r="T204" i="2"/>
  <c r="W205" i="2"/>
  <c r="T208" i="2"/>
  <c r="T212" i="2"/>
  <c r="T216" i="2"/>
  <c r="W217" i="2"/>
  <c r="T220" i="2"/>
  <c r="W221" i="2"/>
  <c r="T224" i="2"/>
  <c r="W225" i="2"/>
  <c r="T240" i="2"/>
  <c r="S242" i="2"/>
  <c r="S250" i="2"/>
  <c r="S307" i="2"/>
  <c r="U308" i="2"/>
  <c r="X309" i="2"/>
  <c r="V311" i="2"/>
  <c r="S314" i="2"/>
  <c r="V315" i="2"/>
  <c r="V318" i="2"/>
  <c r="W334" i="2"/>
  <c r="S341" i="2"/>
  <c r="W342" i="2"/>
  <c r="S345" i="2"/>
  <c r="W346" i="2"/>
  <c r="S349" i="2"/>
  <c r="W350" i="2"/>
  <c r="S353" i="2"/>
  <c r="W354" i="2"/>
  <c r="S357" i="2"/>
  <c r="W358" i="2"/>
  <c r="S361" i="2"/>
  <c r="W362" i="2"/>
  <c r="S365" i="2"/>
  <c r="W366" i="2"/>
  <c r="S369" i="2"/>
  <c r="W370" i="2"/>
  <c r="S373" i="2"/>
  <c r="W374" i="2"/>
  <c r="S377" i="2"/>
  <c r="W378" i="2"/>
  <c r="S381" i="2"/>
  <c r="W382" i="2"/>
  <c r="S385" i="2"/>
  <c r="W386" i="2"/>
  <c r="S389" i="2"/>
  <c r="W390" i="2"/>
  <c r="S393" i="2"/>
  <c r="V394" i="2"/>
  <c r="T408" i="2"/>
  <c r="X408" i="2"/>
  <c r="W408" i="2"/>
  <c r="V408" i="2"/>
  <c r="U408" i="2"/>
  <c r="S408" i="2"/>
  <c r="S515" i="2"/>
  <c r="X515" i="2"/>
  <c r="W515" i="2"/>
  <c r="S529" i="2"/>
  <c r="U529" i="2"/>
  <c r="X589" i="2"/>
  <c r="W589" i="2"/>
  <c r="V589" i="2"/>
  <c r="W663" i="2"/>
  <c r="V663" i="2"/>
  <c r="U663" i="2"/>
  <c r="T663" i="2"/>
  <c r="S663" i="2"/>
  <c r="X665" i="2"/>
  <c r="W671" i="2"/>
  <c r="V671" i="2"/>
  <c r="U671" i="2"/>
  <c r="T671" i="2"/>
  <c r="S671" i="2"/>
  <c r="X673" i="2"/>
  <c r="X691" i="2"/>
  <c r="W691" i="2"/>
  <c r="W401" i="2"/>
  <c r="T405" i="2"/>
  <c r="U410" i="2"/>
  <c r="W457" i="2"/>
  <c r="X460" i="2"/>
  <c r="W464" i="2"/>
  <c r="W483" i="2"/>
  <c r="W499" i="2"/>
  <c r="V503" i="2"/>
  <c r="X504" i="2"/>
  <c r="V510" i="2"/>
  <c r="V519" i="2"/>
  <c r="W540" i="2"/>
  <c r="U556" i="2"/>
  <c r="V560" i="2"/>
  <c r="U604" i="2"/>
  <c r="V686" i="2"/>
  <c r="U405" i="2"/>
  <c r="X457" i="2"/>
  <c r="X499" i="2"/>
  <c r="W503" i="2"/>
  <c r="W560" i="2"/>
  <c r="W686" i="2"/>
  <c r="V706" i="2"/>
  <c r="S398" i="2"/>
  <c r="V405" i="2"/>
  <c r="S407" i="2"/>
  <c r="S416" i="2"/>
  <c r="S424" i="2"/>
  <c r="S432" i="2"/>
  <c r="S440" i="2"/>
  <c r="S448" i="2"/>
  <c r="T456" i="2"/>
  <c r="V459" i="2"/>
  <c r="T466" i="2"/>
  <c r="T473" i="2"/>
  <c r="T488" i="2"/>
  <c r="T502" i="2"/>
  <c r="W506" i="2"/>
  <c r="T518" i="2"/>
  <c r="V538" i="2"/>
  <c r="V546" i="2"/>
  <c r="U563" i="2"/>
  <c r="V573" i="2"/>
  <c r="T575" i="2"/>
  <c r="T577" i="2"/>
  <c r="T582" i="2"/>
  <c r="S642" i="2"/>
  <c r="S649" i="2"/>
  <c r="S651" i="2"/>
  <c r="S653" i="2"/>
  <c r="S655" i="2"/>
  <c r="S657" i="2"/>
  <c r="S659" i="2"/>
  <c r="U682" i="2"/>
  <c r="W706" i="2"/>
  <c r="W711" i="2"/>
  <c r="U714" i="2"/>
  <c r="T398" i="2"/>
  <c r="S402" i="2"/>
  <c r="U407" i="2"/>
  <c r="W459" i="2"/>
  <c r="T461" i="2"/>
  <c r="T465" i="2"/>
  <c r="U466" i="2"/>
  <c r="U473" i="2"/>
  <c r="T480" i="2"/>
  <c r="U488" i="2"/>
  <c r="T498" i="2"/>
  <c r="T505" i="2"/>
  <c r="T511" i="2"/>
  <c r="V518" i="2"/>
  <c r="V557" i="2"/>
  <c r="T559" i="2"/>
  <c r="W573" i="2"/>
  <c r="U575" i="2"/>
  <c r="V577" i="2"/>
  <c r="V582" i="2"/>
  <c r="T585" i="2"/>
  <c r="U595" i="2"/>
  <c r="T642" i="2"/>
  <c r="S645" i="2"/>
  <c r="S647" i="2"/>
  <c r="T649" i="2"/>
  <c r="T651" i="2"/>
  <c r="T653" i="2"/>
  <c r="T655" i="2"/>
  <c r="T657" i="2"/>
  <c r="U659" i="2"/>
  <c r="V682" i="2"/>
  <c r="W699" i="2"/>
  <c r="U702" i="2"/>
  <c r="V714" i="2"/>
  <c r="V398" i="2"/>
  <c r="T402" i="2"/>
  <c r="V407" i="2"/>
  <c r="S414" i="2"/>
  <c r="S422" i="2"/>
  <c r="S430" i="2"/>
  <c r="S438" i="2"/>
  <c r="S446" i="2"/>
  <c r="S454" i="2"/>
  <c r="U458" i="2"/>
  <c r="U465" i="2"/>
  <c r="T472" i="2"/>
  <c r="V473" i="2"/>
  <c r="U480" i="2"/>
  <c r="W484" i="2"/>
  <c r="V488" i="2"/>
  <c r="T500" i="2"/>
  <c r="T504" i="2"/>
  <c r="U505" i="2"/>
  <c r="U511" i="2"/>
  <c r="T520" i="2"/>
  <c r="U527" i="2"/>
  <c r="V530" i="2"/>
  <c r="T550" i="2"/>
  <c r="W557" i="2"/>
  <c r="U559" i="2"/>
  <c r="T561" i="2"/>
  <c r="T566" i="2"/>
  <c r="T580" i="2"/>
  <c r="U585" i="2"/>
  <c r="T588" i="2"/>
  <c r="T598" i="2"/>
  <c r="T608" i="2"/>
  <c r="S614" i="2"/>
  <c r="W619" i="2"/>
  <c r="S622" i="2"/>
  <c r="W627" i="2"/>
  <c r="S630" i="2"/>
  <c r="W635" i="2"/>
  <c r="S638" i="2"/>
  <c r="S640" i="2"/>
  <c r="T645" i="2"/>
  <c r="T647" i="2"/>
  <c r="U651" i="2"/>
  <c r="U655" i="2"/>
  <c r="V659" i="2"/>
  <c r="W682" i="2"/>
  <c r="W687" i="2"/>
  <c r="U690" i="2"/>
  <c r="V702" i="2"/>
  <c r="W714" i="2"/>
  <c r="W398" i="2"/>
  <c r="S401" i="2"/>
  <c r="V402" i="2"/>
  <c r="W407" i="2"/>
  <c r="T464" i="2"/>
  <c r="V465" i="2"/>
  <c r="W466" i="2"/>
  <c r="U472" i="2"/>
  <c r="W473" i="2"/>
  <c r="W476" i="2"/>
  <c r="V480" i="2"/>
  <c r="X484" i="2"/>
  <c r="X488" i="2"/>
  <c r="U504" i="2"/>
  <c r="V505" i="2"/>
  <c r="V511" i="2"/>
  <c r="U520" i="2"/>
  <c r="V522" i="2"/>
  <c r="X524" i="2"/>
  <c r="U542" i="2"/>
  <c r="V550" i="2"/>
  <c r="T553" i="2"/>
  <c r="V561" i="2"/>
  <c r="V566" i="2"/>
  <c r="V580" i="2"/>
  <c r="U588" i="2"/>
  <c r="V598" i="2"/>
  <c r="U608" i="2"/>
  <c r="T614" i="2"/>
  <c r="T622" i="2"/>
  <c r="T630" i="2"/>
  <c r="T638" i="2"/>
  <c r="W659" i="2"/>
  <c r="V690" i="2"/>
  <c r="W702" i="2"/>
  <c r="W707" i="2"/>
  <c r="U710" i="2"/>
  <c r="W690" i="2"/>
  <c r="U698" i="2"/>
  <c r="U105" i="2"/>
  <c r="X105" i="2"/>
  <c r="U117" i="2"/>
  <c r="X117" i="2"/>
  <c r="U121" i="2"/>
  <c r="X121" i="2"/>
  <c r="T147" i="2"/>
  <c r="X147" i="2"/>
  <c r="W298" i="2"/>
  <c r="U298" i="2"/>
  <c r="W313" i="2"/>
  <c r="X313" i="2"/>
  <c r="V313" i="2"/>
  <c r="U313" i="2"/>
  <c r="T313" i="2"/>
  <c r="S313" i="2"/>
  <c r="X352" i="2"/>
  <c r="W352" i="2"/>
  <c r="V352" i="2"/>
  <c r="T352" i="2"/>
  <c r="S352" i="2"/>
  <c r="X364" i="2"/>
  <c r="W364" i="2"/>
  <c r="V364" i="2"/>
  <c r="T364" i="2"/>
  <c r="S364" i="2"/>
  <c r="X372" i="2"/>
  <c r="W372" i="2"/>
  <c r="V372" i="2"/>
  <c r="T372" i="2"/>
  <c r="S372" i="2"/>
  <c r="X388" i="2"/>
  <c r="W388" i="2"/>
  <c r="V388" i="2"/>
  <c r="T388" i="2"/>
  <c r="S388" i="2"/>
  <c r="X584" i="2"/>
  <c r="W584" i="2"/>
  <c r="V584" i="2"/>
  <c r="U584" i="2"/>
  <c r="T584" i="2"/>
  <c r="X594" i="2"/>
  <c r="U594" i="2"/>
  <c r="W594" i="2"/>
  <c r="V594" i="2"/>
  <c r="T594" i="2"/>
  <c r="X644" i="2"/>
  <c r="W644" i="2"/>
  <c r="V644" i="2"/>
  <c r="U644" i="2"/>
  <c r="T644" i="2"/>
  <c r="S644" i="2"/>
  <c r="T701" i="2"/>
  <c r="S701" i="2"/>
  <c r="X701" i="2"/>
  <c r="W701" i="2"/>
  <c r="V701" i="2"/>
  <c r="U701" i="2"/>
  <c r="V15" i="2"/>
  <c r="V17" i="2"/>
  <c r="T21" i="2"/>
  <c r="X22" i="2"/>
  <c r="T26" i="2"/>
  <c r="W32" i="2"/>
  <c r="W37" i="2"/>
  <c r="V41" i="2"/>
  <c r="X42" i="2"/>
  <c r="U46" i="2"/>
  <c r="T50" i="2"/>
  <c r="W52" i="2"/>
  <c r="W58" i="2"/>
  <c r="X62" i="2"/>
  <c r="T73" i="2"/>
  <c r="T75" i="2"/>
  <c r="T83" i="2"/>
  <c r="W84" i="2"/>
  <c r="T87" i="2"/>
  <c r="W88" i="2"/>
  <c r="T91" i="2"/>
  <c r="W92" i="2"/>
  <c r="T95" i="2"/>
  <c r="W96" i="2"/>
  <c r="T99" i="2"/>
  <c r="W100" i="2"/>
  <c r="T103" i="2"/>
  <c r="T105" i="2"/>
  <c r="U107" i="2"/>
  <c r="X107" i="2"/>
  <c r="V107" i="2"/>
  <c r="T107" i="2"/>
  <c r="T109" i="2"/>
  <c r="U111" i="2"/>
  <c r="X111" i="2"/>
  <c r="V111" i="2"/>
  <c r="T111" i="2"/>
  <c r="T113" i="2"/>
  <c r="U115" i="2"/>
  <c r="X115" i="2"/>
  <c r="V115" i="2"/>
  <c r="T115" i="2"/>
  <c r="T117" i="2"/>
  <c r="U119" i="2"/>
  <c r="X119" i="2"/>
  <c r="V119" i="2"/>
  <c r="T119" i="2"/>
  <c r="T121" i="2"/>
  <c r="U123" i="2"/>
  <c r="X123" i="2"/>
  <c r="V123" i="2"/>
  <c r="T123" i="2"/>
  <c r="T125" i="2"/>
  <c r="U127" i="2"/>
  <c r="X127" i="2"/>
  <c r="V127" i="2"/>
  <c r="T127" i="2"/>
  <c r="T129" i="2"/>
  <c r="U131" i="2"/>
  <c r="X131" i="2"/>
  <c r="V131" i="2"/>
  <c r="T131" i="2"/>
  <c r="T133" i="2"/>
  <c r="W135" i="2"/>
  <c r="V135" i="2"/>
  <c r="T135" i="2"/>
  <c r="S147" i="2"/>
  <c r="T149" i="2"/>
  <c r="X149" i="2"/>
  <c r="U149" i="2"/>
  <c r="S149" i="2"/>
  <c r="T153" i="2"/>
  <c r="X153" i="2"/>
  <c r="V153" i="2"/>
  <c r="U153" i="2"/>
  <c r="S153" i="2"/>
  <c r="T162" i="2"/>
  <c r="X162" i="2"/>
  <c r="V162" i="2"/>
  <c r="U162" i="2"/>
  <c r="S162" i="2"/>
  <c r="T178" i="2"/>
  <c r="X178" i="2"/>
  <c r="V178" i="2"/>
  <c r="U178" i="2"/>
  <c r="S178" i="2"/>
  <c r="T194" i="2"/>
  <c r="X194" i="2"/>
  <c r="V194" i="2"/>
  <c r="U194" i="2"/>
  <c r="S194" i="2"/>
  <c r="W237" i="2"/>
  <c r="U237" i="2"/>
  <c r="S237" i="2"/>
  <c r="W320" i="2"/>
  <c r="X320" i="2"/>
  <c r="V320" i="2"/>
  <c r="U320" i="2"/>
  <c r="T320" i="2"/>
  <c r="S320" i="2"/>
  <c r="W17" i="2"/>
  <c r="U21" i="2"/>
  <c r="T25" i="2"/>
  <c r="U26" i="2"/>
  <c r="T30" i="2"/>
  <c r="X37" i="2"/>
  <c r="W41" i="2"/>
  <c r="T45" i="2"/>
  <c r="X46" i="2"/>
  <c r="T49" i="2"/>
  <c r="U50" i="2"/>
  <c r="T54" i="2"/>
  <c r="X58" i="2"/>
  <c r="T69" i="2"/>
  <c r="T71" i="2"/>
  <c r="V75" i="2"/>
  <c r="V83" i="2"/>
  <c r="X84" i="2"/>
  <c r="V87" i="2"/>
  <c r="X88" i="2"/>
  <c r="V91" i="2"/>
  <c r="X92" i="2"/>
  <c r="V95" i="2"/>
  <c r="X96" i="2"/>
  <c r="V99" i="2"/>
  <c r="X100" i="2"/>
  <c r="V105" i="2"/>
  <c r="V109" i="2"/>
  <c r="V113" i="2"/>
  <c r="V117" i="2"/>
  <c r="V121" i="2"/>
  <c r="V125" i="2"/>
  <c r="V129" i="2"/>
  <c r="V133" i="2"/>
  <c r="U147" i="2"/>
  <c r="T158" i="2"/>
  <c r="X158" i="2"/>
  <c r="V158" i="2"/>
  <c r="U158" i="2"/>
  <c r="U283" i="2"/>
  <c r="W283" i="2"/>
  <c r="X376" i="2"/>
  <c r="W376" i="2"/>
  <c r="V376" i="2"/>
  <c r="T376" i="2"/>
  <c r="S376" i="2"/>
  <c r="W327" i="2"/>
  <c r="V327" i="2"/>
  <c r="T327" i="2"/>
  <c r="S327" i="2"/>
  <c r="X17" i="2"/>
  <c r="W21" i="2"/>
  <c r="U25" i="2"/>
  <c r="X26" i="2"/>
  <c r="U30" i="2"/>
  <c r="T34" i="2"/>
  <c r="U45" i="2"/>
  <c r="U49" i="2"/>
  <c r="X50" i="2"/>
  <c r="U54" i="2"/>
  <c r="V71" i="2"/>
  <c r="T82" i="2"/>
  <c r="W83" i="2"/>
  <c r="T86" i="2"/>
  <c r="W87" i="2"/>
  <c r="T90" i="2"/>
  <c r="W91" i="2"/>
  <c r="W95" i="2"/>
  <c r="W99" i="2"/>
  <c r="U104" i="2"/>
  <c r="X104" i="2"/>
  <c r="V104" i="2"/>
  <c r="W105" i="2"/>
  <c r="W117" i="2"/>
  <c r="W121" i="2"/>
  <c r="X139" i="2"/>
  <c r="V139" i="2"/>
  <c r="U139" i="2"/>
  <c r="V147" i="2"/>
  <c r="T154" i="2"/>
  <c r="X154" i="2"/>
  <c r="V154" i="2"/>
  <c r="U154" i="2"/>
  <c r="T174" i="2"/>
  <c r="X174" i="2"/>
  <c r="V174" i="2"/>
  <c r="U174" i="2"/>
  <c r="S174" i="2"/>
  <c r="T190" i="2"/>
  <c r="X190" i="2"/>
  <c r="V190" i="2"/>
  <c r="U190" i="2"/>
  <c r="S190" i="2"/>
  <c r="W263" i="2"/>
  <c r="S263" i="2"/>
  <c r="W16" i="2"/>
  <c r="X21" i="2"/>
  <c r="V25" i="2"/>
  <c r="X30" i="2"/>
  <c r="W45" i="2"/>
  <c r="V49" i="2"/>
  <c r="V54" i="2"/>
  <c r="X83" i="2"/>
  <c r="X87" i="2"/>
  <c r="X91" i="2"/>
  <c r="X95" i="2"/>
  <c r="X99" i="2"/>
  <c r="U106" i="2"/>
  <c r="V106" i="2"/>
  <c r="U108" i="2"/>
  <c r="X108" i="2"/>
  <c r="W108" i="2"/>
  <c r="V108" i="2"/>
  <c r="U112" i="2"/>
  <c r="X112" i="2"/>
  <c r="W112" i="2"/>
  <c r="V112" i="2"/>
  <c r="U116" i="2"/>
  <c r="X116" i="2"/>
  <c r="W116" i="2"/>
  <c r="V116" i="2"/>
  <c r="U120" i="2"/>
  <c r="X120" i="2"/>
  <c r="W120" i="2"/>
  <c r="V120" i="2"/>
  <c r="U124" i="2"/>
  <c r="X124" i="2"/>
  <c r="W124" i="2"/>
  <c r="V124" i="2"/>
  <c r="U128" i="2"/>
  <c r="X128" i="2"/>
  <c r="W128" i="2"/>
  <c r="V128" i="2"/>
  <c r="U132" i="2"/>
  <c r="X132" i="2"/>
  <c r="W132" i="2"/>
  <c r="V132" i="2"/>
  <c r="T150" i="2"/>
  <c r="X150" i="2"/>
  <c r="V150" i="2"/>
  <c r="U150" i="2"/>
  <c r="W280" i="2"/>
  <c r="U280" i="2"/>
  <c r="U113" i="2"/>
  <c r="X113" i="2"/>
  <c r="U125" i="2"/>
  <c r="X125" i="2"/>
  <c r="U129" i="2"/>
  <c r="X129" i="2"/>
  <c r="T166" i="2"/>
  <c r="X166" i="2"/>
  <c r="V166" i="2"/>
  <c r="U166" i="2"/>
  <c r="S166" i="2"/>
  <c r="W268" i="2"/>
  <c r="U268" i="2"/>
  <c r="X348" i="2"/>
  <c r="W348" i="2"/>
  <c r="V348" i="2"/>
  <c r="T348" i="2"/>
  <c r="S348" i="2"/>
  <c r="X356" i="2"/>
  <c r="W356" i="2"/>
  <c r="V356" i="2"/>
  <c r="T356" i="2"/>
  <c r="S356" i="2"/>
  <c r="X360" i="2"/>
  <c r="W360" i="2"/>
  <c r="V360" i="2"/>
  <c r="T360" i="2"/>
  <c r="S360" i="2"/>
  <c r="X380" i="2"/>
  <c r="W380" i="2"/>
  <c r="V380" i="2"/>
  <c r="T380" i="2"/>
  <c r="S380" i="2"/>
  <c r="X384" i="2"/>
  <c r="W384" i="2"/>
  <c r="V384" i="2"/>
  <c r="T384" i="2"/>
  <c r="S384" i="2"/>
  <c r="X392" i="2"/>
  <c r="W392" i="2"/>
  <c r="V392" i="2"/>
  <c r="T392" i="2"/>
  <c r="S392" i="2"/>
  <c r="T157" i="2"/>
  <c r="X157" i="2"/>
  <c r="V157" i="2"/>
  <c r="U157" i="2"/>
  <c r="S157" i="2"/>
  <c r="X396" i="2"/>
  <c r="W396" i="2"/>
  <c r="V396" i="2"/>
  <c r="T396" i="2"/>
  <c r="S396" i="2"/>
  <c r="V20" i="2"/>
  <c r="W25" i="2"/>
  <c r="U29" i="2"/>
  <c r="U33" i="2"/>
  <c r="V34" i="2"/>
  <c r="T38" i="2"/>
  <c r="X45" i="2"/>
  <c r="W49" i="2"/>
  <c r="U53" i="2"/>
  <c r="X54" i="2"/>
  <c r="T57" i="2"/>
  <c r="T59" i="2"/>
  <c r="W74" i="2"/>
  <c r="X78" i="2"/>
  <c r="W82" i="2"/>
  <c r="T85" i="2"/>
  <c r="W86" i="2"/>
  <c r="T89" i="2"/>
  <c r="W90" i="2"/>
  <c r="T93" i="2"/>
  <c r="W94" i="2"/>
  <c r="T97" i="2"/>
  <c r="W98" i="2"/>
  <c r="T101" i="2"/>
  <c r="W102" i="2"/>
  <c r="T104" i="2"/>
  <c r="S139" i="2"/>
  <c r="U146" i="2"/>
  <c r="S146" i="2"/>
  <c r="S154" i="2"/>
  <c r="T170" i="2"/>
  <c r="X170" i="2"/>
  <c r="V170" i="2"/>
  <c r="U170" i="2"/>
  <c r="S170" i="2"/>
  <c r="T186" i="2"/>
  <c r="X186" i="2"/>
  <c r="V186" i="2"/>
  <c r="U186" i="2"/>
  <c r="S186" i="2"/>
  <c r="U103" i="2"/>
  <c r="X103" i="2"/>
  <c r="V103" i="2"/>
  <c r="U109" i="2"/>
  <c r="X109" i="2"/>
  <c r="U133" i="2"/>
  <c r="X133" i="2"/>
  <c r="T182" i="2"/>
  <c r="X182" i="2"/>
  <c r="V182" i="2"/>
  <c r="U182" i="2"/>
  <c r="S182" i="2"/>
  <c r="X344" i="2"/>
  <c r="W344" i="2"/>
  <c r="V344" i="2"/>
  <c r="T344" i="2"/>
  <c r="S344" i="2"/>
  <c r="X368" i="2"/>
  <c r="W368" i="2"/>
  <c r="V368" i="2"/>
  <c r="T368" i="2"/>
  <c r="S368" i="2"/>
  <c r="T18" i="2"/>
  <c r="W20" i="2"/>
  <c r="X25" i="2"/>
  <c r="W29" i="2"/>
  <c r="V33" i="2"/>
  <c r="X34" i="2"/>
  <c r="U38" i="2"/>
  <c r="T42" i="2"/>
  <c r="V44" i="2"/>
  <c r="X49" i="2"/>
  <c r="W53" i="2"/>
  <c r="V59" i="2"/>
  <c r="W70" i="2"/>
  <c r="X74" i="2"/>
  <c r="X82" i="2"/>
  <c r="V85" i="2"/>
  <c r="X86" i="2"/>
  <c r="V89" i="2"/>
  <c r="X90" i="2"/>
  <c r="V93" i="2"/>
  <c r="X94" i="2"/>
  <c r="V97" i="2"/>
  <c r="X98" i="2"/>
  <c r="V101" i="2"/>
  <c r="X102" i="2"/>
  <c r="W104" i="2"/>
  <c r="T106" i="2"/>
  <c r="T108" i="2"/>
  <c r="T112" i="2"/>
  <c r="T116" i="2"/>
  <c r="T120" i="2"/>
  <c r="T124" i="2"/>
  <c r="T128" i="2"/>
  <c r="T132" i="2"/>
  <c r="X143" i="2"/>
  <c r="V143" i="2"/>
  <c r="U143" i="2"/>
  <c r="S150" i="2"/>
  <c r="W230" i="2"/>
  <c r="U230" i="2"/>
  <c r="S230" i="2"/>
  <c r="W296" i="2"/>
  <c r="U296" i="2"/>
  <c r="X400" i="2"/>
  <c r="W400" i="2"/>
  <c r="V400" i="2"/>
  <c r="T400" i="2"/>
  <c r="S400" i="2"/>
  <c r="X151" i="2"/>
  <c r="X155" i="2"/>
  <c r="X159" i="2"/>
  <c r="X163" i="2"/>
  <c r="X167" i="2"/>
  <c r="X171" i="2"/>
  <c r="X175" i="2"/>
  <c r="X179" i="2"/>
  <c r="X183" i="2"/>
  <c r="X187" i="2"/>
  <c r="X191" i="2"/>
  <c r="V195" i="2"/>
  <c r="W278" i="2"/>
  <c r="U278" i="2"/>
  <c r="W321" i="2"/>
  <c r="X321" i="2"/>
  <c r="V321" i="2"/>
  <c r="U321" i="2"/>
  <c r="T321" i="2"/>
  <c r="S321" i="2"/>
  <c r="S161" i="2"/>
  <c r="S165" i="2"/>
  <c r="S169" i="2"/>
  <c r="S173" i="2"/>
  <c r="S177" i="2"/>
  <c r="S181" i="2"/>
  <c r="S185" i="2"/>
  <c r="S189" i="2"/>
  <c r="S193" i="2"/>
  <c r="X195" i="2"/>
  <c r="S233" i="2"/>
  <c r="S244" i="2"/>
  <c r="S248" i="2"/>
  <c r="S252" i="2"/>
  <c r="S256" i="2"/>
  <c r="U266" i="2"/>
  <c r="U272" i="2"/>
  <c r="U291" i="2"/>
  <c r="X404" i="2"/>
  <c r="W404" i="2"/>
  <c r="V404" i="2"/>
  <c r="T404" i="2"/>
  <c r="S404" i="2"/>
  <c r="S509" i="2"/>
  <c r="X509" i="2"/>
  <c r="W509" i="2"/>
  <c r="V509" i="2"/>
  <c r="T509" i="2"/>
  <c r="U509" i="2"/>
  <c r="S142" i="2"/>
  <c r="U161" i="2"/>
  <c r="U165" i="2"/>
  <c r="U169" i="2"/>
  <c r="U173" i="2"/>
  <c r="U177" i="2"/>
  <c r="U181" i="2"/>
  <c r="U185" i="2"/>
  <c r="U189" i="2"/>
  <c r="U193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U233" i="2"/>
  <c r="T244" i="2"/>
  <c r="T248" i="2"/>
  <c r="T256" i="2"/>
  <c r="W276" i="2"/>
  <c r="U276" i="2"/>
  <c r="U288" i="2"/>
  <c r="W304" i="2"/>
  <c r="U304" i="2"/>
  <c r="W335" i="2"/>
  <c r="V335" i="2"/>
  <c r="T335" i="2"/>
  <c r="S335" i="2"/>
  <c r="V161" i="2"/>
  <c r="V165" i="2"/>
  <c r="V169" i="2"/>
  <c r="V173" i="2"/>
  <c r="V177" i="2"/>
  <c r="V181" i="2"/>
  <c r="V185" i="2"/>
  <c r="V189" i="2"/>
  <c r="V193" i="2"/>
  <c r="W312" i="2"/>
  <c r="X312" i="2"/>
  <c r="V312" i="2"/>
  <c r="U312" i="2"/>
  <c r="T312" i="2"/>
  <c r="S312" i="2"/>
  <c r="S496" i="2"/>
  <c r="X496" i="2"/>
  <c r="T496" i="2"/>
  <c r="V110" i="2"/>
  <c r="V114" i="2"/>
  <c r="V118" i="2"/>
  <c r="V122" i="2"/>
  <c r="V126" i="2"/>
  <c r="V130" i="2"/>
  <c r="V134" i="2"/>
  <c r="V138" i="2"/>
  <c r="U148" i="2"/>
  <c r="U152" i="2"/>
  <c r="U156" i="2"/>
  <c r="U160" i="2"/>
  <c r="X161" i="2"/>
  <c r="U164" i="2"/>
  <c r="X165" i="2"/>
  <c r="U168" i="2"/>
  <c r="X169" i="2"/>
  <c r="U172" i="2"/>
  <c r="X173" i="2"/>
  <c r="U176" i="2"/>
  <c r="X177" i="2"/>
  <c r="U180" i="2"/>
  <c r="X181" i="2"/>
  <c r="U184" i="2"/>
  <c r="X185" i="2"/>
  <c r="U188" i="2"/>
  <c r="X189" i="2"/>
  <c r="U192" i="2"/>
  <c r="X193" i="2"/>
  <c r="S196" i="2"/>
  <c r="T197" i="2"/>
  <c r="U227" i="2"/>
  <c r="U242" i="2"/>
  <c r="U246" i="2"/>
  <c r="U250" i="2"/>
  <c r="U258" i="2"/>
  <c r="W267" i="2"/>
  <c r="U270" i="2"/>
  <c r="U282" i="2"/>
  <c r="W286" i="2"/>
  <c r="U286" i="2"/>
  <c r="S489" i="2"/>
  <c r="X489" i="2"/>
  <c r="T489" i="2"/>
  <c r="X411" i="2"/>
  <c r="W411" i="2"/>
  <c r="V411" i="2"/>
  <c r="T411" i="2"/>
  <c r="X413" i="2"/>
  <c r="W413" i="2"/>
  <c r="V413" i="2"/>
  <c r="T413" i="2"/>
  <c r="X415" i="2"/>
  <c r="W415" i="2"/>
  <c r="V415" i="2"/>
  <c r="T415" i="2"/>
  <c r="X417" i="2"/>
  <c r="W417" i="2"/>
  <c r="V417" i="2"/>
  <c r="T417" i="2"/>
  <c r="X419" i="2"/>
  <c r="W419" i="2"/>
  <c r="V419" i="2"/>
  <c r="T419" i="2"/>
  <c r="X421" i="2"/>
  <c r="W421" i="2"/>
  <c r="V421" i="2"/>
  <c r="T421" i="2"/>
  <c r="X423" i="2"/>
  <c r="W423" i="2"/>
  <c r="V423" i="2"/>
  <c r="T423" i="2"/>
  <c r="X425" i="2"/>
  <c r="W425" i="2"/>
  <c r="V425" i="2"/>
  <c r="T425" i="2"/>
  <c r="X427" i="2"/>
  <c r="W427" i="2"/>
  <c r="V427" i="2"/>
  <c r="T427" i="2"/>
  <c r="X429" i="2"/>
  <c r="W429" i="2"/>
  <c r="V429" i="2"/>
  <c r="T429" i="2"/>
  <c r="X431" i="2"/>
  <c r="W431" i="2"/>
  <c r="V431" i="2"/>
  <c r="T431" i="2"/>
  <c r="X433" i="2"/>
  <c r="W433" i="2"/>
  <c r="V433" i="2"/>
  <c r="T433" i="2"/>
  <c r="X435" i="2"/>
  <c r="W435" i="2"/>
  <c r="V435" i="2"/>
  <c r="T435" i="2"/>
  <c r="X437" i="2"/>
  <c r="W437" i="2"/>
  <c r="V437" i="2"/>
  <c r="T437" i="2"/>
  <c r="X439" i="2"/>
  <c r="W439" i="2"/>
  <c r="V439" i="2"/>
  <c r="T439" i="2"/>
  <c r="X441" i="2"/>
  <c r="W441" i="2"/>
  <c r="V441" i="2"/>
  <c r="T441" i="2"/>
  <c r="X443" i="2"/>
  <c r="W443" i="2"/>
  <c r="V443" i="2"/>
  <c r="T443" i="2"/>
  <c r="X445" i="2"/>
  <c r="W445" i="2"/>
  <c r="V445" i="2"/>
  <c r="T445" i="2"/>
  <c r="X447" i="2"/>
  <c r="W447" i="2"/>
  <c r="V447" i="2"/>
  <c r="T447" i="2"/>
  <c r="X449" i="2"/>
  <c r="W449" i="2"/>
  <c r="V449" i="2"/>
  <c r="T449" i="2"/>
  <c r="X451" i="2"/>
  <c r="W451" i="2"/>
  <c r="V451" i="2"/>
  <c r="T451" i="2"/>
  <c r="X453" i="2"/>
  <c r="W453" i="2"/>
  <c r="V453" i="2"/>
  <c r="T453" i="2"/>
  <c r="X455" i="2"/>
  <c r="W455" i="2"/>
  <c r="V455" i="2"/>
  <c r="T455" i="2"/>
  <c r="S490" i="2"/>
  <c r="X490" i="2"/>
  <c r="S493" i="2"/>
  <c r="X493" i="2"/>
  <c r="T493" i="2"/>
  <c r="W541" i="2"/>
  <c r="V541" i="2"/>
  <c r="U541" i="2"/>
  <c r="T541" i="2"/>
  <c r="X552" i="2"/>
  <c r="W552" i="2"/>
  <c r="V552" i="2"/>
  <c r="U552" i="2"/>
  <c r="T552" i="2"/>
  <c r="X568" i="2"/>
  <c r="W568" i="2"/>
  <c r="V568" i="2"/>
  <c r="U568" i="2"/>
  <c r="T568" i="2"/>
  <c r="T709" i="2"/>
  <c r="S709" i="2"/>
  <c r="X709" i="2"/>
  <c r="W709" i="2"/>
  <c r="V709" i="2"/>
  <c r="U709" i="2"/>
  <c r="W406" i="2"/>
  <c r="S462" i="2"/>
  <c r="X462" i="2"/>
  <c r="W462" i="2"/>
  <c r="V462" i="2"/>
  <c r="T462" i="2"/>
  <c r="S470" i="2"/>
  <c r="X470" i="2"/>
  <c r="W470" i="2"/>
  <c r="V470" i="2"/>
  <c r="T470" i="2"/>
  <c r="S478" i="2"/>
  <c r="X478" i="2"/>
  <c r="W478" i="2"/>
  <c r="V478" i="2"/>
  <c r="T478" i="2"/>
  <c r="S486" i="2"/>
  <c r="X486" i="2"/>
  <c r="W486" i="2"/>
  <c r="V486" i="2"/>
  <c r="T486" i="2"/>
  <c r="S501" i="2"/>
  <c r="X501" i="2"/>
  <c r="W501" i="2"/>
  <c r="V501" i="2"/>
  <c r="T501" i="2"/>
  <c r="S516" i="2"/>
  <c r="X516" i="2"/>
  <c r="W516" i="2"/>
  <c r="V516" i="2"/>
  <c r="U516" i="2"/>
  <c r="U294" i="2"/>
  <c r="X307" i="2"/>
  <c r="S311" i="2"/>
  <c r="V314" i="2"/>
  <c r="X315" i="2"/>
  <c r="S319" i="2"/>
  <c r="W341" i="2"/>
  <c r="W345" i="2"/>
  <c r="W349" i="2"/>
  <c r="W353" i="2"/>
  <c r="W357" i="2"/>
  <c r="W361" i="2"/>
  <c r="W365" i="2"/>
  <c r="W369" i="2"/>
  <c r="W373" i="2"/>
  <c r="W377" i="2"/>
  <c r="W381" i="2"/>
  <c r="W385" i="2"/>
  <c r="W389" i="2"/>
  <c r="X410" i="2"/>
  <c r="V410" i="2"/>
  <c r="S411" i="2"/>
  <c r="S413" i="2"/>
  <c r="S415" i="2"/>
  <c r="S417" i="2"/>
  <c r="S419" i="2"/>
  <c r="S421" i="2"/>
  <c r="S423" i="2"/>
  <c r="S425" i="2"/>
  <c r="S427" i="2"/>
  <c r="S429" i="2"/>
  <c r="S431" i="2"/>
  <c r="S433" i="2"/>
  <c r="S435" i="2"/>
  <c r="S437" i="2"/>
  <c r="S439" i="2"/>
  <c r="S441" i="2"/>
  <c r="S443" i="2"/>
  <c r="S445" i="2"/>
  <c r="S447" i="2"/>
  <c r="S449" i="2"/>
  <c r="S451" i="2"/>
  <c r="S453" i="2"/>
  <c r="S455" i="2"/>
  <c r="T490" i="2"/>
  <c r="S494" i="2"/>
  <c r="X494" i="2"/>
  <c r="S497" i="2"/>
  <c r="X497" i="2"/>
  <c r="T497" i="2"/>
  <c r="S514" i="2"/>
  <c r="W514" i="2"/>
  <c r="V514" i="2"/>
  <c r="U514" i="2"/>
  <c r="T514" i="2"/>
  <c r="U274" i="2"/>
  <c r="U281" i="2"/>
  <c r="U292" i="2"/>
  <c r="W299" i="2"/>
  <c r="U302" i="2"/>
  <c r="S310" i="2"/>
  <c r="T311" i="2"/>
  <c r="X314" i="2"/>
  <c r="S318" i="2"/>
  <c r="T319" i="2"/>
  <c r="T324" i="2"/>
  <c r="S326" i="2"/>
  <c r="T329" i="2"/>
  <c r="T332" i="2"/>
  <c r="S334" i="2"/>
  <c r="T337" i="2"/>
  <c r="T340" i="2"/>
  <c r="S343" i="2"/>
  <c r="S347" i="2"/>
  <c r="S351" i="2"/>
  <c r="S355" i="2"/>
  <c r="S359" i="2"/>
  <c r="S363" i="2"/>
  <c r="S367" i="2"/>
  <c r="S371" i="2"/>
  <c r="S375" i="2"/>
  <c r="S379" i="2"/>
  <c r="S383" i="2"/>
  <c r="S387" i="2"/>
  <c r="S391" i="2"/>
  <c r="S395" i="2"/>
  <c r="S399" i="2"/>
  <c r="S403" i="2"/>
  <c r="W405" i="2"/>
  <c r="U411" i="2"/>
  <c r="U413" i="2"/>
  <c r="U415" i="2"/>
  <c r="U417" i="2"/>
  <c r="U419" i="2"/>
  <c r="U421" i="2"/>
  <c r="U423" i="2"/>
  <c r="U425" i="2"/>
  <c r="U427" i="2"/>
  <c r="U429" i="2"/>
  <c r="U431" i="2"/>
  <c r="U433" i="2"/>
  <c r="U435" i="2"/>
  <c r="U437" i="2"/>
  <c r="U439" i="2"/>
  <c r="U441" i="2"/>
  <c r="U443" i="2"/>
  <c r="U445" i="2"/>
  <c r="U447" i="2"/>
  <c r="U449" i="2"/>
  <c r="U451" i="2"/>
  <c r="U453" i="2"/>
  <c r="U455" i="2"/>
  <c r="U462" i="2"/>
  <c r="U470" i="2"/>
  <c r="U478" i="2"/>
  <c r="U486" i="2"/>
  <c r="S491" i="2"/>
  <c r="X491" i="2"/>
  <c r="T491" i="2"/>
  <c r="U501" i="2"/>
  <c r="T516" i="2"/>
  <c r="U290" i="2"/>
  <c r="S309" i="2"/>
  <c r="T310" i="2"/>
  <c r="U311" i="2"/>
  <c r="S317" i="2"/>
  <c r="T318" i="2"/>
  <c r="U319" i="2"/>
  <c r="W324" i="2"/>
  <c r="T326" i="2"/>
  <c r="W332" i="2"/>
  <c r="T334" i="2"/>
  <c r="W340" i="2"/>
  <c r="T343" i="2"/>
  <c r="T347" i="2"/>
  <c r="T351" i="2"/>
  <c r="T355" i="2"/>
  <c r="T359" i="2"/>
  <c r="T363" i="2"/>
  <c r="T367" i="2"/>
  <c r="T371" i="2"/>
  <c r="T375" i="2"/>
  <c r="T379" i="2"/>
  <c r="T383" i="2"/>
  <c r="T387" i="2"/>
  <c r="T391" i="2"/>
  <c r="T395" i="2"/>
  <c r="T399" i="2"/>
  <c r="X412" i="2"/>
  <c r="W412" i="2"/>
  <c r="V412" i="2"/>
  <c r="T412" i="2"/>
  <c r="X414" i="2"/>
  <c r="W414" i="2"/>
  <c r="V414" i="2"/>
  <c r="T414" i="2"/>
  <c r="X416" i="2"/>
  <c r="W416" i="2"/>
  <c r="V416" i="2"/>
  <c r="T416" i="2"/>
  <c r="X418" i="2"/>
  <c r="W418" i="2"/>
  <c r="V418" i="2"/>
  <c r="T418" i="2"/>
  <c r="X420" i="2"/>
  <c r="W420" i="2"/>
  <c r="V420" i="2"/>
  <c r="T420" i="2"/>
  <c r="X422" i="2"/>
  <c r="W422" i="2"/>
  <c r="V422" i="2"/>
  <c r="T422" i="2"/>
  <c r="X424" i="2"/>
  <c r="W424" i="2"/>
  <c r="V424" i="2"/>
  <c r="T424" i="2"/>
  <c r="X426" i="2"/>
  <c r="W426" i="2"/>
  <c r="V426" i="2"/>
  <c r="T426" i="2"/>
  <c r="X428" i="2"/>
  <c r="W428" i="2"/>
  <c r="V428" i="2"/>
  <c r="T428" i="2"/>
  <c r="X430" i="2"/>
  <c r="W430" i="2"/>
  <c r="V430" i="2"/>
  <c r="T430" i="2"/>
  <c r="X432" i="2"/>
  <c r="W432" i="2"/>
  <c r="V432" i="2"/>
  <c r="T432" i="2"/>
  <c r="X434" i="2"/>
  <c r="W434" i="2"/>
  <c r="V434" i="2"/>
  <c r="T434" i="2"/>
  <c r="X436" i="2"/>
  <c r="W436" i="2"/>
  <c r="V436" i="2"/>
  <c r="T436" i="2"/>
  <c r="X438" i="2"/>
  <c r="W438" i="2"/>
  <c r="V438" i="2"/>
  <c r="T438" i="2"/>
  <c r="X440" i="2"/>
  <c r="W440" i="2"/>
  <c r="V440" i="2"/>
  <c r="T440" i="2"/>
  <c r="X442" i="2"/>
  <c r="W442" i="2"/>
  <c r="V442" i="2"/>
  <c r="T442" i="2"/>
  <c r="X444" i="2"/>
  <c r="W444" i="2"/>
  <c r="V444" i="2"/>
  <c r="T444" i="2"/>
  <c r="X446" i="2"/>
  <c r="W446" i="2"/>
  <c r="V446" i="2"/>
  <c r="T446" i="2"/>
  <c r="X448" i="2"/>
  <c r="W448" i="2"/>
  <c r="V448" i="2"/>
  <c r="T448" i="2"/>
  <c r="X450" i="2"/>
  <c r="W450" i="2"/>
  <c r="V450" i="2"/>
  <c r="T450" i="2"/>
  <c r="X452" i="2"/>
  <c r="W452" i="2"/>
  <c r="V452" i="2"/>
  <c r="T452" i="2"/>
  <c r="X454" i="2"/>
  <c r="W454" i="2"/>
  <c r="V454" i="2"/>
  <c r="T454" i="2"/>
  <c r="S456" i="2"/>
  <c r="X456" i="2"/>
  <c r="W456" i="2"/>
  <c r="U456" i="2"/>
  <c r="S459" i="2"/>
  <c r="U459" i="2"/>
  <c r="T459" i="2"/>
  <c r="S463" i="2"/>
  <c r="X463" i="2"/>
  <c r="W463" i="2"/>
  <c r="U463" i="2"/>
  <c r="S467" i="2"/>
  <c r="U467" i="2"/>
  <c r="T467" i="2"/>
  <c r="S471" i="2"/>
  <c r="X471" i="2"/>
  <c r="W471" i="2"/>
  <c r="U471" i="2"/>
  <c r="S475" i="2"/>
  <c r="U475" i="2"/>
  <c r="T475" i="2"/>
  <c r="S479" i="2"/>
  <c r="X479" i="2"/>
  <c r="W479" i="2"/>
  <c r="U479" i="2"/>
  <c r="S483" i="2"/>
  <c r="U483" i="2"/>
  <c r="T483" i="2"/>
  <c r="S487" i="2"/>
  <c r="X487" i="2"/>
  <c r="U487" i="2"/>
  <c r="T494" i="2"/>
  <c r="S498" i="2"/>
  <c r="W498" i="2"/>
  <c r="S502" i="2"/>
  <c r="X502" i="2"/>
  <c r="W502" i="2"/>
  <c r="U502" i="2"/>
  <c r="S506" i="2"/>
  <c r="V506" i="2"/>
  <c r="U506" i="2"/>
  <c r="T506" i="2"/>
  <c r="S508" i="2"/>
  <c r="X508" i="2"/>
  <c r="W508" i="2"/>
  <c r="V508" i="2"/>
  <c r="U508" i="2"/>
  <c r="X514" i="2"/>
  <c r="U318" i="2"/>
  <c r="V319" i="2"/>
  <c r="V343" i="2"/>
  <c r="V347" i="2"/>
  <c r="V351" i="2"/>
  <c r="V355" i="2"/>
  <c r="V359" i="2"/>
  <c r="V363" i="2"/>
  <c r="V367" i="2"/>
  <c r="V371" i="2"/>
  <c r="V375" i="2"/>
  <c r="V379" i="2"/>
  <c r="V383" i="2"/>
  <c r="V387" i="2"/>
  <c r="V391" i="2"/>
  <c r="V395" i="2"/>
  <c r="V399" i="2"/>
  <c r="V403" i="2"/>
  <c r="T410" i="2"/>
  <c r="S461" i="2"/>
  <c r="W461" i="2"/>
  <c r="V461" i="2"/>
  <c r="U461" i="2"/>
  <c r="S469" i="2"/>
  <c r="W469" i="2"/>
  <c r="V469" i="2"/>
  <c r="U469" i="2"/>
  <c r="S477" i="2"/>
  <c r="W477" i="2"/>
  <c r="V477" i="2"/>
  <c r="U477" i="2"/>
  <c r="S485" i="2"/>
  <c r="W485" i="2"/>
  <c r="V485" i="2"/>
  <c r="U485" i="2"/>
  <c r="S492" i="2"/>
  <c r="X492" i="2"/>
  <c r="S495" i="2"/>
  <c r="X495" i="2"/>
  <c r="T495" i="2"/>
  <c r="S500" i="2"/>
  <c r="W500" i="2"/>
  <c r="V500" i="2"/>
  <c r="U500" i="2"/>
  <c r="U510" i="2"/>
  <c r="T517" i="2"/>
  <c r="U518" i="2"/>
  <c r="S526" i="2"/>
  <c r="X526" i="2"/>
  <c r="W526" i="2"/>
  <c r="V526" i="2"/>
  <c r="U526" i="2"/>
  <c r="T526" i="2"/>
  <c r="X549" i="2"/>
  <c r="W549" i="2"/>
  <c r="V549" i="2"/>
  <c r="U549" i="2"/>
  <c r="T549" i="2"/>
  <c r="X565" i="2"/>
  <c r="W565" i="2"/>
  <c r="V565" i="2"/>
  <c r="U565" i="2"/>
  <c r="T565" i="2"/>
  <c r="X587" i="2"/>
  <c r="W587" i="2"/>
  <c r="V587" i="2"/>
  <c r="U587" i="2"/>
  <c r="T587" i="2"/>
  <c r="X597" i="2"/>
  <c r="W597" i="2"/>
  <c r="V597" i="2"/>
  <c r="U597" i="2"/>
  <c r="T597" i="2"/>
  <c r="X609" i="2"/>
  <c r="T609" i="2"/>
  <c r="W609" i="2"/>
  <c r="V609" i="2"/>
  <c r="U609" i="2"/>
  <c r="V613" i="2"/>
  <c r="U613" i="2"/>
  <c r="X613" i="2"/>
  <c r="W613" i="2"/>
  <c r="T613" i="2"/>
  <c r="S613" i="2"/>
  <c r="V621" i="2"/>
  <c r="U621" i="2"/>
  <c r="X621" i="2"/>
  <c r="W621" i="2"/>
  <c r="T621" i="2"/>
  <c r="S621" i="2"/>
  <c r="V629" i="2"/>
  <c r="U629" i="2"/>
  <c r="X629" i="2"/>
  <c r="W629" i="2"/>
  <c r="T629" i="2"/>
  <c r="S629" i="2"/>
  <c r="V637" i="2"/>
  <c r="U637" i="2"/>
  <c r="X637" i="2"/>
  <c r="W637" i="2"/>
  <c r="T637" i="2"/>
  <c r="S637" i="2"/>
  <c r="T689" i="2"/>
  <c r="S689" i="2"/>
  <c r="X689" i="2"/>
  <c r="W689" i="2"/>
  <c r="V689" i="2"/>
  <c r="U689" i="2"/>
  <c r="T460" i="2"/>
  <c r="X464" i="2"/>
  <c r="T468" i="2"/>
  <c r="X472" i="2"/>
  <c r="T476" i="2"/>
  <c r="X480" i="2"/>
  <c r="T484" i="2"/>
  <c r="X503" i="2"/>
  <c r="T507" i="2"/>
  <c r="W510" i="2"/>
  <c r="X511" i="2"/>
  <c r="T515" i="2"/>
  <c r="V517" i="2"/>
  <c r="W518" i="2"/>
  <c r="W533" i="2"/>
  <c r="V533" i="2"/>
  <c r="U533" i="2"/>
  <c r="T533" i="2"/>
  <c r="W536" i="2"/>
  <c r="U536" i="2"/>
  <c r="T536" i="2"/>
  <c r="W544" i="2"/>
  <c r="U544" i="2"/>
  <c r="T544" i="2"/>
  <c r="X571" i="2"/>
  <c r="W571" i="2"/>
  <c r="V571" i="2"/>
  <c r="U571" i="2"/>
  <c r="T571" i="2"/>
  <c r="X600" i="2"/>
  <c r="W600" i="2"/>
  <c r="V600" i="2"/>
  <c r="U600" i="2"/>
  <c r="T600" i="2"/>
  <c r="T697" i="2"/>
  <c r="S697" i="2"/>
  <c r="X697" i="2"/>
  <c r="W697" i="2"/>
  <c r="V697" i="2"/>
  <c r="U697" i="2"/>
  <c r="U460" i="2"/>
  <c r="U468" i="2"/>
  <c r="U476" i="2"/>
  <c r="U484" i="2"/>
  <c r="U507" i="2"/>
  <c r="X510" i="2"/>
  <c r="U515" i="2"/>
  <c r="W517" i="2"/>
  <c r="X518" i="2"/>
  <c r="W539" i="2"/>
  <c r="U539" i="2"/>
  <c r="W547" i="2"/>
  <c r="U547" i="2"/>
  <c r="X555" i="2"/>
  <c r="W555" i="2"/>
  <c r="V555" i="2"/>
  <c r="U555" i="2"/>
  <c r="T555" i="2"/>
  <c r="X603" i="2"/>
  <c r="W603" i="2"/>
  <c r="V603" i="2"/>
  <c r="U603" i="2"/>
  <c r="T603" i="2"/>
  <c r="T685" i="2"/>
  <c r="S685" i="2"/>
  <c r="X685" i="2"/>
  <c r="W685" i="2"/>
  <c r="V685" i="2"/>
  <c r="U685" i="2"/>
  <c r="T458" i="2"/>
  <c r="V460" i="2"/>
  <c r="V468" i="2"/>
  <c r="V476" i="2"/>
  <c r="V484" i="2"/>
  <c r="V507" i="2"/>
  <c r="V515" i="2"/>
  <c r="X517" i="2"/>
  <c r="S519" i="2"/>
  <c r="X519" i="2"/>
  <c r="X578" i="2"/>
  <c r="U578" i="2"/>
  <c r="W578" i="2"/>
  <c r="V578" i="2"/>
  <c r="T578" i="2"/>
  <c r="X606" i="2"/>
  <c r="V606" i="2"/>
  <c r="U606" i="2"/>
  <c r="W606" i="2"/>
  <c r="T606" i="2"/>
  <c r="V617" i="2"/>
  <c r="U617" i="2"/>
  <c r="X617" i="2"/>
  <c r="W617" i="2"/>
  <c r="T617" i="2"/>
  <c r="S617" i="2"/>
  <c r="V625" i="2"/>
  <c r="U625" i="2"/>
  <c r="X625" i="2"/>
  <c r="W625" i="2"/>
  <c r="T625" i="2"/>
  <c r="S625" i="2"/>
  <c r="V633" i="2"/>
  <c r="U633" i="2"/>
  <c r="X633" i="2"/>
  <c r="W633" i="2"/>
  <c r="T633" i="2"/>
  <c r="S633" i="2"/>
  <c r="T705" i="2"/>
  <c r="S705" i="2"/>
  <c r="X705" i="2"/>
  <c r="W705" i="2"/>
  <c r="V705" i="2"/>
  <c r="U705" i="2"/>
  <c r="S531" i="2"/>
  <c r="W531" i="2"/>
  <c r="U531" i="2"/>
  <c r="T531" i="2"/>
  <c r="T693" i="2"/>
  <c r="S693" i="2"/>
  <c r="X693" i="2"/>
  <c r="W693" i="2"/>
  <c r="V693" i="2"/>
  <c r="U693" i="2"/>
  <c r="S525" i="2"/>
  <c r="X525" i="2"/>
  <c r="W525" i="2"/>
  <c r="V525" i="2"/>
  <c r="U525" i="2"/>
  <c r="T525" i="2"/>
  <c r="X562" i="2"/>
  <c r="U562" i="2"/>
  <c r="W562" i="2"/>
  <c r="V562" i="2"/>
  <c r="T562" i="2"/>
  <c r="X581" i="2"/>
  <c r="W581" i="2"/>
  <c r="V581" i="2"/>
  <c r="U581" i="2"/>
  <c r="T581" i="2"/>
  <c r="V641" i="2"/>
  <c r="U641" i="2"/>
  <c r="X641" i="2"/>
  <c r="W641" i="2"/>
  <c r="T641" i="2"/>
  <c r="S641" i="2"/>
  <c r="X648" i="2"/>
  <c r="W648" i="2"/>
  <c r="V648" i="2"/>
  <c r="U648" i="2"/>
  <c r="T648" i="2"/>
  <c r="S648" i="2"/>
  <c r="X652" i="2"/>
  <c r="W652" i="2"/>
  <c r="V652" i="2"/>
  <c r="U652" i="2"/>
  <c r="T652" i="2"/>
  <c r="S652" i="2"/>
  <c r="X656" i="2"/>
  <c r="W656" i="2"/>
  <c r="V656" i="2"/>
  <c r="U656" i="2"/>
  <c r="T656" i="2"/>
  <c r="S656" i="2"/>
  <c r="T681" i="2"/>
  <c r="S681" i="2"/>
  <c r="X681" i="2"/>
  <c r="W681" i="2"/>
  <c r="V681" i="2"/>
  <c r="U681" i="2"/>
  <c r="T713" i="2"/>
  <c r="S713" i="2"/>
  <c r="X713" i="2"/>
  <c r="W713" i="2"/>
  <c r="V713" i="2"/>
  <c r="U713" i="2"/>
  <c r="V520" i="2"/>
  <c r="X522" i="2"/>
  <c r="V527" i="2"/>
  <c r="W529" i="2"/>
  <c r="V534" i="2"/>
  <c r="W537" i="2"/>
  <c r="W545" i="2"/>
  <c r="V553" i="2"/>
  <c r="V556" i="2"/>
  <c r="X558" i="2"/>
  <c r="U558" i="2"/>
  <c r="V569" i="2"/>
  <c r="V572" i="2"/>
  <c r="X574" i="2"/>
  <c r="U574" i="2"/>
  <c r="V585" i="2"/>
  <c r="V588" i="2"/>
  <c r="X590" i="2"/>
  <c r="U590" i="2"/>
  <c r="U591" i="2"/>
  <c r="V601" i="2"/>
  <c r="V604" i="2"/>
  <c r="V612" i="2"/>
  <c r="U612" i="2"/>
  <c r="W614" i="2"/>
  <c r="V616" i="2"/>
  <c r="U616" i="2"/>
  <c r="W618" i="2"/>
  <c r="V620" i="2"/>
  <c r="U620" i="2"/>
  <c r="W622" i="2"/>
  <c r="V624" i="2"/>
  <c r="U624" i="2"/>
  <c r="W626" i="2"/>
  <c r="V628" i="2"/>
  <c r="U628" i="2"/>
  <c r="W630" i="2"/>
  <c r="V632" i="2"/>
  <c r="U632" i="2"/>
  <c r="W634" i="2"/>
  <c r="V636" i="2"/>
  <c r="U636" i="2"/>
  <c r="W638" i="2"/>
  <c r="V640" i="2"/>
  <c r="U640" i="2"/>
  <c r="U645" i="2"/>
  <c r="X647" i="2"/>
  <c r="W647" i="2"/>
  <c r="U649" i="2"/>
  <c r="X651" i="2"/>
  <c r="W651" i="2"/>
  <c r="U653" i="2"/>
  <c r="X655" i="2"/>
  <c r="W655" i="2"/>
  <c r="U657" i="2"/>
  <c r="T684" i="2"/>
  <c r="S684" i="2"/>
  <c r="T688" i="2"/>
  <c r="S688" i="2"/>
  <c r="T692" i="2"/>
  <c r="S692" i="2"/>
  <c r="T696" i="2"/>
  <c r="S696" i="2"/>
  <c r="T700" i="2"/>
  <c r="S700" i="2"/>
  <c r="T704" i="2"/>
  <c r="S704" i="2"/>
  <c r="T708" i="2"/>
  <c r="S708" i="2"/>
  <c r="T712" i="2"/>
  <c r="S712" i="2"/>
  <c r="W520" i="2"/>
  <c r="X521" i="2"/>
  <c r="W527" i="2"/>
  <c r="X551" i="2"/>
  <c r="W551" i="2"/>
  <c r="W553" i="2"/>
  <c r="W556" i="2"/>
  <c r="X567" i="2"/>
  <c r="W567" i="2"/>
  <c r="W569" i="2"/>
  <c r="W572" i="2"/>
  <c r="X583" i="2"/>
  <c r="W583" i="2"/>
  <c r="W585" i="2"/>
  <c r="W588" i="2"/>
  <c r="X599" i="2"/>
  <c r="W599" i="2"/>
  <c r="W601" i="2"/>
  <c r="W604" i="2"/>
  <c r="W643" i="2"/>
  <c r="X643" i="2"/>
  <c r="V643" i="2"/>
  <c r="X520" i="2"/>
  <c r="T524" i="2"/>
  <c r="X527" i="2"/>
  <c r="X554" i="2"/>
  <c r="U554" i="2"/>
  <c r="X570" i="2"/>
  <c r="U570" i="2"/>
  <c r="X586" i="2"/>
  <c r="U586" i="2"/>
  <c r="T590" i="2"/>
  <c r="T593" i="2"/>
  <c r="T596" i="2"/>
  <c r="X602" i="2"/>
  <c r="U602" i="2"/>
  <c r="X605" i="2"/>
  <c r="T605" i="2"/>
  <c r="S612" i="2"/>
  <c r="V615" i="2"/>
  <c r="U615" i="2"/>
  <c r="S616" i="2"/>
  <c r="V619" i="2"/>
  <c r="U619" i="2"/>
  <c r="S620" i="2"/>
  <c r="V623" i="2"/>
  <c r="U623" i="2"/>
  <c r="S624" i="2"/>
  <c r="V627" i="2"/>
  <c r="U627" i="2"/>
  <c r="S628" i="2"/>
  <c r="V631" i="2"/>
  <c r="U631" i="2"/>
  <c r="S632" i="2"/>
  <c r="V635" i="2"/>
  <c r="U635" i="2"/>
  <c r="S636" i="2"/>
  <c r="V639" i="2"/>
  <c r="U639" i="2"/>
  <c r="X646" i="2"/>
  <c r="W646" i="2"/>
  <c r="X650" i="2"/>
  <c r="W650" i="2"/>
  <c r="X654" i="2"/>
  <c r="W654" i="2"/>
  <c r="U658" i="2"/>
  <c r="X658" i="2"/>
  <c r="T683" i="2"/>
  <c r="S683" i="2"/>
  <c r="U684" i="2"/>
  <c r="T687" i="2"/>
  <c r="S687" i="2"/>
  <c r="U688" i="2"/>
  <c r="T691" i="2"/>
  <c r="S691" i="2"/>
  <c r="U692" i="2"/>
  <c r="T695" i="2"/>
  <c r="S695" i="2"/>
  <c r="U696" i="2"/>
  <c r="T699" i="2"/>
  <c r="S699" i="2"/>
  <c r="U700" i="2"/>
  <c r="T703" i="2"/>
  <c r="S703" i="2"/>
  <c r="U704" i="2"/>
  <c r="T707" i="2"/>
  <c r="S707" i="2"/>
  <c r="U708" i="2"/>
  <c r="T711" i="2"/>
  <c r="S711" i="2"/>
  <c r="U712" i="2"/>
  <c r="W715" i="2"/>
  <c r="U715" i="2"/>
  <c r="T715" i="2"/>
  <c r="S715" i="2"/>
  <c r="T523" i="2"/>
  <c r="U524" i="2"/>
  <c r="T530" i="2"/>
  <c r="U538" i="2"/>
  <c r="U546" i="2"/>
  <c r="T551" i="2"/>
  <c r="V558" i="2"/>
  <c r="U561" i="2"/>
  <c r="X563" i="2"/>
  <c r="W563" i="2"/>
  <c r="U564" i="2"/>
  <c r="T567" i="2"/>
  <c r="V574" i="2"/>
  <c r="U577" i="2"/>
  <c r="X579" i="2"/>
  <c r="W579" i="2"/>
  <c r="U580" i="2"/>
  <c r="T583" i="2"/>
  <c r="V590" i="2"/>
  <c r="U593" i="2"/>
  <c r="X595" i="2"/>
  <c r="W595" i="2"/>
  <c r="U596" i="2"/>
  <c r="T599" i="2"/>
  <c r="X607" i="2"/>
  <c r="W607" i="2"/>
  <c r="X610" i="2"/>
  <c r="V610" i="2"/>
  <c r="U610" i="2"/>
  <c r="T612" i="2"/>
  <c r="T616" i="2"/>
  <c r="T620" i="2"/>
  <c r="T624" i="2"/>
  <c r="T628" i="2"/>
  <c r="T632" i="2"/>
  <c r="T636" i="2"/>
  <c r="T640" i="2"/>
  <c r="S643" i="2"/>
  <c r="V684" i="2"/>
  <c r="V688" i="2"/>
  <c r="V692" i="2"/>
  <c r="V696" i="2"/>
  <c r="V700" i="2"/>
  <c r="V704" i="2"/>
  <c r="V708" i="2"/>
  <c r="V712" i="2"/>
  <c r="T522" i="2"/>
  <c r="U523" i="2"/>
  <c r="V524" i="2"/>
  <c r="X550" i="2"/>
  <c r="U550" i="2"/>
  <c r="T557" i="2"/>
  <c r="X566" i="2"/>
  <c r="U566" i="2"/>
  <c r="T570" i="2"/>
  <c r="T573" i="2"/>
  <c r="T576" i="2"/>
  <c r="X582" i="2"/>
  <c r="U582" i="2"/>
  <c r="T586" i="2"/>
  <c r="T589" i="2"/>
  <c r="W590" i="2"/>
  <c r="X598" i="2"/>
  <c r="U598" i="2"/>
  <c r="T602" i="2"/>
  <c r="U605" i="2"/>
  <c r="W612" i="2"/>
  <c r="V614" i="2"/>
  <c r="U614" i="2"/>
  <c r="S615" i="2"/>
  <c r="W616" i="2"/>
  <c r="V618" i="2"/>
  <c r="U618" i="2"/>
  <c r="S619" i="2"/>
  <c r="W620" i="2"/>
  <c r="V622" i="2"/>
  <c r="U622" i="2"/>
  <c r="S623" i="2"/>
  <c r="W624" i="2"/>
  <c r="V626" i="2"/>
  <c r="U626" i="2"/>
  <c r="S627" i="2"/>
  <c r="W628" i="2"/>
  <c r="V630" i="2"/>
  <c r="U630" i="2"/>
  <c r="S631" i="2"/>
  <c r="W632" i="2"/>
  <c r="V634" i="2"/>
  <c r="U634" i="2"/>
  <c r="S635" i="2"/>
  <c r="W636" i="2"/>
  <c r="V638" i="2"/>
  <c r="U638" i="2"/>
  <c r="S639" i="2"/>
  <c r="X642" i="2"/>
  <c r="V642" i="2"/>
  <c r="U642" i="2"/>
  <c r="X645" i="2"/>
  <c r="W645" i="2"/>
  <c r="S646" i="2"/>
  <c r="X649" i="2"/>
  <c r="W649" i="2"/>
  <c r="S650" i="2"/>
  <c r="X653" i="2"/>
  <c r="W653" i="2"/>
  <c r="S654" i="2"/>
  <c r="X657" i="2"/>
  <c r="W657" i="2"/>
  <c r="S658" i="2"/>
  <c r="T682" i="2"/>
  <c r="S682" i="2"/>
  <c r="U683" i="2"/>
  <c r="W684" i="2"/>
  <c r="T686" i="2"/>
  <c r="S686" i="2"/>
  <c r="U687" i="2"/>
  <c r="W688" i="2"/>
  <c r="T690" i="2"/>
  <c r="S690" i="2"/>
  <c r="U691" i="2"/>
  <c r="W692" i="2"/>
  <c r="T694" i="2"/>
  <c r="S694" i="2"/>
  <c r="U695" i="2"/>
  <c r="W696" i="2"/>
  <c r="T698" i="2"/>
  <c r="S698" i="2"/>
  <c r="U699" i="2"/>
  <c r="W700" i="2"/>
  <c r="T702" i="2"/>
  <c r="S702" i="2"/>
  <c r="U703" i="2"/>
  <c r="W704" i="2"/>
  <c r="T706" i="2"/>
  <c r="S706" i="2"/>
  <c r="U707" i="2"/>
  <c r="W708" i="2"/>
  <c r="T710" i="2"/>
  <c r="S710" i="2"/>
  <c r="U711" i="2"/>
  <c r="W712" i="2"/>
  <c r="T714" i="2"/>
  <c r="S714" i="2"/>
  <c r="V715" i="2"/>
  <c r="T521" i="2"/>
  <c r="U522" i="2"/>
  <c r="V523" i="2"/>
  <c r="W524" i="2"/>
  <c r="X530" i="2"/>
  <c r="V551" i="2"/>
  <c r="V554" i="2"/>
  <c r="U557" i="2"/>
  <c r="X559" i="2"/>
  <c r="W559" i="2"/>
  <c r="U560" i="2"/>
  <c r="W561" i="2"/>
  <c r="T563" i="2"/>
  <c r="W564" i="2"/>
  <c r="V567" i="2"/>
  <c r="V570" i="2"/>
  <c r="U573" i="2"/>
  <c r="X575" i="2"/>
  <c r="W575" i="2"/>
  <c r="U576" i="2"/>
  <c r="W577" i="2"/>
  <c r="T579" i="2"/>
  <c r="W580" i="2"/>
  <c r="V583" i="2"/>
  <c r="V586" i="2"/>
  <c r="U589" i="2"/>
  <c r="X591" i="2"/>
  <c r="W591" i="2"/>
  <c r="U592" i="2"/>
  <c r="W593" i="2"/>
  <c r="T595" i="2"/>
  <c r="W596" i="2"/>
  <c r="V602" i="2"/>
  <c r="V605" i="2"/>
  <c r="T607" i="2"/>
  <c r="T610" i="2"/>
  <c r="X612" i="2"/>
  <c r="T615" i="2"/>
  <c r="X616" i="2"/>
  <c r="T619" i="2"/>
  <c r="X620" i="2"/>
  <c r="T623" i="2"/>
  <c r="X624" i="2"/>
  <c r="T627" i="2"/>
  <c r="X628" i="2"/>
  <c r="T631" i="2"/>
  <c r="X632" i="2"/>
  <c r="T635" i="2"/>
  <c r="X636" i="2"/>
  <c r="T639" i="2"/>
  <c r="X640" i="2"/>
  <c r="U643" i="2"/>
  <c r="T646" i="2"/>
  <c r="V647" i="2"/>
  <c r="T650" i="2"/>
  <c r="T654" i="2"/>
  <c r="T658" i="2"/>
  <c r="V683" i="2"/>
  <c r="X684" i="2"/>
  <c r="V687" i="2"/>
  <c r="X688" i="2"/>
  <c r="V691" i="2"/>
  <c r="X692" i="2"/>
  <c r="V695" i="2"/>
  <c r="X696" i="2"/>
  <c r="V699" i="2"/>
  <c r="X700" i="2"/>
  <c r="V703" i="2"/>
  <c r="X704" i="2"/>
  <c r="V707" i="2"/>
  <c r="X708" i="2"/>
  <c r="V711" i="2"/>
  <c r="X712" i="2"/>
  <c r="X715" i="2"/>
  <c r="W15" i="2"/>
  <c r="X16" i="2"/>
  <c r="T20" i="2"/>
  <c r="V22" i="2"/>
  <c r="W23" i="2"/>
  <c r="X24" i="2"/>
  <c r="T28" i="2"/>
  <c r="V30" i="2"/>
  <c r="W31" i="2"/>
  <c r="X32" i="2"/>
  <c r="T36" i="2"/>
  <c r="V38" i="2"/>
  <c r="W39" i="2"/>
  <c r="X40" i="2"/>
  <c r="T44" i="2"/>
  <c r="V46" i="2"/>
  <c r="W47" i="2"/>
  <c r="X48" i="2"/>
  <c r="T52" i="2"/>
  <c r="W55" i="2"/>
  <c r="U57" i="2"/>
  <c r="S57" i="2"/>
  <c r="T58" i="2"/>
  <c r="W59" i="2"/>
  <c r="U61" i="2"/>
  <c r="S61" i="2"/>
  <c r="T62" i="2"/>
  <c r="W63" i="2"/>
  <c r="U65" i="2"/>
  <c r="S65" i="2"/>
  <c r="T66" i="2"/>
  <c r="W67" i="2"/>
  <c r="U69" i="2"/>
  <c r="S69" i="2"/>
  <c r="T70" i="2"/>
  <c r="W71" i="2"/>
  <c r="U73" i="2"/>
  <c r="S73" i="2"/>
  <c r="T74" i="2"/>
  <c r="W75" i="2"/>
  <c r="U77" i="2"/>
  <c r="S77" i="2"/>
  <c r="T78" i="2"/>
  <c r="W79" i="2"/>
  <c r="U81" i="2"/>
  <c r="S81" i="2"/>
  <c r="T142" i="2"/>
  <c r="W142" i="2"/>
  <c r="X142" i="2"/>
  <c r="T19" i="2"/>
  <c r="U20" i="2"/>
  <c r="V21" i="2"/>
  <c r="W22" i="2"/>
  <c r="X23" i="2"/>
  <c r="T27" i="2"/>
  <c r="U28" i="2"/>
  <c r="V29" i="2"/>
  <c r="W30" i="2"/>
  <c r="X31" i="2"/>
  <c r="T35" i="2"/>
  <c r="U36" i="2"/>
  <c r="V37" i="2"/>
  <c r="W38" i="2"/>
  <c r="X39" i="2"/>
  <c r="T43" i="2"/>
  <c r="U44" i="2"/>
  <c r="V45" i="2"/>
  <c r="W46" i="2"/>
  <c r="X47" i="2"/>
  <c r="T51" i="2"/>
  <c r="U52" i="2"/>
  <c r="V53" i="2"/>
  <c r="W54" i="2"/>
  <c r="X55" i="2"/>
  <c r="T136" i="2"/>
  <c r="W136" i="2"/>
  <c r="X136" i="2"/>
  <c r="U136" i="2"/>
  <c r="S136" i="2"/>
  <c r="S138" i="2"/>
  <c r="T146" i="2"/>
  <c r="W146" i="2"/>
  <c r="X146" i="2"/>
  <c r="U19" i="2"/>
  <c r="U27" i="2"/>
  <c r="U35" i="2"/>
  <c r="U43" i="2"/>
  <c r="U51" i="2"/>
  <c r="U56" i="2"/>
  <c r="S56" i="2"/>
  <c r="U60" i="2"/>
  <c r="S60" i="2"/>
  <c r="U64" i="2"/>
  <c r="S64" i="2"/>
  <c r="U68" i="2"/>
  <c r="S68" i="2"/>
  <c r="U72" i="2"/>
  <c r="S72" i="2"/>
  <c r="U76" i="2"/>
  <c r="S76" i="2"/>
  <c r="U80" i="2"/>
  <c r="S80" i="2"/>
  <c r="T140" i="2"/>
  <c r="W140" i="2"/>
  <c r="X140" i="2"/>
  <c r="U140" i="2"/>
  <c r="S140" i="2"/>
  <c r="S15" i="2"/>
  <c r="V19" i="2"/>
  <c r="V27" i="2"/>
  <c r="V35" i="2"/>
  <c r="V43" i="2"/>
  <c r="V51" i="2"/>
  <c r="T144" i="2"/>
  <c r="W144" i="2"/>
  <c r="X144" i="2"/>
  <c r="U144" i="2"/>
  <c r="S144" i="2"/>
  <c r="T16" i="2"/>
  <c r="V18" i="2"/>
  <c r="W19" i="2"/>
  <c r="X20" i="2"/>
  <c r="T24" i="2"/>
  <c r="V26" i="2"/>
  <c r="W27" i="2"/>
  <c r="X28" i="2"/>
  <c r="T32" i="2"/>
  <c r="W35" i="2"/>
  <c r="X36" i="2"/>
  <c r="T40" i="2"/>
  <c r="W43" i="2"/>
  <c r="X44" i="2"/>
  <c r="T48" i="2"/>
  <c r="V50" i="2"/>
  <c r="W51" i="2"/>
  <c r="X52" i="2"/>
  <c r="T56" i="2"/>
  <c r="W57" i="2"/>
  <c r="U59" i="2"/>
  <c r="S59" i="2"/>
  <c r="T60" i="2"/>
  <c r="W61" i="2"/>
  <c r="U63" i="2"/>
  <c r="S63" i="2"/>
  <c r="T64" i="2"/>
  <c r="W65" i="2"/>
  <c r="U67" i="2"/>
  <c r="S67" i="2"/>
  <c r="T68" i="2"/>
  <c r="W69" i="2"/>
  <c r="U71" i="2"/>
  <c r="S71" i="2"/>
  <c r="T72" i="2"/>
  <c r="W73" i="2"/>
  <c r="U75" i="2"/>
  <c r="S75" i="2"/>
  <c r="T76" i="2"/>
  <c r="W77" i="2"/>
  <c r="U79" i="2"/>
  <c r="S79" i="2"/>
  <c r="T80" i="2"/>
  <c r="W81" i="2"/>
  <c r="T137" i="2"/>
  <c r="W137" i="2"/>
  <c r="U137" i="2"/>
  <c r="X137" i="2"/>
  <c r="V137" i="2"/>
  <c r="V140" i="2"/>
  <c r="T15" i="2"/>
  <c r="U16" i="2"/>
  <c r="W18" i="2"/>
  <c r="X19" i="2"/>
  <c r="T23" i="2"/>
  <c r="U24" i="2"/>
  <c r="W26" i="2"/>
  <c r="X27" i="2"/>
  <c r="T31" i="2"/>
  <c r="U32" i="2"/>
  <c r="W34" i="2"/>
  <c r="X35" i="2"/>
  <c r="T39" i="2"/>
  <c r="U40" i="2"/>
  <c r="W42" i="2"/>
  <c r="X43" i="2"/>
  <c r="T47" i="2"/>
  <c r="U48" i="2"/>
  <c r="W50" i="2"/>
  <c r="X51" i="2"/>
  <c r="T55" i="2"/>
  <c r="V56" i="2"/>
  <c r="X57" i="2"/>
  <c r="V60" i="2"/>
  <c r="X61" i="2"/>
  <c r="V64" i="2"/>
  <c r="X65" i="2"/>
  <c r="V68" i="2"/>
  <c r="X69" i="2"/>
  <c r="V72" i="2"/>
  <c r="X73" i="2"/>
  <c r="V76" i="2"/>
  <c r="X77" i="2"/>
  <c r="V80" i="2"/>
  <c r="X81" i="2"/>
  <c r="T141" i="2"/>
  <c r="W141" i="2"/>
  <c r="U141" i="2"/>
  <c r="X141" i="2"/>
  <c r="V141" i="2"/>
  <c r="V144" i="2"/>
  <c r="V146" i="2"/>
  <c r="U15" i="2"/>
  <c r="V16" i="2"/>
  <c r="U23" i="2"/>
  <c r="V24" i="2"/>
  <c r="U31" i="2"/>
  <c r="V32" i="2"/>
  <c r="U39" i="2"/>
  <c r="V40" i="2"/>
  <c r="U47" i="2"/>
  <c r="V48" i="2"/>
  <c r="U55" i="2"/>
  <c r="W56" i="2"/>
  <c r="U58" i="2"/>
  <c r="S58" i="2"/>
  <c r="W60" i="2"/>
  <c r="U62" i="2"/>
  <c r="S62" i="2"/>
  <c r="W64" i="2"/>
  <c r="U66" i="2"/>
  <c r="S66" i="2"/>
  <c r="W68" i="2"/>
  <c r="U70" i="2"/>
  <c r="S70" i="2"/>
  <c r="W72" i="2"/>
  <c r="U74" i="2"/>
  <c r="S74" i="2"/>
  <c r="W76" i="2"/>
  <c r="U78" i="2"/>
  <c r="S78" i="2"/>
  <c r="W80" i="2"/>
  <c r="T145" i="2"/>
  <c r="W145" i="2"/>
  <c r="U145" i="2"/>
  <c r="X145" i="2"/>
  <c r="V145" i="2"/>
  <c r="V31" i="2"/>
  <c r="V39" i="2"/>
  <c r="V47" i="2"/>
  <c r="V55" i="2"/>
  <c r="T138" i="2"/>
  <c r="W138" i="2"/>
  <c r="X138" i="2"/>
  <c r="T139" i="2"/>
  <c r="W139" i="2"/>
  <c r="T143" i="2"/>
  <c r="W143" i="2"/>
  <c r="T232" i="2"/>
  <c r="S236" i="2"/>
  <c r="X244" i="2"/>
  <c r="V244" i="2"/>
  <c r="U244" i="2"/>
  <c r="X255" i="2"/>
  <c r="V255" i="2"/>
  <c r="S255" i="2"/>
  <c r="W255" i="2"/>
  <c r="U255" i="2"/>
  <c r="X265" i="2"/>
  <c r="V265" i="2"/>
  <c r="T265" i="2"/>
  <c r="S265" i="2"/>
  <c r="U269" i="2"/>
  <c r="X281" i="2"/>
  <c r="V281" i="2"/>
  <c r="T281" i="2"/>
  <c r="S281" i="2"/>
  <c r="U285" i="2"/>
  <c r="X297" i="2"/>
  <c r="V297" i="2"/>
  <c r="T297" i="2"/>
  <c r="S297" i="2"/>
  <c r="U30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240" i="2"/>
  <c r="X248" i="2"/>
  <c r="V248" i="2"/>
  <c r="U248" i="2"/>
  <c r="X259" i="2"/>
  <c r="V259" i="2"/>
  <c r="T259" i="2"/>
  <c r="S259" i="2"/>
  <c r="W259" i="2"/>
  <c r="X279" i="2"/>
  <c r="V279" i="2"/>
  <c r="T279" i="2"/>
  <c r="S279" i="2"/>
  <c r="X295" i="2"/>
  <c r="V295" i="2"/>
  <c r="T295" i="2"/>
  <c r="S295" i="2"/>
  <c r="X231" i="2"/>
  <c r="V231" i="2"/>
  <c r="S231" i="2"/>
  <c r="W231" i="2"/>
  <c r="U231" i="2"/>
  <c r="X252" i="2"/>
  <c r="V252" i="2"/>
  <c r="U252" i="2"/>
  <c r="X277" i="2"/>
  <c r="V277" i="2"/>
  <c r="T277" i="2"/>
  <c r="S277" i="2"/>
  <c r="X293" i="2"/>
  <c r="V293" i="2"/>
  <c r="T293" i="2"/>
  <c r="S293" i="2"/>
  <c r="U135" i="2"/>
  <c r="X235" i="2"/>
  <c r="V235" i="2"/>
  <c r="S235" i="2"/>
  <c r="W235" i="2"/>
  <c r="U235" i="2"/>
  <c r="X256" i="2"/>
  <c r="V256" i="2"/>
  <c r="U256" i="2"/>
  <c r="X275" i="2"/>
  <c r="V275" i="2"/>
  <c r="T275" i="2"/>
  <c r="S275" i="2"/>
  <c r="X291" i="2"/>
  <c r="V291" i="2"/>
  <c r="T291" i="2"/>
  <c r="S291" i="2"/>
  <c r="X228" i="2"/>
  <c r="V228" i="2"/>
  <c r="U228" i="2"/>
  <c r="X239" i="2"/>
  <c r="V239" i="2"/>
  <c r="S239" i="2"/>
  <c r="W239" i="2"/>
  <c r="U239" i="2"/>
  <c r="X273" i="2"/>
  <c r="V273" i="2"/>
  <c r="T273" i="2"/>
  <c r="S273" i="2"/>
  <c r="X289" i="2"/>
  <c r="V289" i="2"/>
  <c r="T289" i="2"/>
  <c r="S289" i="2"/>
  <c r="X305" i="2"/>
  <c r="V305" i="2"/>
  <c r="T305" i="2"/>
  <c r="S305" i="2"/>
  <c r="X232" i="2"/>
  <c r="V232" i="2"/>
  <c r="U232" i="2"/>
  <c r="X243" i="2"/>
  <c r="V243" i="2"/>
  <c r="S243" i="2"/>
  <c r="W243" i="2"/>
  <c r="U243" i="2"/>
  <c r="X264" i="2"/>
  <c r="V264" i="2"/>
  <c r="T264" i="2"/>
  <c r="W264" i="2"/>
  <c r="U264" i="2"/>
  <c r="X271" i="2"/>
  <c r="V271" i="2"/>
  <c r="T271" i="2"/>
  <c r="S271" i="2"/>
  <c r="X287" i="2"/>
  <c r="V287" i="2"/>
  <c r="T287" i="2"/>
  <c r="S287" i="2"/>
  <c r="X303" i="2"/>
  <c r="V303" i="2"/>
  <c r="T303" i="2"/>
  <c r="S303" i="2"/>
  <c r="S228" i="2"/>
  <c r="X236" i="2"/>
  <c r="V236" i="2"/>
  <c r="U236" i="2"/>
  <c r="T239" i="2"/>
  <c r="X247" i="2"/>
  <c r="V247" i="2"/>
  <c r="S247" i="2"/>
  <c r="W247" i="2"/>
  <c r="U247" i="2"/>
  <c r="W252" i="2"/>
  <c r="X269" i="2"/>
  <c r="V269" i="2"/>
  <c r="T269" i="2"/>
  <c r="S269" i="2"/>
  <c r="U273" i="2"/>
  <c r="X285" i="2"/>
  <c r="V285" i="2"/>
  <c r="T285" i="2"/>
  <c r="S285" i="2"/>
  <c r="U289" i="2"/>
  <c r="X301" i="2"/>
  <c r="V301" i="2"/>
  <c r="T301" i="2"/>
  <c r="S301" i="2"/>
  <c r="U305" i="2"/>
  <c r="T228" i="2"/>
  <c r="S232" i="2"/>
  <c r="X240" i="2"/>
  <c r="V240" i="2"/>
  <c r="U240" i="2"/>
  <c r="T243" i="2"/>
  <c r="X251" i="2"/>
  <c r="V251" i="2"/>
  <c r="S251" i="2"/>
  <c r="W251" i="2"/>
  <c r="U251" i="2"/>
  <c r="S264" i="2"/>
  <c r="X267" i="2"/>
  <c r="V267" i="2"/>
  <c r="T267" i="2"/>
  <c r="S267" i="2"/>
  <c r="U271" i="2"/>
  <c r="W273" i="2"/>
  <c r="X283" i="2"/>
  <c r="V283" i="2"/>
  <c r="T283" i="2"/>
  <c r="S283" i="2"/>
  <c r="U287" i="2"/>
  <c r="W289" i="2"/>
  <c r="X299" i="2"/>
  <c r="V299" i="2"/>
  <c r="T299" i="2"/>
  <c r="S299" i="2"/>
  <c r="U303" i="2"/>
  <c r="W305" i="2"/>
  <c r="X229" i="2"/>
  <c r="V229" i="2"/>
  <c r="X233" i="2"/>
  <c r="V233" i="2"/>
  <c r="X237" i="2"/>
  <c r="V237" i="2"/>
  <c r="X241" i="2"/>
  <c r="V241" i="2"/>
  <c r="X245" i="2"/>
  <c r="V245" i="2"/>
  <c r="X249" i="2"/>
  <c r="V249" i="2"/>
  <c r="X253" i="2"/>
  <c r="V253" i="2"/>
  <c r="X257" i="2"/>
  <c r="V257" i="2"/>
  <c r="X263" i="2"/>
  <c r="V263" i="2"/>
  <c r="T263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T230" i="2"/>
  <c r="T234" i="2"/>
  <c r="T238" i="2"/>
  <c r="T242" i="2"/>
  <c r="T246" i="2"/>
  <c r="T250" i="2"/>
  <c r="T254" i="2"/>
  <c r="T258" i="2"/>
  <c r="X260" i="2"/>
  <c r="V260" i="2"/>
  <c r="T260" i="2"/>
  <c r="T229" i="2"/>
  <c r="T233" i="2"/>
  <c r="T237" i="2"/>
  <c r="T241" i="2"/>
  <c r="T245" i="2"/>
  <c r="T249" i="2"/>
  <c r="T253" i="2"/>
  <c r="T257" i="2"/>
  <c r="S260" i="2"/>
  <c r="X262" i="2"/>
  <c r="V262" i="2"/>
  <c r="T262" i="2"/>
  <c r="U263" i="2"/>
  <c r="X230" i="2"/>
  <c r="V230" i="2"/>
  <c r="X234" i="2"/>
  <c r="V234" i="2"/>
  <c r="X238" i="2"/>
  <c r="V238" i="2"/>
  <c r="X242" i="2"/>
  <c r="V242" i="2"/>
  <c r="X246" i="2"/>
  <c r="V246" i="2"/>
  <c r="X250" i="2"/>
  <c r="V250" i="2"/>
  <c r="X254" i="2"/>
  <c r="V254" i="2"/>
  <c r="X258" i="2"/>
  <c r="V258" i="2"/>
  <c r="X261" i="2"/>
  <c r="V261" i="2"/>
  <c r="T261" i="2"/>
  <c r="X266" i="2"/>
  <c r="V266" i="2"/>
  <c r="T266" i="2"/>
  <c r="S266" i="2"/>
  <c r="X268" i="2"/>
  <c r="V268" i="2"/>
  <c r="T268" i="2"/>
  <c r="S268" i="2"/>
  <c r="X270" i="2"/>
  <c r="V270" i="2"/>
  <c r="T270" i="2"/>
  <c r="S270" i="2"/>
  <c r="X272" i="2"/>
  <c r="V272" i="2"/>
  <c r="T272" i="2"/>
  <c r="S272" i="2"/>
  <c r="X274" i="2"/>
  <c r="V274" i="2"/>
  <c r="T274" i="2"/>
  <c r="S274" i="2"/>
  <c r="X276" i="2"/>
  <c r="V276" i="2"/>
  <c r="T276" i="2"/>
  <c r="S276" i="2"/>
  <c r="X278" i="2"/>
  <c r="V278" i="2"/>
  <c r="T278" i="2"/>
  <c r="S278" i="2"/>
  <c r="X280" i="2"/>
  <c r="V280" i="2"/>
  <c r="T280" i="2"/>
  <c r="S280" i="2"/>
  <c r="X282" i="2"/>
  <c r="V282" i="2"/>
  <c r="T282" i="2"/>
  <c r="S282" i="2"/>
  <c r="X284" i="2"/>
  <c r="V284" i="2"/>
  <c r="T284" i="2"/>
  <c r="S284" i="2"/>
  <c r="X286" i="2"/>
  <c r="V286" i="2"/>
  <c r="T286" i="2"/>
  <c r="S286" i="2"/>
  <c r="X288" i="2"/>
  <c r="V288" i="2"/>
  <c r="T288" i="2"/>
  <c r="S288" i="2"/>
  <c r="X290" i="2"/>
  <c r="V290" i="2"/>
  <c r="T290" i="2"/>
  <c r="S290" i="2"/>
  <c r="X292" i="2"/>
  <c r="V292" i="2"/>
  <c r="T292" i="2"/>
  <c r="S292" i="2"/>
  <c r="X294" i="2"/>
  <c r="V294" i="2"/>
  <c r="T294" i="2"/>
  <c r="S294" i="2"/>
  <c r="X296" i="2"/>
  <c r="V296" i="2"/>
  <c r="T296" i="2"/>
  <c r="S296" i="2"/>
  <c r="X298" i="2"/>
  <c r="V298" i="2"/>
  <c r="T298" i="2"/>
  <c r="S298" i="2"/>
  <c r="X300" i="2"/>
  <c r="V300" i="2"/>
  <c r="T300" i="2"/>
  <c r="S300" i="2"/>
  <c r="X302" i="2"/>
  <c r="V302" i="2"/>
  <c r="T302" i="2"/>
  <c r="S302" i="2"/>
  <c r="X304" i="2"/>
  <c r="V304" i="2"/>
  <c r="T304" i="2"/>
  <c r="S304" i="2"/>
  <c r="K306" i="2"/>
  <c r="J306" i="2"/>
  <c r="X322" i="2"/>
  <c r="U322" i="2"/>
  <c r="X326" i="2"/>
  <c r="U326" i="2"/>
  <c r="X330" i="2"/>
  <c r="U330" i="2"/>
  <c r="X334" i="2"/>
  <c r="U334" i="2"/>
  <c r="X338" i="2"/>
  <c r="U338" i="2"/>
  <c r="X325" i="2"/>
  <c r="U325" i="2"/>
  <c r="X329" i="2"/>
  <c r="U329" i="2"/>
  <c r="X333" i="2"/>
  <c r="U333" i="2"/>
  <c r="X337" i="2"/>
  <c r="U337" i="2"/>
  <c r="X324" i="2"/>
  <c r="U324" i="2"/>
  <c r="S325" i="2"/>
  <c r="X328" i="2"/>
  <c r="U328" i="2"/>
  <c r="S329" i="2"/>
  <c r="X332" i="2"/>
  <c r="U332" i="2"/>
  <c r="S333" i="2"/>
  <c r="X336" i="2"/>
  <c r="U336" i="2"/>
  <c r="S337" i="2"/>
  <c r="X340" i="2"/>
  <c r="U340" i="2"/>
  <c r="X323" i="2"/>
  <c r="U323" i="2"/>
  <c r="S324" i="2"/>
  <c r="V325" i="2"/>
  <c r="X327" i="2"/>
  <c r="U327" i="2"/>
  <c r="S328" i="2"/>
  <c r="V329" i="2"/>
  <c r="X331" i="2"/>
  <c r="U331" i="2"/>
  <c r="S332" i="2"/>
  <c r="V333" i="2"/>
  <c r="X335" i="2"/>
  <c r="U335" i="2"/>
  <c r="S336" i="2"/>
  <c r="V337" i="2"/>
  <c r="X339" i="2"/>
  <c r="U339" i="2"/>
  <c r="S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6" i="2"/>
  <c r="S528" i="2"/>
  <c r="U528" i="2"/>
  <c r="X528" i="2"/>
  <c r="W528" i="2"/>
  <c r="T528" i="2"/>
  <c r="S532" i="2"/>
  <c r="W532" i="2"/>
  <c r="U532" i="2"/>
  <c r="T532" i="2"/>
  <c r="T457" i="2"/>
  <c r="V528" i="2"/>
  <c r="U489" i="2"/>
  <c r="U490" i="2"/>
  <c r="U491" i="2"/>
  <c r="U492" i="2"/>
  <c r="U493" i="2"/>
  <c r="U494" i="2"/>
  <c r="U495" i="2"/>
  <c r="U496" i="2"/>
  <c r="U497" i="2"/>
  <c r="U498" i="2"/>
  <c r="U499" i="2"/>
  <c r="X529" i="2"/>
  <c r="X536" i="2"/>
  <c r="S536" i="2"/>
  <c r="X540" i="2"/>
  <c r="S540" i="2"/>
  <c r="X544" i="2"/>
  <c r="S544" i="2"/>
  <c r="X548" i="2"/>
  <c r="S548" i="2"/>
  <c r="V489" i="2"/>
  <c r="V490" i="2"/>
  <c r="V491" i="2"/>
  <c r="V492" i="2"/>
  <c r="V493" i="2"/>
  <c r="V494" i="2"/>
  <c r="V495" i="2"/>
  <c r="V496" i="2"/>
  <c r="V497" i="2"/>
  <c r="V498" i="2"/>
  <c r="V499" i="2"/>
  <c r="W487" i="2"/>
  <c r="W488" i="2"/>
  <c r="W489" i="2"/>
  <c r="W490" i="2"/>
  <c r="W491" i="2"/>
  <c r="W492" i="2"/>
  <c r="W493" i="2"/>
  <c r="W494" i="2"/>
  <c r="W495" i="2"/>
  <c r="W496" i="2"/>
  <c r="W497" i="2"/>
  <c r="X535" i="2"/>
  <c r="S535" i="2"/>
  <c r="X539" i="2"/>
  <c r="S539" i="2"/>
  <c r="X543" i="2"/>
  <c r="S543" i="2"/>
  <c r="X547" i="2"/>
  <c r="S547" i="2"/>
  <c r="T548" i="2"/>
  <c r="T529" i="2"/>
  <c r="U530" i="2"/>
  <c r="V531" i="2"/>
  <c r="X534" i="2"/>
  <c r="S534" i="2"/>
  <c r="T535" i="2"/>
  <c r="V536" i="2"/>
  <c r="X538" i="2"/>
  <c r="S538" i="2"/>
  <c r="T539" i="2"/>
  <c r="V540" i="2"/>
  <c r="X542" i="2"/>
  <c r="S542" i="2"/>
  <c r="T543" i="2"/>
  <c r="V544" i="2"/>
  <c r="X546" i="2"/>
  <c r="S546" i="2"/>
  <c r="T547" i="2"/>
  <c r="V548" i="2"/>
  <c r="T527" i="2"/>
  <c r="V529" i="2"/>
  <c r="W530" i="2"/>
  <c r="X531" i="2"/>
  <c r="X533" i="2"/>
  <c r="S533" i="2"/>
  <c r="T534" i="2"/>
  <c r="V535" i="2"/>
  <c r="X537" i="2"/>
  <c r="S537" i="2"/>
  <c r="T538" i="2"/>
  <c r="V539" i="2"/>
  <c r="X541" i="2"/>
  <c r="S541" i="2"/>
  <c r="T542" i="2"/>
  <c r="V543" i="2"/>
  <c r="X545" i="2"/>
  <c r="S545" i="2"/>
  <c r="T546" i="2"/>
  <c r="V547" i="2"/>
  <c r="J611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15" i="1"/>
  <c r="R580" i="1"/>
  <c r="S580" i="1"/>
  <c r="T580" i="1"/>
  <c r="V580" i="1"/>
  <c r="V549" i="1"/>
  <c r="R549" i="1"/>
  <c r="R518" i="1"/>
  <c r="S518" i="1"/>
  <c r="V518" i="1"/>
  <c r="S514" i="1"/>
  <c r="V469" i="1"/>
  <c r="S440" i="1"/>
  <c r="R414" i="1"/>
  <c r="R15" i="1"/>
  <c r="S17" i="1"/>
  <c r="R19" i="1"/>
  <c r="S21" i="1"/>
  <c r="V60" i="1"/>
  <c r="U77" i="1"/>
  <c r="T83" i="1"/>
  <c r="U100" i="1"/>
  <c r="R104" i="1"/>
  <c r="T106" i="1"/>
  <c r="U109" i="1"/>
  <c r="R114" i="1"/>
  <c r="U132" i="1"/>
  <c r="U136" i="1"/>
  <c r="V138" i="1"/>
  <c r="S140" i="1"/>
  <c r="V141" i="1"/>
  <c r="R144" i="1"/>
  <c r="S146" i="1"/>
  <c r="T149" i="1"/>
  <c r="S169" i="1"/>
  <c r="U171" i="1"/>
  <c r="V176" i="1"/>
  <c r="V182" i="1"/>
  <c r="U189" i="1"/>
  <c r="R198" i="1"/>
  <c r="S205" i="1"/>
  <c r="S223" i="1"/>
  <c r="S225" i="1"/>
  <c r="U227" i="1"/>
  <c r="U229" i="1"/>
  <c r="S231" i="1"/>
  <c r="S235" i="1"/>
  <c r="U237" i="1"/>
  <c r="U241" i="1"/>
  <c r="T248" i="1"/>
  <c r="T269" i="1"/>
  <c r="T280" i="1"/>
  <c r="U289" i="1"/>
  <c r="S291" i="1"/>
  <c r="V297" i="1"/>
  <c r="S297" i="1"/>
  <c r="V308" i="1"/>
  <c r="S308" i="1"/>
  <c r="U308" i="1"/>
  <c r="U83" i="1"/>
  <c r="V100" i="1"/>
  <c r="T146" i="1"/>
  <c r="U149" i="1"/>
  <c r="V248" i="1"/>
  <c r="U269" i="1"/>
  <c r="V280" i="1"/>
  <c r="U291" i="1"/>
  <c r="V337" i="1"/>
  <c r="R337" i="1"/>
  <c r="V132" i="1"/>
  <c r="U19" i="1"/>
  <c r="U23" i="1"/>
  <c r="U27" i="1"/>
  <c r="R32" i="1"/>
  <c r="S34" i="1"/>
  <c r="R36" i="1"/>
  <c r="S38" i="1"/>
  <c r="R40" i="1"/>
  <c r="S42" i="1"/>
  <c r="R44" i="1"/>
  <c r="S46" i="1"/>
  <c r="R48" i="1"/>
  <c r="S50" i="1"/>
  <c r="R52" i="1"/>
  <c r="S54" i="1"/>
  <c r="U56" i="1"/>
  <c r="S65" i="1"/>
  <c r="U69" i="1"/>
  <c r="R72" i="1"/>
  <c r="T74" i="1"/>
  <c r="U76" i="1"/>
  <c r="U80" i="1"/>
  <c r="T85" i="1"/>
  <c r="R90" i="1"/>
  <c r="U91" i="1"/>
  <c r="R93" i="1"/>
  <c r="R99" i="1"/>
  <c r="U108" i="1"/>
  <c r="R112" i="1"/>
  <c r="T114" i="1"/>
  <c r="U117" i="1"/>
  <c r="R122" i="1"/>
  <c r="U123" i="1"/>
  <c r="R125" i="1"/>
  <c r="R131" i="1"/>
  <c r="U134" i="1"/>
  <c r="V140" i="1"/>
  <c r="V146" i="1"/>
  <c r="S148" i="1"/>
  <c r="V149" i="1"/>
  <c r="R154" i="1"/>
  <c r="U155" i="1"/>
  <c r="R157" i="1"/>
  <c r="S159" i="1"/>
  <c r="S161" i="1"/>
  <c r="U163" i="1"/>
  <c r="U165" i="1"/>
  <c r="S167" i="1"/>
  <c r="S179" i="1"/>
  <c r="S181" i="1"/>
  <c r="S185" i="1"/>
  <c r="U187" i="1"/>
  <c r="S203" i="1"/>
  <c r="R208" i="1"/>
  <c r="T214" i="1"/>
  <c r="U233" i="1"/>
  <c r="R240" i="1"/>
  <c r="S247" i="1"/>
  <c r="S253" i="1"/>
  <c r="U255" i="1"/>
  <c r="S257" i="1"/>
  <c r="S259" i="1"/>
  <c r="U261" i="1"/>
  <c r="V263" i="1"/>
  <c r="S265" i="1"/>
  <c r="U267" i="1"/>
  <c r="V271" i="1"/>
  <c r="S273" i="1"/>
  <c r="R275" i="1"/>
  <c r="S277" i="1"/>
  <c r="S279" i="1"/>
  <c r="R288" i="1"/>
  <c r="V293" i="1"/>
  <c r="U297" i="1"/>
  <c r="R312" i="1"/>
  <c r="S312" i="1"/>
  <c r="U312" i="1"/>
  <c r="U15" i="1"/>
  <c r="V15" i="1"/>
  <c r="V19" i="1"/>
  <c r="V23" i="1"/>
  <c r="V27" i="1"/>
  <c r="S32" i="1"/>
  <c r="U34" i="1"/>
  <c r="S36" i="1"/>
  <c r="U38" i="1"/>
  <c r="S40" i="1"/>
  <c r="U42" i="1"/>
  <c r="S44" i="1"/>
  <c r="U46" i="1"/>
  <c r="S48" i="1"/>
  <c r="U50" i="1"/>
  <c r="S52" i="1"/>
  <c r="U54" i="1"/>
  <c r="R61" i="1"/>
  <c r="S68" i="1"/>
  <c r="V69" i="1"/>
  <c r="U72" i="1"/>
  <c r="V74" i="1"/>
  <c r="V76" i="1"/>
  <c r="T82" i="1"/>
  <c r="V85" i="1"/>
  <c r="S90" i="1"/>
  <c r="T93" i="1"/>
  <c r="T99" i="1"/>
  <c r="V108" i="1"/>
  <c r="U112" i="1"/>
  <c r="V114" i="1"/>
  <c r="S116" i="1"/>
  <c r="V117" i="1"/>
  <c r="S122" i="1"/>
  <c r="T125" i="1"/>
  <c r="T131" i="1"/>
  <c r="R139" i="1"/>
  <c r="U142" i="1"/>
  <c r="U148" i="1"/>
  <c r="R152" i="1"/>
  <c r="S154" i="1"/>
  <c r="T157" i="1"/>
  <c r="U159" i="1"/>
  <c r="U161" i="1"/>
  <c r="U167" i="1"/>
  <c r="S175" i="1"/>
  <c r="S177" i="1"/>
  <c r="U179" i="1"/>
  <c r="U181" i="1"/>
  <c r="S183" i="1"/>
  <c r="S201" i="1"/>
  <c r="U203" i="1"/>
  <c r="U221" i="1"/>
  <c r="R228" i="1"/>
  <c r="R230" i="1"/>
  <c r="R238" i="1"/>
  <c r="T240" i="1"/>
  <c r="U247" i="1"/>
  <c r="S251" i="1"/>
  <c r="U253" i="1"/>
  <c r="U257" i="1"/>
  <c r="U265" i="1"/>
  <c r="U273" i="1"/>
  <c r="S275" i="1"/>
  <c r="T277" i="1"/>
  <c r="U279" i="1"/>
  <c r="T288" i="1"/>
  <c r="T290" i="1"/>
  <c r="U298" i="1"/>
  <c r="T298" i="1"/>
  <c r="T338" i="1"/>
  <c r="S338" i="1"/>
  <c r="U338" i="1"/>
  <c r="R352" i="1"/>
  <c r="U352" i="1"/>
  <c r="S352" i="1"/>
  <c r="U32" i="1"/>
  <c r="U36" i="1"/>
  <c r="U40" i="1"/>
  <c r="U44" i="1"/>
  <c r="U48" i="1"/>
  <c r="U52" i="1"/>
  <c r="T61" i="1"/>
  <c r="U68" i="1"/>
  <c r="V82" i="1"/>
  <c r="S84" i="1"/>
  <c r="R88" i="1"/>
  <c r="T90" i="1"/>
  <c r="U93" i="1"/>
  <c r="R98" i="1"/>
  <c r="U99" i="1"/>
  <c r="R101" i="1"/>
  <c r="U116" i="1"/>
  <c r="R120" i="1"/>
  <c r="T122" i="1"/>
  <c r="U125" i="1"/>
  <c r="R130" i="1"/>
  <c r="U131" i="1"/>
  <c r="R133" i="1"/>
  <c r="T139" i="1"/>
  <c r="V148" i="1"/>
  <c r="U152" i="1"/>
  <c r="T154" i="1"/>
  <c r="U157" i="1"/>
  <c r="U175" i="1"/>
  <c r="U177" i="1"/>
  <c r="U183" i="1"/>
  <c r="S195" i="1"/>
  <c r="S197" i="1"/>
  <c r="U201" i="1"/>
  <c r="S219" i="1"/>
  <c r="R232" i="1"/>
  <c r="R236" i="1"/>
  <c r="V240" i="1"/>
  <c r="S245" i="1"/>
  <c r="V247" i="1"/>
  <c r="U251" i="1"/>
  <c r="U275" i="1"/>
  <c r="U277" i="1"/>
  <c r="V279" i="1"/>
  <c r="V288" i="1"/>
  <c r="V290" i="1"/>
  <c r="V324" i="1"/>
  <c r="U324" i="1"/>
  <c r="S324" i="1"/>
  <c r="R353" i="1"/>
  <c r="V353" i="1"/>
  <c r="R35" i="1"/>
  <c r="R39" i="1"/>
  <c r="R43" i="1"/>
  <c r="R47" i="1"/>
  <c r="R51" i="1"/>
  <c r="R55" i="1"/>
  <c r="S60" i="1"/>
  <c r="R64" i="1"/>
  <c r="T66" i="1"/>
  <c r="T75" i="1"/>
  <c r="R77" i="1"/>
  <c r="V84" i="1"/>
  <c r="U92" i="1"/>
  <c r="R96" i="1"/>
  <c r="T98" i="1"/>
  <c r="U101" i="1"/>
  <c r="R106" i="1"/>
  <c r="U107" i="1"/>
  <c r="R109" i="1"/>
  <c r="R115" i="1"/>
  <c r="U124" i="1"/>
  <c r="R128" i="1"/>
  <c r="T130" i="1"/>
  <c r="U133" i="1"/>
  <c r="T141" i="1"/>
  <c r="T147" i="1"/>
  <c r="U156" i="1"/>
  <c r="R160" i="1"/>
  <c r="U173" i="1"/>
  <c r="R180" i="1"/>
  <c r="R182" i="1"/>
  <c r="R186" i="1"/>
  <c r="U191" i="1"/>
  <c r="U193" i="1"/>
  <c r="U199" i="1"/>
  <c r="S207" i="1"/>
  <c r="S209" i="1"/>
  <c r="U211" i="1"/>
  <c r="U213" i="1"/>
  <c r="V232" i="1"/>
  <c r="T256" i="1"/>
  <c r="T264" i="1"/>
  <c r="T272" i="1"/>
  <c r="T274" i="1"/>
  <c r="U283" i="1"/>
  <c r="U287" i="1"/>
  <c r="T296" i="1"/>
  <c r="V299" i="1"/>
  <c r="R299" i="1"/>
  <c r="V35" i="1"/>
  <c r="V39" i="1"/>
  <c r="V43" i="1"/>
  <c r="V47" i="1"/>
  <c r="V51" i="1"/>
  <c r="U60" i="1"/>
  <c r="U64" i="1"/>
  <c r="R83" i="1"/>
  <c r="V92" i="1"/>
  <c r="U96" i="1"/>
  <c r="V98" i="1"/>
  <c r="S100" i="1"/>
  <c r="V101" i="1"/>
  <c r="S106" i="1"/>
  <c r="T109" i="1"/>
  <c r="T115" i="1"/>
  <c r="V124" i="1"/>
  <c r="U128" i="1"/>
  <c r="V130" i="1"/>
  <c r="S132" i="1"/>
  <c r="V133" i="1"/>
  <c r="R136" i="1"/>
  <c r="T138" i="1"/>
  <c r="U141" i="1"/>
  <c r="R146" i="1"/>
  <c r="U147" i="1"/>
  <c r="R149" i="1"/>
  <c r="V156" i="1"/>
  <c r="S171" i="1"/>
  <c r="S189" i="1"/>
  <c r="R202" i="1"/>
  <c r="U207" i="1"/>
  <c r="U209" i="1"/>
  <c r="S227" i="1"/>
  <c r="S229" i="1"/>
  <c r="S237" i="1"/>
  <c r="U239" i="1"/>
  <c r="S241" i="1"/>
  <c r="U243" i="1"/>
  <c r="R248" i="1"/>
  <c r="V256" i="1"/>
  <c r="V264" i="1"/>
  <c r="S269" i="1"/>
  <c r="V272" i="1"/>
  <c r="V274" i="1"/>
  <c r="R280" i="1"/>
  <c r="S289" i="1"/>
  <c r="R291" i="1"/>
  <c r="R336" i="1"/>
  <c r="S336" i="1"/>
  <c r="U336" i="1"/>
  <c r="T354" i="1"/>
  <c r="U354" i="1"/>
  <c r="S354" i="1"/>
  <c r="V301" i="1"/>
  <c r="S304" i="1"/>
  <c r="S306" i="1"/>
  <c r="S330" i="1"/>
  <c r="S332" i="1"/>
  <c r="S334" i="1"/>
  <c r="R347" i="1"/>
  <c r="R349" i="1"/>
  <c r="U362" i="1"/>
  <c r="T375" i="1"/>
  <c r="U384" i="1"/>
  <c r="U402" i="1"/>
  <c r="U416" i="1"/>
  <c r="V418" i="1"/>
  <c r="U420" i="1"/>
  <c r="U422" i="1"/>
  <c r="S426" i="1"/>
  <c r="S430" i="1"/>
  <c r="S434" i="1"/>
  <c r="S438" i="1"/>
  <c r="V443" i="1"/>
  <c r="V465" i="1"/>
  <c r="R469" i="1"/>
  <c r="R473" i="1"/>
  <c r="V474" i="1"/>
  <c r="U478" i="1"/>
  <c r="U480" i="1"/>
  <c r="R482" i="1"/>
  <c r="V497" i="1"/>
  <c r="R501" i="1"/>
  <c r="R505" i="1"/>
  <c r="V506" i="1"/>
  <c r="U510" i="1"/>
  <c r="U512" i="1"/>
  <c r="R514" i="1"/>
  <c r="V529" i="1"/>
  <c r="R533" i="1"/>
  <c r="R537" i="1"/>
  <c r="V538" i="1"/>
  <c r="U542" i="1"/>
  <c r="U544" i="1"/>
  <c r="R546" i="1"/>
  <c r="S548" i="1"/>
  <c r="V561" i="1"/>
  <c r="V565" i="1"/>
  <c r="T569" i="1"/>
  <c r="R573" i="1"/>
  <c r="V574" i="1"/>
  <c r="S581" i="1"/>
  <c r="R584" i="1"/>
  <c r="T596" i="1"/>
  <c r="U603" i="1"/>
  <c r="R608" i="1"/>
  <c r="S613" i="1"/>
  <c r="R616" i="1"/>
  <c r="V636" i="1"/>
  <c r="V640" i="1"/>
  <c r="V648" i="1"/>
  <c r="V656" i="1"/>
  <c r="S673" i="1"/>
  <c r="U675" i="1"/>
  <c r="V680" i="1"/>
  <c r="S708" i="1"/>
  <c r="V712" i="1"/>
  <c r="V375" i="1"/>
  <c r="U426" i="1"/>
  <c r="U430" i="1"/>
  <c r="U434" i="1"/>
  <c r="U438" i="1"/>
  <c r="V569" i="1"/>
  <c r="T708" i="1"/>
  <c r="S356" i="1"/>
  <c r="U360" i="1"/>
  <c r="R365" i="1"/>
  <c r="S378" i="1"/>
  <c r="U380" i="1"/>
  <c r="S396" i="1"/>
  <c r="U398" i="1"/>
  <c r="V407" i="1"/>
  <c r="V411" i="1"/>
  <c r="R415" i="1"/>
  <c r="V426" i="1"/>
  <c r="U428" i="1"/>
  <c r="V430" i="1"/>
  <c r="U432" i="1"/>
  <c r="V434" i="1"/>
  <c r="U436" i="1"/>
  <c r="V438" i="1"/>
  <c r="T440" i="1"/>
  <c r="S442" i="1"/>
  <c r="S446" i="1"/>
  <c r="U450" i="1"/>
  <c r="R454" i="1"/>
  <c r="R458" i="1"/>
  <c r="V473" i="1"/>
  <c r="R477" i="1"/>
  <c r="U482" i="1"/>
  <c r="U486" i="1"/>
  <c r="U488" i="1"/>
  <c r="R490" i="1"/>
  <c r="S492" i="1"/>
  <c r="R494" i="1"/>
  <c r="S496" i="1"/>
  <c r="V505" i="1"/>
  <c r="R509" i="1"/>
  <c r="U514" i="1"/>
  <c r="U518" i="1"/>
  <c r="U520" i="1"/>
  <c r="R522" i="1"/>
  <c r="S524" i="1"/>
  <c r="R526" i="1"/>
  <c r="S528" i="1"/>
  <c r="V537" i="1"/>
  <c r="R541" i="1"/>
  <c r="U546" i="1"/>
  <c r="U550" i="1"/>
  <c r="U552" i="1"/>
  <c r="R554" i="1"/>
  <c r="S556" i="1"/>
  <c r="R558" i="1"/>
  <c r="T645" i="1"/>
  <c r="T647" i="1"/>
  <c r="R653" i="1"/>
  <c r="U655" i="1"/>
  <c r="R661" i="1"/>
  <c r="U663" i="1"/>
  <c r="U667" i="1"/>
  <c r="U673" i="1"/>
  <c r="V688" i="1"/>
  <c r="U691" i="1"/>
  <c r="V696" i="1"/>
  <c r="U699" i="1"/>
  <c r="V704" i="1"/>
  <c r="R707" i="1"/>
  <c r="U708" i="1"/>
  <c r="U328" i="1"/>
  <c r="T363" i="1"/>
  <c r="S374" i="1"/>
  <c r="S394" i="1"/>
  <c r="R410" i="1"/>
  <c r="R419" i="1"/>
  <c r="U440" i="1"/>
  <c r="U442" i="1"/>
  <c r="S444" i="1"/>
  <c r="U446" i="1"/>
  <c r="V450" i="1"/>
  <c r="S452" i="1"/>
  <c r="S454" i="1"/>
  <c r="S456" i="1"/>
  <c r="S458" i="1"/>
  <c r="S460" i="1"/>
  <c r="S462" i="1"/>
  <c r="U464" i="1"/>
  <c r="R466" i="1"/>
  <c r="V477" i="1"/>
  <c r="R481" i="1"/>
  <c r="V482" i="1"/>
  <c r="S490" i="1"/>
  <c r="U492" i="1"/>
  <c r="S494" i="1"/>
  <c r="U496" i="1"/>
  <c r="R498" i="1"/>
  <c r="V509" i="1"/>
  <c r="R513" i="1"/>
  <c r="V514" i="1"/>
  <c r="S522" i="1"/>
  <c r="U524" i="1"/>
  <c r="R530" i="1"/>
  <c r="R545" i="1"/>
  <c r="R562" i="1"/>
  <c r="S564" i="1"/>
  <c r="R566" i="1"/>
  <c r="S568" i="1"/>
  <c r="U595" i="1"/>
  <c r="U599" i="1"/>
  <c r="R604" i="1"/>
  <c r="V624" i="1"/>
  <c r="U627" i="1"/>
  <c r="V632" i="1"/>
  <c r="R637" i="1"/>
  <c r="S641" i="1"/>
  <c r="U645" i="1"/>
  <c r="U647" i="1"/>
  <c r="S649" i="1"/>
  <c r="U651" i="1"/>
  <c r="S653" i="1"/>
  <c r="S657" i="1"/>
  <c r="U659" i="1"/>
  <c r="S661" i="1"/>
  <c r="S665" i="1"/>
  <c r="V673" i="1"/>
  <c r="R676" i="1"/>
  <c r="S681" i="1"/>
  <c r="T707" i="1"/>
  <c r="V708" i="1"/>
  <c r="S713" i="1"/>
  <c r="R301" i="1"/>
  <c r="S320" i="1"/>
  <c r="S322" i="1"/>
  <c r="R331" i="1"/>
  <c r="R333" i="1"/>
  <c r="S346" i="1"/>
  <c r="S348" i="1"/>
  <c r="U374" i="1"/>
  <c r="U394" i="1"/>
  <c r="S410" i="1"/>
  <c r="V419" i="1"/>
  <c r="V442" i="1"/>
  <c r="U444" i="1"/>
  <c r="V446" i="1"/>
  <c r="T449" i="1"/>
  <c r="U454" i="1"/>
  <c r="U456" i="1"/>
  <c r="U458" i="1"/>
  <c r="U460" i="1"/>
  <c r="U462" i="1"/>
  <c r="S466" i="1"/>
  <c r="S468" i="1"/>
  <c r="R470" i="1"/>
  <c r="T481" i="1"/>
  <c r="U490" i="1"/>
  <c r="U494" i="1"/>
  <c r="S498" i="1"/>
  <c r="S500" i="1"/>
  <c r="R502" i="1"/>
  <c r="S504" i="1"/>
  <c r="T513" i="1"/>
  <c r="U522" i="1"/>
  <c r="U526" i="1"/>
  <c r="S530" i="1"/>
  <c r="S532" i="1"/>
  <c r="R534" i="1"/>
  <c r="T545" i="1"/>
  <c r="U554" i="1"/>
  <c r="U558" i="1"/>
  <c r="S562" i="1"/>
  <c r="U564" i="1"/>
  <c r="S566" i="1"/>
  <c r="U568" i="1"/>
  <c r="R570" i="1"/>
  <c r="S572" i="1"/>
  <c r="R574" i="1"/>
  <c r="S585" i="1"/>
  <c r="S597" i="1"/>
  <c r="V604" i="1"/>
  <c r="S609" i="1"/>
  <c r="R612" i="1"/>
  <c r="S617" i="1"/>
  <c r="U635" i="1"/>
  <c r="S637" i="1"/>
  <c r="U639" i="1"/>
  <c r="U649" i="1"/>
  <c r="U657" i="1"/>
  <c r="U665" i="1"/>
  <c r="R672" i="1"/>
  <c r="V676" i="1"/>
  <c r="U679" i="1"/>
  <c r="U707" i="1"/>
  <c r="U466" i="1"/>
  <c r="V481" i="1"/>
  <c r="U498" i="1"/>
  <c r="V513" i="1"/>
  <c r="U530" i="1"/>
  <c r="V545" i="1"/>
  <c r="U562" i="1"/>
  <c r="U566" i="1"/>
  <c r="T637" i="1"/>
  <c r="V649" i="1"/>
  <c r="V657" i="1"/>
  <c r="V665" i="1"/>
  <c r="T301" i="1"/>
  <c r="S310" i="1"/>
  <c r="U314" i="1"/>
  <c r="U316" i="1"/>
  <c r="U318" i="1"/>
  <c r="S340" i="1"/>
  <c r="U342" i="1"/>
  <c r="S364" i="1"/>
  <c r="S366" i="1"/>
  <c r="U368" i="1"/>
  <c r="U370" i="1"/>
  <c r="T379" i="1"/>
  <c r="S386" i="1"/>
  <c r="U388" i="1"/>
  <c r="U392" i="1"/>
  <c r="R397" i="1"/>
  <c r="S404" i="1"/>
  <c r="U406" i="1"/>
  <c r="U408" i="1"/>
  <c r="V410" i="1"/>
  <c r="U412" i="1"/>
  <c r="U414" i="1"/>
  <c r="S416" i="1"/>
  <c r="S418" i="1"/>
  <c r="R422" i="1"/>
  <c r="V427" i="1"/>
  <c r="V431" i="1"/>
  <c r="V435" i="1"/>
  <c r="V439" i="1"/>
  <c r="S451" i="1"/>
  <c r="R465" i="1"/>
  <c r="V466" i="1"/>
  <c r="U470" i="1"/>
  <c r="S474" i="1"/>
  <c r="S476" i="1"/>
  <c r="R478" i="1"/>
  <c r="T489" i="1"/>
  <c r="R493" i="1"/>
  <c r="R497" i="1"/>
  <c r="V498" i="1"/>
  <c r="U502" i="1"/>
  <c r="S506" i="1"/>
  <c r="S508" i="1"/>
  <c r="T521" i="1"/>
  <c r="R525" i="1"/>
  <c r="R529" i="1"/>
  <c r="V530" i="1"/>
  <c r="U534" i="1"/>
  <c r="S538" i="1"/>
  <c r="S540" i="1"/>
  <c r="T553" i="1"/>
  <c r="R557" i="1"/>
  <c r="R561" i="1"/>
  <c r="V562" i="1"/>
  <c r="V566" i="1"/>
  <c r="U570" i="1"/>
  <c r="T574" i="1"/>
  <c r="V576" i="1"/>
  <c r="V588" i="1"/>
  <c r="U597" i="1"/>
  <c r="V620" i="1"/>
  <c r="S625" i="1"/>
  <c r="R628" i="1"/>
  <c r="S633" i="1"/>
  <c r="V637" i="1"/>
  <c r="R648" i="1"/>
  <c r="R652" i="1"/>
  <c r="T656" i="1"/>
  <c r="R660" i="1"/>
  <c r="T664" i="1"/>
  <c r="V668" i="1"/>
  <c r="R671" i="1"/>
  <c r="U687" i="1"/>
  <c r="V692" i="1"/>
  <c r="U695" i="1"/>
  <c r="V700" i="1"/>
  <c r="U703" i="1"/>
  <c r="S709" i="1"/>
  <c r="U310" i="1"/>
  <c r="U340" i="1"/>
  <c r="U344" i="1"/>
  <c r="S362" i="1"/>
  <c r="U364" i="1"/>
  <c r="U366" i="1"/>
  <c r="S384" i="1"/>
  <c r="U386" i="1"/>
  <c r="T395" i="1"/>
  <c r="S402" i="1"/>
  <c r="V414" i="1"/>
  <c r="T416" i="1"/>
  <c r="U418" i="1"/>
  <c r="S420" i="1"/>
  <c r="S422" i="1"/>
  <c r="R426" i="1"/>
  <c r="R430" i="1"/>
  <c r="R434" i="1"/>
  <c r="R438" i="1"/>
  <c r="R443" i="1"/>
  <c r="R447" i="1"/>
  <c r="T451" i="1"/>
  <c r="T457" i="1"/>
  <c r="T465" i="1"/>
  <c r="V470" i="1"/>
  <c r="U474" i="1"/>
  <c r="U476" i="1"/>
  <c r="S478" i="1"/>
  <c r="S480" i="1"/>
  <c r="V489" i="1"/>
  <c r="V493" i="1"/>
  <c r="T497" i="1"/>
  <c r="V502" i="1"/>
  <c r="U506" i="1"/>
  <c r="U508" i="1"/>
  <c r="S510" i="1"/>
  <c r="S512" i="1"/>
  <c r="V521" i="1"/>
  <c r="V525" i="1"/>
  <c r="T529" i="1"/>
  <c r="V534" i="1"/>
  <c r="U538" i="1"/>
  <c r="U540" i="1"/>
  <c r="S542" i="1"/>
  <c r="S544" i="1"/>
  <c r="V553" i="1"/>
  <c r="V557" i="1"/>
  <c r="T561" i="1"/>
  <c r="R565" i="1"/>
  <c r="R569" i="1"/>
  <c r="V570" i="1"/>
  <c r="U591" i="1"/>
  <c r="S596" i="1"/>
  <c r="S605" i="1"/>
  <c r="U623" i="1"/>
  <c r="V628" i="1"/>
  <c r="U631" i="1"/>
  <c r="R636" i="1"/>
  <c r="R640" i="1"/>
  <c r="U648" i="1"/>
  <c r="V652" i="1"/>
  <c r="U656" i="1"/>
  <c r="V660" i="1"/>
  <c r="U664" i="1"/>
  <c r="S671" i="1"/>
  <c r="S677" i="1"/>
  <c r="R680" i="1"/>
  <c r="V709" i="1"/>
  <c r="R712" i="1"/>
  <c r="U14" i="1"/>
  <c r="J12" i="1"/>
  <c r="R14" i="1"/>
  <c r="V14" i="1"/>
  <c r="R31" i="1"/>
  <c r="V31" i="1"/>
  <c r="S16" i="1"/>
  <c r="T17" i="1"/>
  <c r="U18" i="1"/>
  <c r="S24" i="1"/>
  <c r="T25" i="1"/>
  <c r="U26" i="1"/>
  <c r="S33" i="1"/>
  <c r="T34" i="1"/>
  <c r="U35" i="1"/>
  <c r="S41" i="1"/>
  <c r="T42" i="1"/>
  <c r="U43" i="1"/>
  <c r="S49" i="1"/>
  <c r="T50" i="1"/>
  <c r="U51" i="1"/>
  <c r="U57" i="1"/>
  <c r="T57" i="1"/>
  <c r="V62" i="1"/>
  <c r="T62" i="1"/>
  <c r="R62" i="1"/>
  <c r="T67" i="1"/>
  <c r="V137" i="1"/>
  <c r="U137" i="1"/>
  <c r="T137" i="1"/>
  <c r="S137" i="1"/>
  <c r="U260" i="1"/>
  <c r="T260" i="1"/>
  <c r="S260" i="1"/>
  <c r="V260" i="1"/>
  <c r="U266" i="1"/>
  <c r="S266" i="1"/>
  <c r="R266" i="1"/>
  <c r="V266" i="1"/>
  <c r="T266" i="1"/>
  <c r="T16" i="1"/>
  <c r="T24" i="1"/>
  <c r="T33" i="1"/>
  <c r="T41" i="1"/>
  <c r="T49" i="1"/>
  <c r="S59" i="1"/>
  <c r="V59" i="1"/>
  <c r="U71" i="1"/>
  <c r="S71" i="1"/>
  <c r="R71" i="1"/>
  <c r="U73" i="1"/>
  <c r="T73" i="1"/>
  <c r="V89" i="1"/>
  <c r="U89" i="1"/>
  <c r="T89" i="1"/>
  <c r="V105" i="1"/>
  <c r="U105" i="1"/>
  <c r="T105" i="1"/>
  <c r="V121" i="1"/>
  <c r="U121" i="1"/>
  <c r="T121" i="1"/>
  <c r="U135" i="1"/>
  <c r="T135" i="1"/>
  <c r="S135" i="1"/>
  <c r="R135" i="1"/>
  <c r="U200" i="1"/>
  <c r="S200" i="1"/>
  <c r="V200" i="1"/>
  <c r="T200" i="1"/>
  <c r="U220" i="1"/>
  <c r="S220" i="1"/>
  <c r="V220" i="1"/>
  <c r="T220" i="1"/>
  <c r="R220" i="1"/>
  <c r="S14" i="1"/>
  <c r="U16" i="1"/>
  <c r="V17" i="1"/>
  <c r="R21" i="1"/>
  <c r="S22" i="1"/>
  <c r="U24" i="1"/>
  <c r="V25" i="1"/>
  <c r="R29" i="1"/>
  <c r="S30" i="1"/>
  <c r="S31" i="1"/>
  <c r="U33" i="1"/>
  <c r="V34" i="1"/>
  <c r="R38" i="1"/>
  <c r="S39" i="1"/>
  <c r="U41" i="1"/>
  <c r="V42" i="1"/>
  <c r="R46" i="1"/>
  <c r="S47" i="1"/>
  <c r="U49" i="1"/>
  <c r="V50" i="1"/>
  <c r="R54" i="1"/>
  <c r="T55" i="1"/>
  <c r="R57" i="1"/>
  <c r="S62" i="1"/>
  <c r="U87" i="1"/>
  <c r="T87" i="1"/>
  <c r="S87" i="1"/>
  <c r="R87" i="1"/>
  <c r="U103" i="1"/>
  <c r="T103" i="1"/>
  <c r="S103" i="1"/>
  <c r="R103" i="1"/>
  <c r="U119" i="1"/>
  <c r="T119" i="1"/>
  <c r="S119" i="1"/>
  <c r="R119" i="1"/>
  <c r="R137" i="1"/>
  <c r="R260" i="1"/>
  <c r="T14" i="1"/>
  <c r="V16" i="1"/>
  <c r="R20" i="1"/>
  <c r="T22" i="1"/>
  <c r="V24" i="1"/>
  <c r="R28" i="1"/>
  <c r="T30" i="1"/>
  <c r="T31" i="1"/>
  <c r="V33" i="1"/>
  <c r="R37" i="1"/>
  <c r="T39" i="1"/>
  <c r="V41" i="1"/>
  <c r="R45" i="1"/>
  <c r="T47" i="1"/>
  <c r="V49" i="1"/>
  <c r="R53" i="1"/>
  <c r="R59" i="1"/>
  <c r="T71" i="1"/>
  <c r="R73" i="1"/>
  <c r="R89" i="1"/>
  <c r="V94" i="1"/>
  <c r="T94" i="1"/>
  <c r="S94" i="1"/>
  <c r="R94" i="1"/>
  <c r="R105" i="1"/>
  <c r="V110" i="1"/>
  <c r="T110" i="1"/>
  <c r="S110" i="1"/>
  <c r="R110" i="1"/>
  <c r="R121" i="1"/>
  <c r="V126" i="1"/>
  <c r="T126" i="1"/>
  <c r="S126" i="1"/>
  <c r="R126" i="1"/>
  <c r="V135" i="1"/>
  <c r="V145" i="1"/>
  <c r="U145" i="1"/>
  <c r="T145" i="1"/>
  <c r="S145" i="1"/>
  <c r="U172" i="1"/>
  <c r="S172" i="1"/>
  <c r="V172" i="1"/>
  <c r="T172" i="1"/>
  <c r="R172" i="1"/>
  <c r="R200" i="1"/>
  <c r="U216" i="1"/>
  <c r="S216" i="1"/>
  <c r="V216" i="1"/>
  <c r="T216" i="1"/>
  <c r="S20" i="1"/>
  <c r="T21" i="1"/>
  <c r="S28" i="1"/>
  <c r="T29" i="1"/>
  <c r="S37" i="1"/>
  <c r="T38" i="1"/>
  <c r="S45" i="1"/>
  <c r="T46" i="1"/>
  <c r="S53" i="1"/>
  <c r="T54" i="1"/>
  <c r="V57" i="1"/>
  <c r="T59" i="1"/>
  <c r="U63" i="1"/>
  <c r="S63" i="1"/>
  <c r="R63" i="1"/>
  <c r="U65" i="1"/>
  <c r="T65" i="1"/>
  <c r="V71" i="1"/>
  <c r="S73" i="1"/>
  <c r="S75" i="1"/>
  <c r="V75" i="1"/>
  <c r="V78" i="1"/>
  <c r="T78" i="1"/>
  <c r="S78" i="1"/>
  <c r="R78" i="1"/>
  <c r="S89" i="1"/>
  <c r="S105" i="1"/>
  <c r="S121" i="1"/>
  <c r="U143" i="1"/>
  <c r="T143" i="1"/>
  <c r="S143" i="1"/>
  <c r="R143" i="1"/>
  <c r="U242" i="1"/>
  <c r="S242" i="1"/>
  <c r="R242" i="1"/>
  <c r="V242" i="1"/>
  <c r="T242" i="1"/>
  <c r="T20" i="1"/>
  <c r="T28" i="1"/>
  <c r="T37" i="1"/>
  <c r="T45" i="1"/>
  <c r="T53" i="1"/>
  <c r="U59" i="1"/>
  <c r="S67" i="1"/>
  <c r="V67" i="1"/>
  <c r="V70" i="1"/>
  <c r="T70" i="1"/>
  <c r="R70" i="1"/>
  <c r="V73" i="1"/>
  <c r="V97" i="1"/>
  <c r="U97" i="1"/>
  <c r="T97" i="1"/>
  <c r="V113" i="1"/>
  <c r="U113" i="1"/>
  <c r="T113" i="1"/>
  <c r="V129" i="1"/>
  <c r="U129" i="1"/>
  <c r="T129" i="1"/>
  <c r="S129" i="1"/>
  <c r="U168" i="1"/>
  <c r="S168" i="1"/>
  <c r="V168" i="1"/>
  <c r="T168" i="1"/>
  <c r="U188" i="1"/>
  <c r="S188" i="1"/>
  <c r="V188" i="1"/>
  <c r="T188" i="1"/>
  <c r="R188" i="1"/>
  <c r="S18" i="1"/>
  <c r="U20" i="1"/>
  <c r="S26" i="1"/>
  <c r="U28" i="1"/>
  <c r="S35" i="1"/>
  <c r="U37" i="1"/>
  <c r="S43" i="1"/>
  <c r="U45" i="1"/>
  <c r="S51" i="1"/>
  <c r="U53" i="1"/>
  <c r="T63" i="1"/>
  <c r="R65" i="1"/>
  <c r="R75" i="1"/>
  <c r="U78" i="1"/>
  <c r="V81" i="1"/>
  <c r="U81" i="1"/>
  <c r="T81" i="1"/>
  <c r="U95" i="1"/>
  <c r="T95" i="1"/>
  <c r="S95" i="1"/>
  <c r="R95" i="1"/>
  <c r="U111" i="1"/>
  <c r="T111" i="1"/>
  <c r="S111" i="1"/>
  <c r="R111" i="1"/>
  <c r="U127" i="1"/>
  <c r="T127" i="1"/>
  <c r="S127" i="1"/>
  <c r="R127" i="1"/>
  <c r="V143" i="1"/>
  <c r="V153" i="1"/>
  <c r="U153" i="1"/>
  <c r="T153" i="1"/>
  <c r="S153" i="1"/>
  <c r="U55" i="1"/>
  <c r="S55" i="1"/>
  <c r="R67" i="1"/>
  <c r="S70" i="1"/>
  <c r="U79" i="1"/>
  <c r="T79" i="1"/>
  <c r="S79" i="1"/>
  <c r="R79" i="1"/>
  <c r="V86" i="1"/>
  <c r="T86" i="1"/>
  <c r="S86" i="1"/>
  <c r="R86" i="1"/>
  <c r="R97" i="1"/>
  <c r="V102" i="1"/>
  <c r="T102" i="1"/>
  <c r="S102" i="1"/>
  <c r="R102" i="1"/>
  <c r="R113" i="1"/>
  <c r="V118" i="1"/>
  <c r="T118" i="1"/>
  <c r="S118" i="1"/>
  <c r="R118" i="1"/>
  <c r="R129" i="1"/>
  <c r="U151" i="1"/>
  <c r="T151" i="1"/>
  <c r="S151" i="1"/>
  <c r="R151" i="1"/>
  <c r="R168" i="1"/>
  <c r="U184" i="1"/>
  <c r="S184" i="1"/>
  <c r="V184" i="1"/>
  <c r="T184" i="1"/>
  <c r="U204" i="1"/>
  <c r="S204" i="1"/>
  <c r="V204" i="1"/>
  <c r="T204" i="1"/>
  <c r="R204" i="1"/>
  <c r="S262" i="1"/>
  <c r="V262" i="1"/>
  <c r="U262" i="1"/>
  <c r="T262" i="1"/>
  <c r="S158" i="1"/>
  <c r="U158" i="1"/>
  <c r="S174" i="1"/>
  <c r="U174" i="1"/>
  <c r="S190" i="1"/>
  <c r="U190" i="1"/>
  <c r="S206" i="1"/>
  <c r="U206" i="1"/>
  <c r="S222" i="1"/>
  <c r="U222" i="1"/>
  <c r="U244" i="1"/>
  <c r="T244" i="1"/>
  <c r="S244" i="1"/>
  <c r="S246" i="1"/>
  <c r="V246" i="1"/>
  <c r="U246" i="1"/>
  <c r="U268" i="1"/>
  <c r="T268" i="1"/>
  <c r="S268" i="1"/>
  <c r="T286" i="1"/>
  <c r="S286" i="1"/>
  <c r="V286" i="1"/>
  <c r="U286" i="1"/>
  <c r="V302" i="1"/>
  <c r="R302" i="1"/>
  <c r="U302" i="1"/>
  <c r="T302" i="1"/>
  <c r="S377" i="1"/>
  <c r="U377" i="1"/>
  <c r="R377" i="1"/>
  <c r="V377" i="1"/>
  <c r="T377" i="1"/>
  <c r="S56" i="1"/>
  <c r="U58" i="1"/>
  <c r="S64" i="1"/>
  <c r="U66" i="1"/>
  <c r="S72" i="1"/>
  <c r="S80" i="1"/>
  <c r="V83" i="1"/>
  <c r="S88" i="1"/>
  <c r="V91" i="1"/>
  <c r="S96" i="1"/>
  <c r="V99" i="1"/>
  <c r="S104" i="1"/>
  <c r="V107" i="1"/>
  <c r="S112" i="1"/>
  <c r="V115" i="1"/>
  <c r="S120" i="1"/>
  <c r="V123" i="1"/>
  <c r="S128" i="1"/>
  <c r="V131" i="1"/>
  <c r="S136" i="1"/>
  <c r="V139" i="1"/>
  <c r="S144" i="1"/>
  <c r="V147" i="1"/>
  <c r="S152" i="1"/>
  <c r="V155" i="1"/>
  <c r="U160" i="1"/>
  <c r="S160" i="1"/>
  <c r="T170" i="1"/>
  <c r="U176" i="1"/>
  <c r="S176" i="1"/>
  <c r="T186" i="1"/>
  <c r="U192" i="1"/>
  <c r="S192" i="1"/>
  <c r="T202" i="1"/>
  <c r="U208" i="1"/>
  <c r="S208" i="1"/>
  <c r="T218" i="1"/>
  <c r="U224" i="1"/>
  <c r="S224" i="1"/>
  <c r="S270" i="1"/>
  <c r="V270" i="1"/>
  <c r="U270" i="1"/>
  <c r="U309" i="1"/>
  <c r="S309" i="1"/>
  <c r="V309" i="1"/>
  <c r="T309" i="1"/>
  <c r="S313" i="1"/>
  <c r="U313" i="1"/>
  <c r="R313" i="1"/>
  <c r="V313" i="1"/>
  <c r="T313" i="1"/>
  <c r="U341" i="1"/>
  <c r="S341" i="1"/>
  <c r="V341" i="1"/>
  <c r="T341" i="1"/>
  <c r="S345" i="1"/>
  <c r="U345" i="1"/>
  <c r="R345" i="1"/>
  <c r="V345" i="1"/>
  <c r="T345" i="1"/>
  <c r="S393" i="1"/>
  <c r="U393" i="1"/>
  <c r="R393" i="1"/>
  <c r="V393" i="1"/>
  <c r="T393" i="1"/>
  <c r="T56" i="1"/>
  <c r="V58" i="1"/>
  <c r="T64" i="1"/>
  <c r="V66" i="1"/>
  <c r="T72" i="1"/>
  <c r="T80" i="1"/>
  <c r="T88" i="1"/>
  <c r="T96" i="1"/>
  <c r="T104" i="1"/>
  <c r="T112" i="1"/>
  <c r="T120" i="1"/>
  <c r="T128" i="1"/>
  <c r="R134" i="1"/>
  <c r="T136" i="1"/>
  <c r="R142" i="1"/>
  <c r="T144" i="1"/>
  <c r="R150" i="1"/>
  <c r="T152" i="1"/>
  <c r="R158" i="1"/>
  <c r="U162" i="1"/>
  <c r="S162" i="1"/>
  <c r="R174" i="1"/>
  <c r="U178" i="1"/>
  <c r="S178" i="1"/>
  <c r="R190" i="1"/>
  <c r="U194" i="1"/>
  <c r="S194" i="1"/>
  <c r="R206" i="1"/>
  <c r="U210" i="1"/>
  <c r="S210" i="1"/>
  <c r="R222" i="1"/>
  <c r="U226" i="1"/>
  <c r="S226" i="1"/>
  <c r="R244" i="1"/>
  <c r="R246" i="1"/>
  <c r="U250" i="1"/>
  <c r="S250" i="1"/>
  <c r="R250" i="1"/>
  <c r="U252" i="1"/>
  <c r="T252" i="1"/>
  <c r="S252" i="1"/>
  <c r="S254" i="1"/>
  <c r="V254" i="1"/>
  <c r="U254" i="1"/>
  <c r="R268" i="1"/>
  <c r="R286" i="1"/>
  <c r="R292" i="1"/>
  <c r="U292" i="1"/>
  <c r="T292" i="1"/>
  <c r="S292" i="1"/>
  <c r="S302" i="1"/>
  <c r="S134" i="1"/>
  <c r="S142" i="1"/>
  <c r="S150" i="1"/>
  <c r="T158" i="1"/>
  <c r="U164" i="1"/>
  <c r="S164" i="1"/>
  <c r="T174" i="1"/>
  <c r="U180" i="1"/>
  <c r="S180" i="1"/>
  <c r="T190" i="1"/>
  <c r="U196" i="1"/>
  <c r="S196" i="1"/>
  <c r="T206" i="1"/>
  <c r="U212" i="1"/>
  <c r="S212" i="1"/>
  <c r="T222" i="1"/>
  <c r="U228" i="1"/>
  <c r="S228" i="1"/>
  <c r="V244" i="1"/>
  <c r="T246" i="1"/>
  <c r="U258" i="1"/>
  <c r="S258" i="1"/>
  <c r="R258" i="1"/>
  <c r="V268" i="1"/>
  <c r="S417" i="1"/>
  <c r="R417" i="1"/>
  <c r="V417" i="1"/>
  <c r="U417" i="1"/>
  <c r="T417" i="1"/>
  <c r="R60" i="1"/>
  <c r="S61" i="1"/>
  <c r="R68" i="1"/>
  <c r="R76" i="1"/>
  <c r="R84" i="1"/>
  <c r="S85" i="1"/>
  <c r="R92" i="1"/>
  <c r="R100" i="1"/>
  <c r="R108" i="1"/>
  <c r="R116" i="1"/>
  <c r="R124" i="1"/>
  <c r="R132" i="1"/>
  <c r="T134" i="1"/>
  <c r="R140" i="1"/>
  <c r="T142" i="1"/>
  <c r="R148" i="1"/>
  <c r="T150" i="1"/>
  <c r="R156" i="1"/>
  <c r="V158" i="1"/>
  <c r="T160" i="1"/>
  <c r="R162" i="1"/>
  <c r="S166" i="1"/>
  <c r="U166" i="1"/>
  <c r="V174" i="1"/>
  <c r="T176" i="1"/>
  <c r="R178" i="1"/>
  <c r="S182" i="1"/>
  <c r="U182" i="1"/>
  <c r="V190" i="1"/>
  <c r="T192" i="1"/>
  <c r="R194" i="1"/>
  <c r="S198" i="1"/>
  <c r="U198" i="1"/>
  <c r="V206" i="1"/>
  <c r="T208" i="1"/>
  <c r="R210" i="1"/>
  <c r="S214" i="1"/>
  <c r="U214" i="1"/>
  <c r="V222" i="1"/>
  <c r="T224" i="1"/>
  <c r="R226" i="1"/>
  <c r="S230" i="1"/>
  <c r="U230" i="1"/>
  <c r="T250" i="1"/>
  <c r="R252" i="1"/>
  <c r="R254" i="1"/>
  <c r="R276" i="1"/>
  <c r="U276" i="1"/>
  <c r="T276" i="1"/>
  <c r="S276" i="1"/>
  <c r="T278" i="1"/>
  <c r="S278" i="1"/>
  <c r="V278" i="1"/>
  <c r="U278" i="1"/>
  <c r="V292" i="1"/>
  <c r="T294" i="1"/>
  <c r="S294" i="1"/>
  <c r="V294" i="1"/>
  <c r="U294" i="1"/>
  <c r="U325" i="1"/>
  <c r="S325" i="1"/>
  <c r="V325" i="1"/>
  <c r="T325" i="1"/>
  <c r="S329" i="1"/>
  <c r="U329" i="1"/>
  <c r="R329" i="1"/>
  <c r="V329" i="1"/>
  <c r="T329" i="1"/>
  <c r="U357" i="1"/>
  <c r="S357" i="1"/>
  <c r="V357" i="1"/>
  <c r="T357" i="1"/>
  <c r="S361" i="1"/>
  <c r="U361" i="1"/>
  <c r="R361" i="1"/>
  <c r="V361" i="1"/>
  <c r="T361" i="1"/>
  <c r="V162" i="1"/>
  <c r="T164" i="1"/>
  <c r="U170" i="1"/>
  <c r="S170" i="1"/>
  <c r="V178" i="1"/>
  <c r="T180" i="1"/>
  <c r="U186" i="1"/>
  <c r="S186" i="1"/>
  <c r="V194" i="1"/>
  <c r="T196" i="1"/>
  <c r="U202" i="1"/>
  <c r="S202" i="1"/>
  <c r="V210" i="1"/>
  <c r="T212" i="1"/>
  <c r="U218" i="1"/>
  <c r="S218" i="1"/>
  <c r="V226" i="1"/>
  <c r="T228" i="1"/>
  <c r="U234" i="1"/>
  <c r="S234" i="1"/>
  <c r="R234" i="1"/>
  <c r="U236" i="1"/>
  <c r="T236" i="1"/>
  <c r="S236" i="1"/>
  <c r="S238" i="1"/>
  <c r="V238" i="1"/>
  <c r="U238" i="1"/>
  <c r="V258" i="1"/>
  <c r="R284" i="1"/>
  <c r="U284" i="1"/>
  <c r="T284" i="1"/>
  <c r="S284" i="1"/>
  <c r="R300" i="1"/>
  <c r="U300" i="1"/>
  <c r="T300" i="1"/>
  <c r="S300" i="1"/>
  <c r="R325" i="1"/>
  <c r="R357" i="1"/>
  <c r="V445" i="1"/>
  <c r="U445" i="1"/>
  <c r="S445" i="1"/>
  <c r="R445" i="1"/>
  <c r="T445" i="1"/>
  <c r="V159" i="1"/>
  <c r="R163" i="1"/>
  <c r="T165" i="1"/>
  <c r="V167" i="1"/>
  <c r="R171" i="1"/>
  <c r="T173" i="1"/>
  <c r="V175" i="1"/>
  <c r="R179" i="1"/>
  <c r="T181" i="1"/>
  <c r="V183" i="1"/>
  <c r="R187" i="1"/>
  <c r="T189" i="1"/>
  <c r="V191" i="1"/>
  <c r="R195" i="1"/>
  <c r="T197" i="1"/>
  <c r="V199" i="1"/>
  <c r="R203" i="1"/>
  <c r="T205" i="1"/>
  <c r="V207" i="1"/>
  <c r="R211" i="1"/>
  <c r="T213" i="1"/>
  <c r="V215" i="1"/>
  <c r="R219" i="1"/>
  <c r="T221" i="1"/>
  <c r="V223" i="1"/>
  <c r="R227" i="1"/>
  <c r="T229" i="1"/>
  <c r="V231" i="1"/>
  <c r="R235" i="1"/>
  <c r="T237" i="1"/>
  <c r="V239" i="1"/>
  <c r="T245" i="1"/>
  <c r="R251" i="1"/>
  <c r="T253" i="1"/>
  <c r="V255" i="1"/>
  <c r="T261" i="1"/>
  <c r="U303" i="1"/>
  <c r="S303" i="1"/>
  <c r="U319" i="1"/>
  <c r="S319" i="1"/>
  <c r="U335" i="1"/>
  <c r="S335" i="1"/>
  <c r="U351" i="1"/>
  <c r="S351" i="1"/>
  <c r="R363" i="1"/>
  <c r="U367" i="1"/>
  <c r="S367" i="1"/>
  <c r="R379" i="1"/>
  <c r="U383" i="1"/>
  <c r="S383" i="1"/>
  <c r="R395" i="1"/>
  <c r="U399" i="1"/>
  <c r="S399" i="1"/>
  <c r="V429" i="1"/>
  <c r="U429" i="1"/>
  <c r="S429" i="1"/>
  <c r="R429" i="1"/>
  <c r="U455" i="1"/>
  <c r="S455" i="1"/>
  <c r="T455" i="1"/>
  <c r="R455" i="1"/>
  <c r="U459" i="1"/>
  <c r="S459" i="1"/>
  <c r="T459" i="1"/>
  <c r="R459" i="1"/>
  <c r="V463" i="1"/>
  <c r="U463" i="1"/>
  <c r="S463" i="1"/>
  <c r="T463" i="1"/>
  <c r="R463" i="1"/>
  <c r="V491" i="1"/>
  <c r="U491" i="1"/>
  <c r="S491" i="1"/>
  <c r="R491" i="1"/>
  <c r="T491" i="1"/>
  <c r="V523" i="1"/>
  <c r="U523" i="1"/>
  <c r="S523" i="1"/>
  <c r="R523" i="1"/>
  <c r="T523" i="1"/>
  <c r="R274" i="1"/>
  <c r="R282" i="1"/>
  <c r="R290" i="1"/>
  <c r="R298" i="1"/>
  <c r="S305" i="1"/>
  <c r="U305" i="1"/>
  <c r="S321" i="1"/>
  <c r="U321" i="1"/>
  <c r="S337" i="1"/>
  <c r="U337" i="1"/>
  <c r="S353" i="1"/>
  <c r="U353" i="1"/>
  <c r="S369" i="1"/>
  <c r="U369" i="1"/>
  <c r="S385" i="1"/>
  <c r="U385" i="1"/>
  <c r="S401" i="1"/>
  <c r="U401" i="1"/>
  <c r="S433" i="1"/>
  <c r="R433" i="1"/>
  <c r="V433" i="1"/>
  <c r="U433" i="1"/>
  <c r="R448" i="1"/>
  <c r="V448" i="1"/>
  <c r="T448" i="1"/>
  <c r="S448" i="1"/>
  <c r="R161" i="1"/>
  <c r="T163" i="1"/>
  <c r="V165" i="1"/>
  <c r="R169" i="1"/>
  <c r="T171" i="1"/>
  <c r="V173" i="1"/>
  <c r="R177" i="1"/>
  <c r="T179" i="1"/>
  <c r="V181" i="1"/>
  <c r="R185" i="1"/>
  <c r="T187" i="1"/>
  <c r="V189" i="1"/>
  <c r="R193" i="1"/>
  <c r="T195" i="1"/>
  <c r="V197" i="1"/>
  <c r="R201" i="1"/>
  <c r="T203" i="1"/>
  <c r="V205" i="1"/>
  <c r="R209" i="1"/>
  <c r="T211" i="1"/>
  <c r="V213" i="1"/>
  <c r="R217" i="1"/>
  <c r="T219" i="1"/>
  <c r="V221" i="1"/>
  <c r="R225" i="1"/>
  <c r="T227" i="1"/>
  <c r="V229" i="1"/>
  <c r="R233" i="1"/>
  <c r="T235" i="1"/>
  <c r="V237" i="1"/>
  <c r="R241" i="1"/>
  <c r="T243" i="1"/>
  <c r="V245" i="1"/>
  <c r="R249" i="1"/>
  <c r="T251" i="1"/>
  <c r="V253" i="1"/>
  <c r="R257" i="1"/>
  <c r="V261" i="1"/>
  <c r="R265" i="1"/>
  <c r="T267" i="1"/>
  <c r="V269" i="1"/>
  <c r="R273" i="1"/>
  <c r="S274" i="1"/>
  <c r="T275" i="1"/>
  <c r="V277" i="1"/>
  <c r="R281" i="1"/>
  <c r="S282" i="1"/>
  <c r="T283" i="1"/>
  <c r="R289" i="1"/>
  <c r="S290" i="1"/>
  <c r="T291" i="1"/>
  <c r="R297" i="1"/>
  <c r="S298" i="1"/>
  <c r="T299" i="1"/>
  <c r="R303" i="1"/>
  <c r="U307" i="1"/>
  <c r="S307" i="1"/>
  <c r="R319" i="1"/>
  <c r="U323" i="1"/>
  <c r="S323" i="1"/>
  <c r="R335" i="1"/>
  <c r="U339" i="1"/>
  <c r="S339" i="1"/>
  <c r="R351" i="1"/>
  <c r="U355" i="1"/>
  <c r="S355" i="1"/>
  <c r="R367" i="1"/>
  <c r="U371" i="1"/>
  <c r="S371" i="1"/>
  <c r="T381" i="1"/>
  <c r="R383" i="1"/>
  <c r="U387" i="1"/>
  <c r="S387" i="1"/>
  <c r="T397" i="1"/>
  <c r="R399" i="1"/>
  <c r="U403" i="1"/>
  <c r="S403" i="1"/>
  <c r="S409" i="1"/>
  <c r="R409" i="1"/>
  <c r="V409" i="1"/>
  <c r="U409" i="1"/>
  <c r="T429" i="1"/>
  <c r="V437" i="1"/>
  <c r="U437" i="1"/>
  <c r="S437" i="1"/>
  <c r="R437" i="1"/>
  <c r="R471" i="1"/>
  <c r="V471" i="1"/>
  <c r="U471" i="1"/>
  <c r="S471" i="1"/>
  <c r="T471" i="1"/>
  <c r="R503" i="1"/>
  <c r="V503" i="1"/>
  <c r="U503" i="1"/>
  <c r="S503" i="1"/>
  <c r="T503" i="1"/>
  <c r="U373" i="1"/>
  <c r="S373" i="1"/>
  <c r="R385" i="1"/>
  <c r="U389" i="1"/>
  <c r="S389" i="1"/>
  <c r="R401" i="1"/>
  <c r="V405" i="1"/>
  <c r="U405" i="1"/>
  <c r="S405" i="1"/>
  <c r="R405" i="1"/>
  <c r="V413" i="1"/>
  <c r="U413" i="1"/>
  <c r="S413" i="1"/>
  <c r="R413" i="1"/>
  <c r="T433" i="1"/>
  <c r="U448" i="1"/>
  <c r="R159" i="1"/>
  <c r="T161" i="1"/>
  <c r="R167" i="1"/>
  <c r="T169" i="1"/>
  <c r="R175" i="1"/>
  <c r="T177" i="1"/>
  <c r="R183" i="1"/>
  <c r="T185" i="1"/>
  <c r="R191" i="1"/>
  <c r="T193" i="1"/>
  <c r="R199" i="1"/>
  <c r="T201" i="1"/>
  <c r="R207" i="1"/>
  <c r="T209" i="1"/>
  <c r="R215" i="1"/>
  <c r="T217" i="1"/>
  <c r="R223" i="1"/>
  <c r="T225" i="1"/>
  <c r="R231" i="1"/>
  <c r="S232" i="1"/>
  <c r="T233" i="1"/>
  <c r="R239" i="1"/>
  <c r="S240" i="1"/>
  <c r="T241" i="1"/>
  <c r="R247" i="1"/>
  <c r="S248" i="1"/>
  <c r="T249" i="1"/>
  <c r="R255" i="1"/>
  <c r="S256" i="1"/>
  <c r="T257" i="1"/>
  <c r="R263" i="1"/>
  <c r="S264" i="1"/>
  <c r="T265" i="1"/>
  <c r="R271" i="1"/>
  <c r="S272" i="1"/>
  <c r="T273" i="1"/>
  <c r="R279" i="1"/>
  <c r="S280" i="1"/>
  <c r="T281" i="1"/>
  <c r="R287" i="1"/>
  <c r="S288" i="1"/>
  <c r="T289" i="1"/>
  <c r="R295" i="1"/>
  <c r="S296" i="1"/>
  <c r="T297" i="1"/>
  <c r="V303" i="1"/>
  <c r="T305" i="1"/>
  <c r="R307" i="1"/>
  <c r="U311" i="1"/>
  <c r="S311" i="1"/>
  <c r="V319" i="1"/>
  <c r="T321" i="1"/>
  <c r="R323" i="1"/>
  <c r="U327" i="1"/>
  <c r="S327" i="1"/>
  <c r="V335" i="1"/>
  <c r="T337" i="1"/>
  <c r="R339" i="1"/>
  <c r="U343" i="1"/>
  <c r="S343" i="1"/>
  <c r="V351" i="1"/>
  <c r="T353" i="1"/>
  <c r="R355" i="1"/>
  <c r="U359" i="1"/>
  <c r="S359" i="1"/>
  <c r="V367" i="1"/>
  <c r="T369" i="1"/>
  <c r="R371" i="1"/>
  <c r="U375" i="1"/>
  <c r="S375" i="1"/>
  <c r="V383" i="1"/>
  <c r="T385" i="1"/>
  <c r="R387" i="1"/>
  <c r="U391" i="1"/>
  <c r="S391" i="1"/>
  <c r="V399" i="1"/>
  <c r="T401" i="1"/>
  <c r="R403" i="1"/>
  <c r="T409" i="1"/>
  <c r="T437" i="1"/>
  <c r="S441" i="1"/>
  <c r="R441" i="1"/>
  <c r="V441" i="1"/>
  <c r="U441" i="1"/>
  <c r="V307" i="1"/>
  <c r="U315" i="1"/>
  <c r="S315" i="1"/>
  <c r="V323" i="1"/>
  <c r="U331" i="1"/>
  <c r="S331" i="1"/>
  <c r="V339" i="1"/>
  <c r="U347" i="1"/>
  <c r="S347" i="1"/>
  <c r="V355" i="1"/>
  <c r="U363" i="1"/>
  <c r="S363" i="1"/>
  <c r="V371" i="1"/>
  <c r="T373" i="1"/>
  <c r="U379" i="1"/>
  <c r="S379" i="1"/>
  <c r="V387" i="1"/>
  <c r="T389" i="1"/>
  <c r="U395" i="1"/>
  <c r="S395" i="1"/>
  <c r="V403" i="1"/>
  <c r="V421" i="1"/>
  <c r="U421" i="1"/>
  <c r="S421" i="1"/>
  <c r="R421" i="1"/>
  <c r="U317" i="1"/>
  <c r="S317" i="1"/>
  <c r="U333" i="1"/>
  <c r="S333" i="1"/>
  <c r="U349" i="1"/>
  <c r="S349" i="1"/>
  <c r="U365" i="1"/>
  <c r="S365" i="1"/>
  <c r="V373" i="1"/>
  <c r="U381" i="1"/>
  <c r="S381" i="1"/>
  <c r="V389" i="1"/>
  <c r="U397" i="1"/>
  <c r="S397" i="1"/>
  <c r="S425" i="1"/>
  <c r="R425" i="1"/>
  <c r="V425" i="1"/>
  <c r="U425" i="1"/>
  <c r="S453" i="1"/>
  <c r="V453" i="1"/>
  <c r="T453" i="1"/>
  <c r="R453" i="1"/>
  <c r="T304" i="1"/>
  <c r="V306" i="1"/>
  <c r="R310" i="1"/>
  <c r="T312" i="1"/>
  <c r="V314" i="1"/>
  <c r="R318" i="1"/>
  <c r="T320" i="1"/>
  <c r="V322" i="1"/>
  <c r="R326" i="1"/>
  <c r="T328" i="1"/>
  <c r="V330" i="1"/>
  <c r="R334" i="1"/>
  <c r="T336" i="1"/>
  <c r="V338" i="1"/>
  <c r="R342" i="1"/>
  <c r="T344" i="1"/>
  <c r="V346" i="1"/>
  <c r="R350" i="1"/>
  <c r="T352" i="1"/>
  <c r="V354" i="1"/>
  <c r="R358" i="1"/>
  <c r="T360" i="1"/>
  <c r="V362" i="1"/>
  <c r="R366" i="1"/>
  <c r="T368" i="1"/>
  <c r="V370" i="1"/>
  <c r="R374" i="1"/>
  <c r="T376" i="1"/>
  <c r="V378" i="1"/>
  <c r="R382" i="1"/>
  <c r="T384" i="1"/>
  <c r="V386" i="1"/>
  <c r="R390" i="1"/>
  <c r="T392" i="1"/>
  <c r="V394" i="1"/>
  <c r="R398" i="1"/>
  <c r="T400" i="1"/>
  <c r="V402" i="1"/>
  <c r="R406" i="1"/>
  <c r="S407" i="1"/>
  <c r="T408" i="1"/>
  <c r="S415" i="1"/>
  <c r="S423" i="1"/>
  <c r="T424" i="1"/>
  <c r="S431" i="1"/>
  <c r="T432" i="1"/>
  <c r="S439" i="1"/>
  <c r="S447" i="1"/>
  <c r="U461" i="1"/>
  <c r="S461" i="1"/>
  <c r="R495" i="1"/>
  <c r="V495" i="1"/>
  <c r="U495" i="1"/>
  <c r="S495" i="1"/>
  <c r="V515" i="1"/>
  <c r="U515" i="1"/>
  <c r="S515" i="1"/>
  <c r="R515" i="1"/>
  <c r="T407" i="1"/>
  <c r="T415" i="1"/>
  <c r="T423" i="1"/>
  <c r="T431" i="1"/>
  <c r="T439" i="1"/>
  <c r="T447" i="1"/>
  <c r="V475" i="1"/>
  <c r="U475" i="1"/>
  <c r="S475" i="1"/>
  <c r="R475" i="1"/>
  <c r="R519" i="1"/>
  <c r="V519" i="1"/>
  <c r="U519" i="1"/>
  <c r="S519" i="1"/>
  <c r="V539" i="1"/>
  <c r="U539" i="1"/>
  <c r="S539" i="1"/>
  <c r="R539" i="1"/>
  <c r="V304" i="1"/>
  <c r="R308" i="1"/>
  <c r="T310" i="1"/>
  <c r="V312" i="1"/>
  <c r="R316" i="1"/>
  <c r="T318" i="1"/>
  <c r="V320" i="1"/>
  <c r="R324" i="1"/>
  <c r="T326" i="1"/>
  <c r="V328" i="1"/>
  <c r="R332" i="1"/>
  <c r="T334" i="1"/>
  <c r="V336" i="1"/>
  <c r="R340" i="1"/>
  <c r="T342" i="1"/>
  <c r="V344" i="1"/>
  <c r="R348" i="1"/>
  <c r="T350" i="1"/>
  <c r="V352" i="1"/>
  <c r="R356" i="1"/>
  <c r="T358" i="1"/>
  <c r="V360" i="1"/>
  <c r="R364" i="1"/>
  <c r="T366" i="1"/>
  <c r="V368" i="1"/>
  <c r="R372" i="1"/>
  <c r="T374" i="1"/>
  <c r="V376" i="1"/>
  <c r="R380" i="1"/>
  <c r="T382" i="1"/>
  <c r="V384" i="1"/>
  <c r="R388" i="1"/>
  <c r="T390" i="1"/>
  <c r="V392" i="1"/>
  <c r="R396" i="1"/>
  <c r="T398" i="1"/>
  <c r="V400" i="1"/>
  <c r="R404" i="1"/>
  <c r="T406" i="1"/>
  <c r="V408" i="1"/>
  <c r="R412" i="1"/>
  <c r="V416" i="1"/>
  <c r="R420" i="1"/>
  <c r="V424" i="1"/>
  <c r="R428" i="1"/>
  <c r="V432" i="1"/>
  <c r="R436" i="1"/>
  <c r="V440" i="1"/>
  <c r="R444" i="1"/>
  <c r="V447" i="1"/>
  <c r="R449" i="1"/>
  <c r="V452" i="1"/>
  <c r="R452" i="1"/>
  <c r="R461" i="1"/>
  <c r="R479" i="1"/>
  <c r="V479" i="1"/>
  <c r="U479" i="1"/>
  <c r="S479" i="1"/>
  <c r="T495" i="1"/>
  <c r="V499" i="1"/>
  <c r="U499" i="1"/>
  <c r="S499" i="1"/>
  <c r="R499" i="1"/>
  <c r="T515" i="1"/>
  <c r="R543" i="1"/>
  <c r="V543" i="1"/>
  <c r="U543" i="1"/>
  <c r="S543" i="1"/>
  <c r="R306" i="1"/>
  <c r="T308" i="1"/>
  <c r="R314" i="1"/>
  <c r="T316" i="1"/>
  <c r="R322" i="1"/>
  <c r="T324" i="1"/>
  <c r="R330" i="1"/>
  <c r="T332" i="1"/>
  <c r="R338" i="1"/>
  <c r="T340" i="1"/>
  <c r="R346" i="1"/>
  <c r="T348" i="1"/>
  <c r="R354" i="1"/>
  <c r="T356" i="1"/>
  <c r="R362" i="1"/>
  <c r="T364" i="1"/>
  <c r="R370" i="1"/>
  <c r="T372" i="1"/>
  <c r="R378" i="1"/>
  <c r="T380" i="1"/>
  <c r="R386" i="1"/>
  <c r="T388" i="1"/>
  <c r="R394" i="1"/>
  <c r="T396" i="1"/>
  <c r="R402" i="1"/>
  <c r="T404" i="1"/>
  <c r="S411" i="1"/>
  <c r="T412" i="1"/>
  <c r="S419" i="1"/>
  <c r="T420" i="1"/>
  <c r="S427" i="1"/>
  <c r="T428" i="1"/>
  <c r="S435" i="1"/>
  <c r="T436" i="1"/>
  <c r="S443" i="1"/>
  <c r="T444" i="1"/>
  <c r="U449" i="1"/>
  <c r="S457" i="1"/>
  <c r="U457" i="1"/>
  <c r="V461" i="1"/>
  <c r="V483" i="1"/>
  <c r="U483" i="1"/>
  <c r="S483" i="1"/>
  <c r="R483" i="1"/>
  <c r="R527" i="1"/>
  <c r="V527" i="1"/>
  <c r="U527" i="1"/>
  <c r="S527" i="1"/>
  <c r="V547" i="1"/>
  <c r="U547" i="1"/>
  <c r="S547" i="1"/>
  <c r="R547" i="1"/>
  <c r="T411" i="1"/>
  <c r="T419" i="1"/>
  <c r="T427" i="1"/>
  <c r="T435" i="1"/>
  <c r="T443" i="1"/>
  <c r="R487" i="1"/>
  <c r="V487" i="1"/>
  <c r="U487" i="1"/>
  <c r="S487" i="1"/>
  <c r="V507" i="1"/>
  <c r="U507" i="1"/>
  <c r="S507" i="1"/>
  <c r="R507" i="1"/>
  <c r="R551" i="1"/>
  <c r="V551" i="1"/>
  <c r="U551" i="1"/>
  <c r="S551" i="1"/>
  <c r="R451" i="1"/>
  <c r="U452" i="1"/>
  <c r="R457" i="1"/>
  <c r="V467" i="1"/>
  <c r="U467" i="1"/>
  <c r="S467" i="1"/>
  <c r="R467" i="1"/>
  <c r="T483" i="1"/>
  <c r="R511" i="1"/>
  <c r="V511" i="1"/>
  <c r="U511" i="1"/>
  <c r="S511" i="1"/>
  <c r="T527" i="1"/>
  <c r="V531" i="1"/>
  <c r="U531" i="1"/>
  <c r="S531" i="1"/>
  <c r="R531" i="1"/>
  <c r="T547" i="1"/>
  <c r="R535" i="1"/>
  <c r="V535" i="1"/>
  <c r="U535" i="1"/>
  <c r="S535" i="1"/>
  <c r="V555" i="1"/>
  <c r="U555" i="1"/>
  <c r="S555" i="1"/>
  <c r="R555" i="1"/>
  <c r="T456" i="1"/>
  <c r="T464" i="1"/>
  <c r="U465" i="1"/>
  <c r="T472" i="1"/>
  <c r="U473" i="1"/>
  <c r="T480" i="1"/>
  <c r="U481" i="1"/>
  <c r="T488" i="1"/>
  <c r="U489" i="1"/>
  <c r="T496" i="1"/>
  <c r="U497" i="1"/>
  <c r="T504" i="1"/>
  <c r="U505" i="1"/>
  <c r="T512" i="1"/>
  <c r="U513" i="1"/>
  <c r="T520" i="1"/>
  <c r="U521" i="1"/>
  <c r="T528" i="1"/>
  <c r="U529" i="1"/>
  <c r="T536" i="1"/>
  <c r="U537" i="1"/>
  <c r="T544" i="1"/>
  <c r="U545" i="1"/>
  <c r="T552" i="1"/>
  <c r="U553" i="1"/>
  <c r="S559" i="1"/>
  <c r="T560" i="1"/>
  <c r="U561" i="1"/>
  <c r="S567" i="1"/>
  <c r="T568" i="1"/>
  <c r="U569" i="1"/>
  <c r="S575" i="1"/>
  <c r="U576" i="1"/>
  <c r="V626" i="1"/>
  <c r="U626" i="1"/>
  <c r="S626" i="1"/>
  <c r="R626" i="1"/>
  <c r="R646" i="1"/>
  <c r="V646" i="1"/>
  <c r="U646" i="1"/>
  <c r="S646" i="1"/>
  <c r="R654" i="1"/>
  <c r="V654" i="1"/>
  <c r="U654" i="1"/>
  <c r="S654" i="1"/>
  <c r="T559" i="1"/>
  <c r="T567" i="1"/>
  <c r="T575" i="1"/>
  <c r="R614" i="1"/>
  <c r="V614" i="1"/>
  <c r="U614" i="1"/>
  <c r="S614" i="1"/>
  <c r="R662" i="1"/>
  <c r="V662" i="1"/>
  <c r="U662" i="1"/>
  <c r="S662" i="1"/>
  <c r="R670" i="1"/>
  <c r="V670" i="1"/>
  <c r="U670" i="1"/>
  <c r="S670" i="1"/>
  <c r="R678" i="1"/>
  <c r="V678" i="1"/>
  <c r="U678" i="1"/>
  <c r="S678" i="1"/>
  <c r="V456" i="1"/>
  <c r="R460" i="1"/>
  <c r="V464" i="1"/>
  <c r="R468" i="1"/>
  <c r="S469" i="1"/>
  <c r="V472" i="1"/>
  <c r="R476" i="1"/>
  <c r="S477" i="1"/>
  <c r="V480" i="1"/>
  <c r="R484" i="1"/>
  <c r="S485" i="1"/>
  <c r="V488" i="1"/>
  <c r="R492" i="1"/>
  <c r="S493" i="1"/>
  <c r="V496" i="1"/>
  <c r="R500" i="1"/>
  <c r="S501" i="1"/>
  <c r="V504" i="1"/>
  <c r="R508" i="1"/>
  <c r="S509" i="1"/>
  <c r="V512" i="1"/>
  <c r="R516" i="1"/>
  <c r="S517" i="1"/>
  <c r="V520" i="1"/>
  <c r="R524" i="1"/>
  <c r="S525" i="1"/>
  <c r="V528" i="1"/>
  <c r="R532" i="1"/>
  <c r="S533" i="1"/>
  <c r="V536" i="1"/>
  <c r="R540" i="1"/>
  <c r="S541" i="1"/>
  <c r="V544" i="1"/>
  <c r="R548" i="1"/>
  <c r="S549" i="1"/>
  <c r="V552" i="1"/>
  <c r="R556" i="1"/>
  <c r="S557" i="1"/>
  <c r="U559" i="1"/>
  <c r="V560" i="1"/>
  <c r="R564" i="1"/>
  <c r="S565" i="1"/>
  <c r="U567" i="1"/>
  <c r="V568" i="1"/>
  <c r="R572" i="1"/>
  <c r="S573" i="1"/>
  <c r="U575" i="1"/>
  <c r="U577" i="1"/>
  <c r="T577" i="1"/>
  <c r="R577" i="1"/>
  <c r="V577" i="1"/>
  <c r="V586" i="1"/>
  <c r="U586" i="1"/>
  <c r="S586" i="1"/>
  <c r="R586" i="1"/>
  <c r="V602" i="1"/>
  <c r="U602" i="1"/>
  <c r="S602" i="1"/>
  <c r="R602" i="1"/>
  <c r="T626" i="1"/>
  <c r="V634" i="1"/>
  <c r="U634" i="1"/>
  <c r="S634" i="1"/>
  <c r="R634" i="1"/>
  <c r="R638" i="1"/>
  <c r="V638" i="1"/>
  <c r="U638" i="1"/>
  <c r="S638" i="1"/>
  <c r="T646" i="1"/>
  <c r="V650" i="1"/>
  <c r="U650" i="1"/>
  <c r="S650" i="1"/>
  <c r="R650" i="1"/>
  <c r="T654" i="1"/>
  <c r="T469" i="1"/>
  <c r="T477" i="1"/>
  <c r="T485" i="1"/>
  <c r="T493" i="1"/>
  <c r="T501" i="1"/>
  <c r="T509" i="1"/>
  <c r="T517" i="1"/>
  <c r="T525" i="1"/>
  <c r="T533" i="1"/>
  <c r="T541" i="1"/>
  <c r="T549" i="1"/>
  <c r="T557" i="1"/>
  <c r="V559" i="1"/>
  <c r="R563" i="1"/>
  <c r="T565" i="1"/>
  <c r="V567" i="1"/>
  <c r="R571" i="1"/>
  <c r="T573" i="1"/>
  <c r="V575" i="1"/>
  <c r="T614" i="1"/>
  <c r="R622" i="1"/>
  <c r="V622" i="1"/>
  <c r="U622" i="1"/>
  <c r="S622" i="1"/>
  <c r="V658" i="1"/>
  <c r="U658" i="1"/>
  <c r="S658" i="1"/>
  <c r="R658" i="1"/>
  <c r="T662" i="1"/>
  <c r="T670" i="1"/>
  <c r="T678" i="1"/>
  <c r="R686" i="1"/>
  <c r="V686" i="1"/>
  <c r="U686" i="1"/>
  <c r="S686" i="1"/>
  <c r="T460" i="1"/>
  <c r="T468" i="1"/>
  <c r="T476" i="1"/>
  <c r="T484" i="1"/>
  <c r="T492" i="1"/>
  <c r="T500" i="1"/>
  <c r="T508" i="1"/>
  <c r="T516" i="1"/>
  <c r="T524" i="1"/>
  <c r="T532" i="1"/>
  <c r="T540" i="1"/>
  <c r="T548" i="1"/>
  <c r="T556" i="1"/>
  <c r="S563" i="1"/>
  <c r="T564" i="1"/>
  <c r="S571" i="1"/>
  <c r="T572" i="1"/>
  <c r="V594" i="1"/>
  <c r="U594" i="1"/>
  <c r="S594" i="1"/>
  <c r="R594" i="1"/>
  <c r="V610" i="1"/>
  <c r="U610" i="1"/>
  <c r="S610" i="1"/>
  <c r="R610" i="1"/>
  <c r="V666" i="1"/>
  <c r="U666" i="1"/>
  <c r="S666" i="1"/>
  <c r="R666" i="1"/>
  <c r="V674" i="1"/>
  <c r="U674" i="1"/>
  <c r="S674" i="1"/>
  <c r="R674" i="1"/>
  <c r="T563" i="1"/>
  <c r="T571" i="1"/>
  <c r="V578" i="1"/>
  <c r="U578" i="1"/>
  <c r="S578" i="1"/>
  <c r="R578" i="1"/>
  <c r="R582" i="1"/>
  <c r="V582" i="1"/>
  <c r="U582" i="1"/>
  <c r="S582" i="1"/>
  <c r="R598" i="1"/>
  <c r="V598" i="1"/>
  <c r="U598" i="1"/>
  <c r="S598" i="1"/>
  <c r="R630" i="1"/>
  <c r="V630" i="1"/>
  <c r="U630" i="1"/>
  <c r="S630" i="1"/>
  <c r="U563" i="1"/>
  <c r="U571" i="1"/>
  <c r="R576" i="1"/>
  <c r="T594" i="1"/>
  <c r="T610" i="1"/>
  <c r="V618" i="1"/>
  <c r="U618" i="1"/>
  <c r="S618" i="1"/>
  <c r="R618" i="1"/>
  <c r="T666" i="1"/>
  <c r="T674" i="1"/>
  <c r="V682" i="1"/>
  <c r="U682" i="1"/>
  <c r="S682" i="1"/>
  <c r="R682" i="1"/>
  <c r="T578" i="1"/>
  <c r="T582" i="1"/>
  <c r="R590" i="1"/>
  <c r="V590" i="1"/>
  <c r="U590" i="1"/>
  <c r="S590" i="1"/>
  <c r="T598" i="1"/>
  <c r="R606" i="1"/>
  <c r="V606" i="1"/>
  <c r="U606" i="1"/>
  <c r="S606" i="1"/>
  <c r="T630" i="1"/>
  <c r="V642" i="1"/>
  <c r="U642" i="1"/>
  <c r="S642" i="1"/>
  <c r="R642" i="1"/>
  <c r="R581" i="1"/>
  <c r="T583" i="1"/>
  <c r="U584" i="1"/>
  <c r="V585" i="1"/>
  <c r="R589" i="1"/>
  <c r="T591" i="1"/>
  <c r="U592" i="1"/>
  <c r="V593" i="1"/>
  <c r="R597" i="1"/>
  <c r="T599" i="1"/>
  <c r="U600" i="1"/>
  <c r="V601" i="1"/>
  <c r="R605" i="1"/>
  <c r="T607" i="1"/>
  <c r="U608" i="1"/>
  <c r="V609" i="1"/>
  <c r="R613" i="1"/>
  <c r="T615" i="1"/>
  <c r="U616" i="1"/>
  <c r="V617" i="1"/>
  <c r="R621" i="1"/>
  <c r="T623" i="1"/>
  <c r="U624" i="1"/>
  <c r="V625" i="1"/>
  <c r="R629" i="1"/>
  <c r="T631" i="1"/>
  <c r="U632" i="1"/>
  <c r="V633" i="1"/>
  <c r="T639" i="1"/>
  <c r="U640" i="1"/>
  <c r="V641" i="1"/>
  <c r="R669" i="1"/>
  <c r="U672" i="1"/>
  <c r="R677" i="1"/>
  <c r="T679" i="1"/>
  <c r="U680" i="1"/>
  <c r="V681" i="1"/>
  <c r="R685" i="1"/>
  <c r="T687" i="1"/>
  <c r="U688" i="1"/>
  <c r="V689" i="1"/>
  <c r="R693" i="1"/>
  <c r="S694" i="1"/>
  <c r="T695" i="1"/>
  <c r="U696" i="1"/>
  <c r="V697" i="1"/>
  <c r="R701" i="1"/>
  <c r="S702" i="1"/>
  <c r="T703" i="1"/>
  <c r="U704" i="1"/>
  <c r="V705" i="1"/>
  <c r="R709" i="1"/>
  <c r="S710" i="1"/>
  <c r="T711" i="1"/>
  <c r="U712" i="1"/>
  <c r="V713" i="1"/>
  <c r="T694" i="1"/>
  <c r="T702" i="1"/>
  <c r="T710" i="1"/>
  <c r="R579" i="1"/>
  <c r="T581" i="1"/>
  <c r="V583" i="1"/>
  <c r="R587" i="1"/>
  <c r="S588" i="1"/>
  <c r="T589" i="1"/>
  <c r="V591" i="1"/>
  <c r="R595" i="1"/>
  <c r="V599" i="1"/>
  <c r="R603" i="1"/>
  <c r="S604" i="1"/>
  <c r="T605" i="1"/>
  <c r="V607" i="1"/>
  <c r="R611" i="1"/>
  <c r="S612" i="1"/>
  <c r="T613" i="1"/>
  <c r="V615" i="1"/>
  <c r="R619" i="1"/>
  <c r="S620" i="1"/>
  <c r="T621" i="1"/>
  <c r="V623" i="1"/>
  <c r="R627" i="1"/>
  <c r="S628" i="1"/>
  <c r="T629" i="1"/>
  <c r="V631" i="1"/>
  <c r="R635" i="1"/>
  <c r="S636" i="1"/>
  <c r="V639" i="1"/>
  <c r="R643" i="1"/>
  <c r="S644" i="1"/>
  <c r="V647" i="1"/>
  <c r="R651" i="1"/>
  <c r="S652" i="1"/>
  <c r="T653" i="1"/>
  <c r="V655" i="1"/>
  <c r="R659" i="1"/>
  <c r="S660" i="1"/>
  <c r="T661" i="1"/>
  <c r="V663" i="1"/>
  <c r="R667" i="1"/>
  <c r="S668" i="1"/>
  <c r="T669" i="1"/>
  <c r="R675" i="1"/>
  <c r="S676" i="1"/>
  <c r="T677" i="1"/>
  <c r="V679" i="1"/>
  <c r="R683" i="1"/>
  <c r="S684" i="1"/>
  <c r="T685" i="1"/>
  <c r="V687" i="1"/>
  <c r="R691" i="1"/>
  <c r="S692" i="1"/>
  <c r="T693" i="1"/>
  <c r="U694" i="1"/>
  <c r="V695" i="1"/>
  <c r="R699" i="1"/>
  <c r="S700" i="1"/>
  <c r="T701" i="1"/>
  <c r="U702" i="1"/>
  <c r="V703" i="1"/>
  <c r="T709" i="1"/>
  <c r="U710" i="1"/>
  <c r="V711" i="1"/>
  <c r="S579" i="1"/>
  <c r="U581" i="1"/>
  <c r="S587" i="1"/>
  <c r="T588" i="1"/>
  <c r="U589" i="1"/>
  <c r="S595" i="1"/>
  <c r="S603" i="1"/>
  <c r="T604" i="1"/>
  <c r="U605" i="1"/>
  <c r="S611" i="1"/>
  <c r="T612" i="1"/>
  <c r="U613" i="1"/>
  <c r="S619" i="1"/>
  <c r="T620" i="1"/>
  <c r="U621" i="1"/>
  <c r="S627" i="1"/>
  <c r="T628" i="1"/>
  <c r="U629" i="1"/>
  <c r="S635" i="1"/>
  <c r="T636" i="1"/>
  <c r="S643" i="1"/>
  <c r="T644" i="1"/>
  <c r="S651" i="1"/>
  <c r="T652" i="1"/>
  <c r="U653" i="1"/>
  <c r="S659" i="1"/>
  <c r="T660" i="1"/>
  <c r="U661" i="1"/>
  <c r="S667" i="1"/>
  <c r="T668" i="1"/>
  <c r="U669" i="1"/>
  <c r="S675" i="1"/>
  <c r="T676" i="1"/>
  <c r="U677" i="1"/>
  <c r="S683" i="1"/>
  <c r="T684" i="1"/>
  <c r="U685" i="1"/>
  <c r="R690" i="1"/>
  <c r="S691" i="1"/>
  <c r="T692" i="1"/>
  <c r="U693" i="1"/>
  <c r="V694" i="1"/>
  <c r="R698" i="1"/>
  <c r="S699" i="1"/>
  <c r="T700" i="1"/>
  <c r="U701" i="1"/>
  <c r="V702" i="1"/>
  <c r="R706" i="1"/>
  <c r="S707" i="1"/>
  <c r="V710" i="1"/>
  <c r="R714" i="1"/>
  <c r="T579" i="1"/>
  <c r="R585" i="1"/>
  <c r="T587" i="1"/>
  <c r="R593" i="1"/>
  <c r="T595" i="1"/>
  <c r="R601" i="1"/>
  <c r="T603" i="1"/>
  <c r="R609" i="1"/>
  <c r="T611" i="1"/>
  <c r="R617" i="1"/>
  <c r="T619" i="1"/>
  <c r="R625" i="1"/>
  <c r="T627" i="1"/>
  <c r="R633" i="1"/>
  <c r="T635" i="1"/>
  <c r="R641" i="1"/>
  <c r="T643" i="1"/>
  <c r="R649" i="1"/>
  <c r="T651" i="1"/>
  <c r="R657" i="1"/>
  <c r="T659" i="1"/>
  <c r="R665" i="1"/>
  <c r="T667" i="1"/>
  <c r="T675" i="1"/>
  <c r="R681" i="1"/>
  <c r="T683" i="1"/>
  <c r="R689" i="1"/>
  <c r="S690" i="1"/>
  <c r="T691" i="1"/>
  <c r="R697" i="1"/>
  <c r="S698" i="1"/>
  <c r="T699" i="1"/>
  <c r="R705" i="1"/>
  <c r="S706" i="1"/>
  <c r="R713" i="1"/>
  <c r="S714" i="1"/>
  <c r="T690" i="1"/>
  <c r="T698" i="1"/>
  <c r="T706" i="1"/>
  <c r="T714" i="1"/>
  <c r="R583" i="1"/>
  <c r="S584" i="1"/>
  <c r="T585" i="1"/>
  <c r="R591" i="1"/>
  <c r="S592" i="1"/>
  <c r="T593" i="1"/>
  <c r="R599" i="1"/>
  <c r="S600" i="1"/>
  <c r="T601" i="1"/>
  <c r="R607" i="1"/>
  <c r="S608" i="1"/>
  <c r="T609" i="1"/>
  <c r="R615" i="1"/>
  <c r="S616" i="1"/>
  <c r="T617" i="1"/>
  <c r="R623" i="1"/>
  <c r="S624" i="1"/>
  <c r="T625" i="1"/>
  <c r="R631" i="1"/>
  <c r="S632" i="1"/>
  <c r="T633" i="1"/>
  <c r="R639" i="1"/>
  <c r="S640" i="1"/>
  <c r="T641" i="1"/>
  <c r="S648" i="1"/>
  <c r="S672" i="1"/>
  <c r="R679" i="1"/>
  <c r="S680" i="1"/>
  <c r="T681" i="1"/>
  <c r="R687" i="1"/>
  <c r="S688" i="1"/>
  <c r="T689" i="1"/>
  <c r="U690" i="1"/>
  <c r="R695" i="1"/>
  <c r="S696" i="1"/>
  <c r="T697" i="1"/>
  <c r="U698" i="1"/>
  <c r="R703" i="1"/>
  <c r="S704" i="1"/>
  <c r="T705" i="1"/>
  <c r="U706" i="1"/>
  <c r="R711" i="1"/>
  <c r="S712" i="1"/>
  <c r="T713" i="1"/>
  <c r="U714" i="1"/>
  <c r="J13" i="2" l="1"/>
  <c r="X13" i="2"/>
  <c r="M10" i="2" s="1"/>
  <c r="L10" i="2" s="1"/>
  <c r="N10" i="2" s="1"/>
  <c r="T13" i="2"/>
  <c r="M6" i="2" s="1"/>
  <c r="L6" i="2" s="1"/>
  <c r="N6" i="2" s="1"/>
  <c r="X611" i="2"/>
  <c r="W611" i="2"/>
  <c r="U611" i="2"/>
  <c r="T611" i="2"/>
  <c r="S611" i="2"/>
  <c r="V611" i="2"/>
  <c r="W306" i="2"/>
  <c r="W13" i="2" s="1"/>
  <c r="M9" i="2" s="1"/>
  <c r="L9" i="2" s="1"/>
  <c r="N9" i="2" s="1"/>
  <c r="U306" i="2"/>
  <c r="U13" i="2" s="1"/>
  <c r="M7" i="2" s="1"/>
  <c r="L7" i="2" s="1"/>
  <c r="N7" i="2" s="1"/>
  <c r="S306" i="2"/>
  <c r="X306" i="2"/>
  <c r="V306" i="2"/>
  <c r="V13" i="2" s="1"/>
  <c r="M8" i="2" s="1"/>
  <c r="L8" i="2" s="1"/>
  <c r="N8" i="2" s="1"/>
  <c r="T306" i="2"/>
  <c r="U12" i="1"/>
  <c r="M8" i="1" s="1"/>
  <c r="L8" i="1" s="1"/>
  <c r="N8" i="1" s="1"/>
  <c r="V12" i="1"/>
  <c r="M9" i="1" s="1"/>
  <c r="L9" i="1" s="1"/>
  <c r="N9" i="1" s="1"/>
  <c r="R12" i="1"/>
  <c r="M5" i="1" s="1"/>
  <c r="L5" i="1" s="1"/>
  <c r="N5" i="1" s="1"/>
  <c r="S12" i="1"/>
  <c r="M6" i="1" s="1"/>
  <c r="L6" i="1" s="1"/>
  <c r="N6" i="1" s="1"/>
  <c r="T12" i="1"/>
  <c r="M7" i="1" s="1"/>
  <c r="L7" i="1" s="1"/>
  <c r="N7" i="1" s="1"/>
  <c r="S13" i="2" l="1"/>
  <c r="M5" i="2" s="1"/>
  <c r="L5" i="2" s="1"/>
  <c r="N5" i="2" s="1"/>
</calcChain>
</file>

<file path=xl/sharedStrings.xml><?xml version="1.0" encoding="utf-8"?>
<sst xmlns="http://schemas.openxmlformats.org/spreadsheetml/2006/main" count="1494" uniqueCount="746">
  <si>
    <t>****** Plant Redispatch calculator ******* !!!! Please - edit only columns 'Status' &amp; 'Pnew' !!!!!***</t>
  </si>
  <si>
    <t>Flows</t>
  </si>
  <si>
    <t>NN</t>
  </si>
  <si>
    <t>LFCaseName</t>
  </si>
  <si>
    <t>Monitored Element</t>
  </si>
  <si>
    <t>Contingency</t>
  </si>
  <si>
    <t>Limit</t>
  </si>
  <si>
    <t>FlowInit</t>
  </si>
  <si>
    <t>FlowRes</t>
  </si>
  <si>
    <t>FlowChange</t>
  </si>
  <si>
    <t>Loading</t>
  </si>
  <si>
    <t xml:space="preserve">115714 DIGHTON_U6    115  115711 SOMERSET      115  1 </t>
  </si>
  <si>
    <t>NF_U6-4</t>
  </si>
  <si>
    <t>BF_JEPSN_L14</t>
  </si>
  <si>
    <t>LN_L14</t>
  </si>
  <si>
    <t>BF_JEPSN_4T3</t>
  </si>
  <si>
    <t>BF_BELLRK_02</t>
  </si>
  <si>
    <t>Dispatch</t>
  </si>
  <si>
    <t xml:space="preserve">  Bus#</t>
  </si>
  <si>
    <t xml:space="preserve">Bus Name    </t>
  </si>
  <si>
    <t>Volt</t>
  </si>
  <si>
    <t>Area</t>
  </si>
  <si>
    <t>Zone</t>
  </si>
  <si>
    <t>Pgen or Pload</t>
  </si>
  <si>
    <t>PMin Gen</t>
  </si>
  <si>
    <t>PMax Gen</t>
  </si>
  <si>
    <t>Pnew</t>
  </si>
  <si>
    <t>Pdelta</t>
  </si>
  <si>
    <t>Pavail</t>
  </si>
  <si>
    <t>Dfax_1</t>
  </si>
  <si>
    <t>Dfax_2</t>
  </si>
  <si>
    <t>Dfax_3</t>
  </si>
  <si>
    <t>Dfax_4</t>
  </si>
  <si>
    <t>Dfax_5</t>
  </si>
  <si>
    <t>---</t>
  </si>
  <si>
    <t>Impact_1</t>
  </si>
  <si>
    <t>Impact_2</t>
  </si>
  <si>
    <t>Impact_3</t>
  </si>
  <si>
    <t>Impact_4</t>
  </si>
  <si>
    <t>Impact_5</t>
  </si>
  <si>
    <t xml:space="preserve">DIGHTON PWR </t>
  </si>
  <si>
    <t xml:space="preserve">TJA_Dight   </t>
  </si>
  <si>
    <t>KIBBY STRNG1</t>
  </si>
  <si>
    <t>KIBBY STRNG2</t>
  </si>
  <si>
    <t>KIBBY STRNG3</t>
  </si>
  <si>
    <t>KIBBY STRNG4</t>
  </si>
  <si>
    <t>KIBBY W DVAR</t>
  </si>
  <si>
    <t>HARRIS HY T1</t>
  </si>
  <si>
    <t>HARRIS HY T2</t>
  </si>
  <si>
    <t>HARRIS HY T3</t>
  </si>
  <si>
    <t>VERJAY RILEY</t>
  </si>
  <si>
    <t xml:space="preserve">WYMAN HYD#1 </t>
  </si>
  <si>
    <t xml:space="preserve">WYMAN HYD#2 </t>
  </si>
  <si>
    <t xml:space="preserve">WYMAN HYD#3 </t>
  </si>
  <si>
    <t xml:space="preserve">WILLIAMS #1 </t>
  </si>
  <si>
    <t xml:space="preserve">WILLIAMS #2 </t>
  </si>
  <si>
    <t xml:space="preserve">YARMOUTH #3 </t>
  </si>
  <si>
    <t xml:space="preserve">YARMOUTH #4 </t>
  </si>
  <si>
    <t>AEI LIVERMRE</t>
  </si>
  <si>
    <t>SEA STRATTON</t>
  </si>
  <si>
    <t>VERSOCOGEN#1</t>
  </si>
  <si>
    <t>VERSOCOGEN#2</t>
  </si>
  <si>
    <t>VERSOCOGEN#3</t>
  </si>
  <si>
    <t>RUMFORD PA C</t>
  </si>
  <si>
    <t>RUMFORD PA S</t>
  </si>
  <si>
    <t>WESTBROOK C1</t>
  </si>
  <si>
    <t>WESTBROOK C2</t>
  </si>
  <si>
    <t>WESTBROOK ST</t>
  </si>
  <si>
    <t>BUCKSPORT G4</t>
  </si>
  <si>
    <t>RUMF FLS LH1</t>
  </si>
  <si>
    <t>RUMF FLS LH2</t>
  </si>
  <si>
    <t>HYD KENNEBEC</t>
  </si>
  <si>
    <t>RUMF FLS UH4</t>
  </si>
  <si>
    <t>RUMF FLS UH2</t>
  </si>
  <si>
    <t>RUMF FLS UH1</t>
  </si>
  <si>
    <t>NEWPAGE BUS3</t>
  </si>
  <si>
    <t>SAPPI WBRK 9</t>
  </si>
  <si>
    <t>SAPPI WBRK10</t>
  </si>
  <si>
    <t xml:space="preserve">VERSO JAY A </t>
  </si>
  <si>
    <t xml:space="preserve">VERSO JAY B </t>
  </si>
  <si>
    <t>SAPPI SMSTG1</t>
  </si>
  <si>
    <t>SAPPI SMSTG2</t>
  </si>
  <si>
    <t>NEWPAGE COGN</t>
  </si>
  <si>
    <t>VERJAY LVRHY</t>
  </si>
  <si>
    <t>VERJAY JAYHY</t>
  </si>
  <si>
    <t xml:space="preserve">VERJAY OTIS </t>
  </si>
  <si>
    <t xml:space="preserve">VERSO JAY C </t>
  </si>
  <si>
    <t xml:space="preserve">BONNY EAGLE </t>
  </si>
  <si>
    <t xml:space="preserve">HIRAM HYDRO </t>
  </si>
  <si>
    <t xml:space="preserve">ATHENS      </t>
  </si>
  <si>
    <t xml:space="preserve">MONTY HYDRO </t>
  </si>
  <si>
    <t xml:space="preserve">HARRIS HYD4 </t>
  </si>
  <si>
    <t xml:space="preserve">DEER RIPS   </t>
  </si>
  <si>
    <t>SKELTON HYD2</t>
  </si>
  <si>
    <t xml:space="preserve">ECO ME PTRR </t>
  </si>
  <si>
    <t xml:space="preserve">CAPE GT 4   </t>
  </si>
  <si>
    <t xml:space="preserve">CAPE GT 5   </t>
  </si>
  <si>
    <t>WESTON HYDRO</t>
  </si>
  <si>
    <t>MILLER HYDRO</t>
  </si>
  <si>
    <t xml:space="preserve">PEJEPSCOT   </t>
  </si>
  <si>
    <t xml:space="preserve">BRUNSWICK   </t>
  </si>
  <si>
    <t>SKELTON HYD1</t>
  </si>
  <si>
    <t>CATRACT EAST</t>
  </si>
  <si>
    <t>NORTH GORHAM</t>
  </si>
  <si>
    <t>BAR MILLS HY</t>
  </si>
  <si>
    <t>SHAWMUT G1-3</t>
  </si>
  <si>
    <t>SHAWMUT G4-6</t>
  </si>
  <si>
    <t>LOCKWOOD HYD</t>
  </si>
  <si>
    <t>SHAWMUT G7-8</t>
  </si>
  <si>
    <t>W BUXTON HYD</t>
  </si>
  <si>
    <t>AZISCOHOS HY</t>
  </si>
  <si>
    <t xml:space="preserve">SANFORD     </t>
  </si>
  <si>
    <t xml:space="preserve">GULF ISL G1 </t>
  </si>
  <si>
    <t xml:space="preserve">GULF ISL G2 </t>
  </si>
  <si>
    <t xml:space="preserve">GULF ISL G3 </t>
  </si>
  <si>
    <t xml:space="preserve">CASCO BATT  </t>
  </si>
  <si>
    <t xml:space="preserve">ROXWIND_WTG </t>
  </si>
  <si>
    <t>MADP ANSONHY</t>
  </si>
  <si>
    <t>MADP ABNKI 5</t>
  </si>
  <si>
    <t>MADP ABNKI 6</t>
  </si>
  <si>
    <t xml:space="preserve">RCRDHL STR1 </t>
  </si>
  <si>
    <t xml:space="preserve">RCRDHL STR2 </t>
  </si>
  <si>
    <t xml:space="preserve">CANTON      </t>
  </si>
  <si>
    <t>SPRUCEMT WND</t>
  </si>
  <si>
    <t xml:space="preserve">SADLBCK_G   </t>
  </si>
  <si>
    <t xml:space="preserve">BINGHAM G1  </t>
  </si>
  <si>
    <t xml:space="preserve">BINGHAM G2  </t>
  </si>
  <si>
    <t xml:space="preserve">BINGHAM G3  </t>
  </si>
  <si>
    <t xml:space="preserve">BINGHAM G4  </t>
  </si>
  <si>
    <t xml:space="preserve">BINGHAM G5  </t>
  </si>
  <si>
    <t xml:space="preserve">BINGHAM S1  </t>
  </si>
  <si>
    <t xml:space="preserve">SANFORD G1  </t>
  </si>
  <si>
    <t xml:space="preserve">PITTFD_GEN  </t>
  </si>
  <si>
    <t xml:space="preserve">ANDOVER     </t>
  </si>
  <si>
    <t xml:space="preserve">FRMSLR_AGG  </t>
  </si>
  <si>
    <t xml:space="preserve">RICE RIPS   </t>
  </si>
  <si>
    <t>PITTSFIELD_H</t>
  </si>
  <si>
    <t xml:space="preserve">S_WTRVL_D   </t>
  </si>
  <si>
    <t>MECH FLS HYD</t>
  </si>
  <si>
    <t>STSN_CL1 AGG</t>
  </si>
  <si>
    <t>STSN_CL2 AGG</t>
  </si>
  <si>
    <t>STSN_CL3 AGG</t>
  </si>
  <si>
    <t xml:space="preserve">MIS G1      </t>
  </si>
  <si>
    <t xml:space="preserve">MIS G2      </t>
  </si>
  <si>
    <t xml:space="preserve">MIS ST      </t>
  </si>
  <si>
    <t xml:space="preserve">PERC        </t>
  </si>
  <si>
    <t xml:space="preserve">INDECK 5GT  </t>
  </si>
  <si>
    <t>WEST ENFIELD</t>
  </si>
  <si>
    <t xml:space="preserve">INDECK 6GT  </t>
  </si>
  <si>
    <t xml:space="preserve">PPL MILFORD </t>
  </si>
  <si>
    <t xml:space="preserve">OT MILL_ST  </t>
  </si>
  <si>
    <t>ELLSWRTH HYD</t>
  </si>
  <si>
    <t>ROLNS C1 AGG</t>
  </si>
  <si>
    <t>ROLNS C2 AGG</t>
  </si>
  <si>
    <t>DOLBY HYDRO8</t>
  </si>
  <si>
    <t>WELDON HYDRO</t>
  </si>
  <si>
    <t>MILLNKT HY18</t>
  </si>
  <si>
    <t>MILLNKT HY25</t>
  </si>
  <si>
    <t>HANCOCK_DVAR</t>
  </si>
  <si>
    <t>EMILLNCKT HY</t>
  </si>
  <si>
    <t xml:space="preserve">DOLBY HYDRO </t>
  </si>
  <si>
    <t xml:space="preserve">MCKAY GEN1  </t>
  </si>
  <si>
    <t xml:space="preserve">MCKAY GEN2  </t>
  </si>
  <si>
    <t xml:space="preserve">MCKAY GEN3  </t>
  </si>
  <si>
    <t>BULL HIL WND</t>
  </si>
  <si>
    <t>NORTHTWIN HY</t>
  </si>
  <si>
    <t xml:space="preserve">OAKFIELD_SC </t>
  </si>
  <si>
    <t>OAKFIELD_STR</t>
  </si>
  <si>
    <t>PISG_GEN_EQV</t>
  </si>
  <si>
    <t>PASSADGENAG1</t>
  </si>
  <si>
    <t>PASSADGENAG2</t>
  </si>
  <si>
    <t>PASSAD CDVAR</t>
  </si>
  <si>
    <t>HANCOCK_AGC1</t>
  </si>
  <si>
    <t>HANCOCK_AGC2</t>
  </si>
  <si>
    <t>GRANITE DVAR</t>
  </si>
  <si>
    <t xml:space="preserve">GRANITE_DIX </t>
  </si>
  <si>
    <t>GW_FSH_AG 9A</t>
  </si>
  <si>
    <t xml:space="preserve">GW_FSH_T33L </t>
  </si>
  <si>
    <t xml:space="preserve">GW_FSH_T31L </t>
  </si>
  <si>
    <t xml:space="preserve">GW_FSH_T32L </t>
  </si>
  <si>
    <t xml:space="preserve">GRAN OWLAG  </t>
  </si>
  <si>
    <t xml:space="preserve">GW_OWL_T16L </t>
  </si>
  <si>
    <t xml:space="preserve">GW_OWL_T15L </t>
  </si>
  <si>
    <t xml:space="preserve">GW_OWL_T14L </t>
  </si>
  <si>
    <t xml:space="preserve">GW_OWL_T13L </t>
  </si>
  <si>
    <t xml:space="preserve">GW_OWL_T12L </t>
  </si>
  <si>
    <t xml:space="preserve">GW_OWL_T11L </t>
  </si>
  <si>
    <t xml:space="preserve">GW_OWL_T10L </t>
  </si>
  <si>
    <t xml:space="preserve">GW_OWL_T09L </t>
  </si>
  <si>
    <t xml:space="preserve">GW_OWL_T08L </t>
  </si>
  <si>
    <t xml:space="preserve">SMITH HYDRO </t>
  </si>
  <si>
    <t xml:space="preserve">PONTOOK HYD </t>
  </si>
  <si>
    <t xml:space="preserve">BURGESS GEN </t>
  </si>
  <si>
    <t>GLAKES BERLN</t>
  </si>
  <si>
    <t>GORHAM HYDRO</t>
  </si>
  <si>
    <t xml:space="preserve">JERICHO     </t>
  </si>
  <si>
    <t xml:space="preserve">LOST NATION </t>
  </si>
  <si>
    <t xml:space="preserve">BETHLEHEM   </t>
  </si>
  <si>
    <t>WHITEFLD P&amp;L</t>
  </si>
  <si>
    <t>SACO VLY_SC1</t>
  </si>
  <si>
    <t>SACO VLY_SC2</t>
  </si>
  <si>
    <t>WHITELAKE_JT</t>
  </si>
  <si>
    <t>TAMWORTH GEN</t>
  </si>
  <si>
    <t xml:space="preserve">GROTON G1   </t>
  </si>
  <si>
    <t xml:space="preserve">GROTON G2   </t>
  </si>
  <si>
    <t xml:space="preserve">GROTON DVAR </t>
  </si>
  <si>
    <t xml:space="preserve">BRIDGEWATER </t>
  </si>
  <si>
    <t>ALEXANDRIA_G</t>
  </si>
  <si>
    <t>AYERS ISLAND</t>
  </si>
  <si>
    <t>EASTMAN FALS</t>
  </si>
  <si>
    <t xml:space="preserve">LACONIA     </t>
  </si>
  <si>
    <t>HEMPHILL PWR</t>
  </si>
  <si>
    <t>LEMP_STRING1</t>
  </si>
  <si>
    <t>LEMP_STRING2</t>
  </si>
  <si>
    <t>FARMWOOD_SC1</t>
  </si>
  <si>
    <t>FARMWOOD_SC2</t>
  </si>
  <si>
    <t xml:space="preserve">WES CONCORD </t>
  </si>
  <si>
    <t xml:space="preserve">GARVINS HYD </t>
  </si>
  <si>
    <t xml:space="preserve">HOOKSET HYD </t>
  </si>
  <si>
    <t>MERRIMACK_G1</t>
  </si>
  <si>
    <t>MERRIMACK_G2</t>
  </si>
  <si>
    <t>MERRIMACK_CT</t>
  </si>
  <si>
    <t>ROCH LANDFIL</t>
  </si>
  <si>
    <t xml:space="preserve">SCHILLER_G4 </t>
  </si>
  <si>
    <t xml:space="preserve">SCHILLER_G5 </t>
  </si>
  <si>
    <t xml:space="preserve">SCHILLER_G6 </t>
  </si>
  <si>
    <t>SCHILLER JET</t>
  </si>
  <si>
    <t>NEWINGTON_G1</t>
  </si>
  <si>
    <t>NEWINGTON_C1</t>
  </si>
  <si>
    <t>NEWINGTON_C2</t>
  </si>
  <si>
    <t>NEWINGTON_S1</t>
  </si>
  <si>
    <t xml:space="preserve">SEABROOK_G1 </t>
  </si>
  <si>
    <t>GRANITE R ST</t>
  </si>
  <si>
    <t xml:space="preserve">AMOSKEAG N. </t>
  </si>
  <si>
    <t xml:space="preserve">AMOSKEAG S. </t>
  </si>
  <si>
    <t xml:space="preserve">JACKMAN HYD </t>
  </si>
  <si>
    <t xml:space="preserve">ANTRIM GSU  </t>
  </si>
  <si>
    <t xml:space="preserve">MINES FALLS </t>
  </si>
  <si>
    <t>SLAYTON HIL1</t>
  </si>
  <si>
    <t>COMERFORD G1</t>
  </si>
  <si>
    <t>COMERFORD G2</t>
  </si>
  <si>
    <t>COMERFORD G3</t>
  </si>
  <si>
    <t>COMERFORD G4</t>
  </si>
  <si>
    <t xml:space="preserve">MOORE G1    </t>
  </si>
  <si>
    <t xml:space="preserve">MOORE G2    </t>
  </si>
  <si>
    <t xml:space="preserve">MOORE G3    </t>
  </si>
  <si>
    <t xml:space="preserve">MOORE G4    </t>
  </si>
  <si>
    <t>MCINDOES FLS</t>
  </si>
  <si>
    <t>GRANITE RDG1</t>
  </si>
  <si>
    <t>GRANITE RDG2</t>
  </si>
  <si>
    <t>HG_CONVRTR_S</t>
  </si>
  <si>
    <t>HG_CONVRTR_N</t>
  </si>
  <si>
    <t xml:space="preserve">GEORGIA MTN </t>
  </si>
  <si>
    <t>BED_WINOOSKI</t>
  </si>
  <si>
    <t>BURLINGTN_GT</t>
  </si>
  <si>
    <t xml:space="preserve">GORGE GT    </t>
  </si>
  <si>
    <t xml:space="preserve">ASCUTNEY GT </t>
  </si>
  <si>
    <t xml:space="preserve">SWANTON GT  </t>
  </si>
  <si>
    <t>BERLIN VT_GT</t>
  </si>
  <si>
    <t>SHEFLD CLR-N</t>
  </si>
  <si>
    <t>SHEFLD CLR-S</t>
  </si>
  <si>
    <t xml:space="preserve">KINGDOM_GEN </t>
  </si>
  <si>
    <t>STRATTON_SC1</t>
  </si>
  <si>
    <t>STRATTON_SC2</t>
  </si>
  <si>
    <t xml:space="preserve">BELDENS     </t>
  </si>
  <si>
    <t xml:space="preserve">HUNTINGTON  </t>
  </si>
  <si>
    <t xml:space="preserve">PROCTOR HYD </t>
  </si>
  <si>
    <t xml:space="preserve">BELDENS1    </t>
  </si>
  <si>
    <t xml:space="preserve">GORGE_HYDRO </t>
  </si>
  <si>
    <t>ESSEX DIESLS</t>
  </si>
  <si>
    <t xml:space="preserve">ESSEX HYDRO </t>
  </si>
  <si>
    <t>VERGENNES GN</t>
  </si>
  <si>
    <t>CARVER FALLS</t>
  </si>
  <si>
    <t xml:space="preserve">GLEN HYDRO  </t>
  </si>
  <si>
    <t xml:space="preserve">RUTLAND GT  </t>
  </si>
  <si>
    <t>RUT GT_D1_CR</t>
  </si>
  <si>
    <t xml:space="preserve">DODGE FALLS </t>
  </si>
  <si>
    <t>BOLTON FALLS</t>
  </si>
  <si>
    <t xml:space="preserve">LTTLE RIVER </t>
  </si>
  <si>
    <t xml:space="preserve">E PITTSFORD </t>
  </si>
  <si>
    <t xml:space="preserve">PATCH HYDRO </t>
  </si>
  <si>
    <t xml:space="preserve">MORETOWN    </t>
  </si>
  <si>
    <t xml:space="preserve">MIDDLESEX_G </t>
  </si>
  <si>
    <t xml:space="preserve">SALISBURY   </t>
  </si>
  <si>
    <t>WDANVILLE HY</t>
  </si>
  <si>
    <t xml:space="preserve">SILVERLAKE  </t>
  </si>
  <si>
    <t xml:space="preserve">MARSHFIELD  </t>
  </si>
  <si>
    <t>MIDDLEBURY_H</t>
  </si>
  <si>
    <t xml:space="preserve">BARNET_D    </t>
  </si>
  <si>
    <t xml:space="preserve">WEYBRDGE    </t>
  </si>
  <si>
    <t xml:space="preserve">SMITH FALLS </t>
  </si>
  <si>
    <t xml:space="preserve">BATH        </t>
  </si>
  <si>
    <t xml:space="preserve">DEWEY MILLS </t>
  </si>
  <si>
    <t xml:space="preserve">NO HARTLAND </t>
  </si>
  <si>
    <t xml:space="preserve">TAFTSVL_GEN </t>
  </si>
  <si>
    <t>CAVENDISH_D2</t>
  </si>
  <si>
    <t xml:space="preserve">COOL_PV_GEN </t>
  </si>
  <si>
    <t xml:space="preserve">JC MCNEIL   </t>
  </si>
  <si>
    <t>RYEGATE WOOD</t>
  </si>
  <si>
    <t xml:space="preserve">GRANITE SC1 </t>
  </si>
  <si>
    <t xml:space="preserve">GRANITE SC2 </t>
  </si>
  <si>
    <t>PETERSON_GEN</t>
  </si>
  <si>
    <t xml:space="preserve">CLARK FALLS </t>
  </si>
  <si>
    <t>FAIRFAX FALS</t>
  </si>
  <si>
    <t xml:space="preserve">MILTON_G    </t>
  </si>
  <si>
    <t>COVENTRY_GEN</t>
  </si>
  <si>
    <t xml:space="preserve">EAST BARNET </t>
  </si>
  <si>
    <t xml:space="preserve">GAGE        </t>
  </si>
  <si>
    <t xml:space="preserve">PASSUMPSIC  </t>
  </si>
  <si>
    <t>ARNOLD FALLS</t>
  </si>
  <si>
    <t>PIERCE MILLS</t>
  </si>
  <si>
    <t xml:space="preserve">NEWPORT HY  </t>
  </si>
  <si>
    <t xml:space="preserve">SHELDON_G1  </t>
  </si>
  <si>
    <t xml:space="preserve">SHELDON_G2  </t>
  </si>
  <si>
    <t xml:space="preserve">SHELDON_G3  </t>
  </si>
  <si>
    <t>SEARS WIND_E</t>
  </si>
  <si>
    <t>SEARS WIND_W</t>
  </si>
  <si>
    <t xml:space="preserve">KCW_JAY_SC1 </t>
  </si>
  <si>
    <t>DRFLD EAST G</t>
  </si>
  <si>
    <t>DRFLD WEST G</t>
  </si>
  <si>
    <t xml:space="preserve">HARRIMAN G3 </t>
  </si>
  <si>
    <t xml:space="preserve">HARRIMAN G2 </t>
  </si>
  <si>
    <t xml:space="preserve">HARRIMAN G1 </t>
  </si>
  <si>
    <t xml:space="preserve">SEARS HYDRO </t>
  </si>
  <si>
    <t>VERNON HYD A</t>
  </si>
  <si>
    <t>VERNON HYD B</t>
  </si>
  <si>
    <t>VERNON HY T1</t>
  </si>
  <si>
    <t>VERNON HY T2</t>
  </si>
  <si>
    <t>BELLOWS FALS</t>
  </si>
  <si>
    <t xml:space="preserve">WILDER      </t>
  </si>
  <si>
    <t xml:space="preserve">W MEDWAY J2 </t>
  </si>
  <si>
    <t>W MEDWAY JET</t>
  </si>
  <si>
    <t>MATEP_DIESEL</t>
  </si>
  <si>
    <t xml:space="preserve">MATEP_CC    </t>
  </si>
  <si>
    <t xml:space="preserve">MATEP 3     </t>
  </si>
  <si>
    <t xml:space="preserve">MBTA        </t>
  </si>
  <si>
    <t xml:space="preserve">FRAMINGHAM  </t>
  </si>
  <si>
    <t xml:space="preserve">W MEDWAY J4 </t>
  </si>
  <si>
    <t xml:space="preserve">W MEDWAY J5 </t>
  </si>
  <si>
    <t xml:space="preserve">W MEDWAY J3 </t>
  </si>
  <si>
    <t>NEA BELL GT1</t>
  </si>
  <si>
    <t>NEA BELL GT2</t>
  </si>
  <si>
    <t>NEA BELL ST1</t>
  </si>
  <si>
    <t xml:space="preserve">EDGAR ST    </t>
  </si>
  <si>
    <t xml:space="preserve">EDGAR GT1   </t>
  </si>
  <si>
    <t>ANP BLKSTN 1</t>
  </si>
  <si>
    <t>ANP BLKSTN 2</t>
  </si>
  <si>
    <t xml:space="preserve">EDGAR GT2   </t>
  </si>
  <si>
    <t xml:space="preserve">PUTNAM 1    </t>
  </si>
  <si>
    <t>KENDALL ST B</t>
  </si>
  <si>
    <t xml:space="preserve">KENDALL JET </t>
  </si>
  <si>
    <t xml:space="preserve">PUTNAM 2    </t>
  </si>
  <si>
    <t xml:space="preserve">KENDALL CT  </t>
  </si>
  <si>
    <t xml:space="preserve">E CAMBRIDGE </t>
  </si>
  <si>
    <t xml:space="preserve">BW-PV_1     </t>
  </si>
  <si>
    <t xml:space="preserve">BW-PV_2     </t>
  </si>
  <si>
    <t xml:space="preserve">BW-PV_3     </t>
  </si>
  <si>
    <t xml:space="preserve">SEMASS G1   </t>
  </si>
  <si>
    <t xml:space="preserve">SEMASS G2   </t>
  </si>
  <si>
    <t xml:space="preserve">BARNSTABLE  </t>
  </si>
  <si>
    <t>WEST TISBURY</t>
  </si>
  <si>
    <t xml:space="preserve">CANAL G1    </t>
  </si>
  <si>
    <t xml:space="preserve">CANAL G2    </t>
  </si>
  <si>
    <t xml:space="preserve">OAK BLUFFS  </t>
  </si>
  <si>
    <t xml:space="preserve">CANAL 3 CTG </t>
  </si>
  <si>
    <t>DARTMTH PWRA</t>
  </si>
  <si>
    <t>DARTMTH PWRB</t>
  </si>
  <si>
    <t xml:space="preserve">QP624_SC2   </t>
  </si>
  <si>
    <t xml:space="preserve">QP624_SC1   </t>
  </si>
  <si>
    <t xml:space="preserve">QP624-2B    </t>
  </si>
  <si>
    <t xml:space="preserve">QP624-2A    </t>
  </si>
  <si>
    <t xml:space="preserve">QP624-1B    </t>
  </si>
  <si>
    <t xml:space="preserve">QP624-1A    </t>
  </si>
  <si>
    <t xml:space="preserve">TA WATSON 1 </t>
  </si>
  <si>
    <t xml:space="preserve">TA WATSON 2 </t>
  </si>
  <si>
    <t xml:space="preserve">POTTER 2 CT </t>
  </si>
  <si>
    <t xml:space="preserve">POTTER 2 ST </t>
  </si>
  <si>
    <t>DaymarkGe~43</t>
  </si>
  <si>
    <t>DaymarkGe~42</t>
  </si>
  <si>
    <t>PLEASANT-NEP</t>
  </si>
  <si>
    <t xml:space="preserve">PALMER      </t>
  </si>
  <si>
    <t xml:space="preserve">BARRE MA T1 </t>
  </si>
  <si>
    <t xml:space="preserve">WENDELL DEP </t>
  </si>
  <si>
    <t xml:space="preserve">BEARSWAMP 1 </t>
  </si>
  <si>
    <t xml:space="preserve">BEARSWAMP 2 </t>
  </si>
  <si>
    <t>DEERFIELD 2G</t>
  </si>
  <si>
    <t>DEERFIELD 3G</t>
  </si>
  <si>
    <t>DEERFIELD 4G</t>
  </si>
  <si>
    <t>DEERFIELD 5G</t>
  </si>
  <si>
    <t xml:space="preserve">FIFE BROOK  </t>
  </si>
  <si>
    <t xml:space="preserve">SHERMAN HYD </t>
  </si>
  <si>
    <t xml:space="preserve">HOOSAC CLR1 </t>
  </si>
  <si>
    <t xml:space="preserve">HOOSAC CLR2 </t>
  </si>
  <si>
    <t xml:space="preserve">WARREN_A    </t>
  </si>
  <si>
    <t xml:space="preserve">WARREN_B    </t>
  </si>
  <si>
    <t xml:space="preserve">WARREN_C    </t>
  </si>
  <si>
    <t xml:space="preserve">VUELTA_GEN  </t>
  </si>
  <si>
    <t xml:space="preserve">OLD_WARDOUR </t>
  </si>
  <si>
    <t xml:space="preserve">SOLTERRA A  </t>
  </si>
  <si>
    <t xml:space="preserve">SOLTERRA B  </t>
  </si>
  <si>
    <t xml:space="preserve">OAKDALE_A53 </t>
  </si>
  <si>
    <t xml:space="preserve">FITCH RD1   </t>
  </si>
  <si>
    <t xml:space="preserve">FITCH RD2   </t>
  </si>
  <si>
    <t>SNOW STREET2</t>
  </si>
  <si>
    <t>WMI MILLBURY</t>
  </si>
  <si>
    <t>MILLENIUM CT</t>
  </si>
  <si>
    <t>MILLENIUM ST</t>
  </si>
  <si>
    <t xml:space="preserve">FRENCH_B1   </t>
  </si>
  <si>
    <t xml:space="preserve">FRENCH_A1   </t>
  </si>
  <si>
    <t xml:space="preserve">FRENCH_A2   </t>
  </si>
  <si>
    <t xml:space="preserve">QP698       </t>
  </si>
  <si>
    <t xml:space="preserve">CHINOOK_PV  </t>
  </si>
  <si>
    <t>PINETREE PWR</t>
  </si>
  <si>
    <t xml:space="preserve">PRINCETON   </t>
  </si>
  <si>
    <t xml:space="preserve">STERLING T2 </t>
  </si>
  <si>
    <t xml:space="preserve">SHREWSBRY   </t>
  </si>
  <si>
    <t>CHERRYST DSL</t>
  </si>
  <si>
    <t xml:space="preserve">PERRY ST 3  </t>
  </si>
  <si>
    <t xml:space="preserve">LENERGIA CT </t>
  </si>
  <si>
    <t xml:space="preserve">LENERGIA ST </t>
  </si>
  <si>
    <t>MALDEN MLS_T</t>
  </si>
  <si>
    <t>LAWRENCE HYD</t>
  </si>
  <si>
    <t>WHLABRATR NA</t>
  </si>
  <si>
    <t>OGDEN-MARTIN</t>
  </si>
  <si>
    <t xml:space="preserve">BOOT HYD G1 </t>
  </si>
  <si>
    <t xml:space="preserve">BOOT HYD G2 </t>
  </si>
  <si>
    <t>RESCO-SAUGUS</t>
  </si>
  <si>
    <t>GE RIVER R&amp;T</t>
  </si>
  <si>
    <t>GE RIVER S&amp;U</t>
  </si>
  <si>
    <t xml:space="preserve">SALEM 5CT   </t>
  </si>
  <si>
    <t xml:space="preserve">SALEM 5ST   </t>
  </si>
  <si>
    <t xml:space="preserve">SALEM 6CT   </t>
  </si>
  <si>
    <t xml:space="preserve">SALEM 6ST   </t>
  </si>
  <si>
    <t>WATERS RVRJ1</t>
  </si>
  <si>
    <t>WATERS RVRJ2</t>
  </si>
  <si>
    <t xml:space="preserve">MMWEC WR    </t>
  </si>
  <si>
    <t>MARBLEHEAD A</t>
  </si>
  <si>
    <t>MARBLEHEAD B</t>
  </si>
  <si>
    <t>MILFRD MA CT</t>
  </si>
  <si>
    <t>MILFRD MA ST</t>
  </si>
  <si>
    <t>ANP BLLNGHM1</t>
  </si>
  <si>
    <t>ANP BLLNGHM2</t>
  </si>
  <si>
    <t>CLEARY G8-9A</t>
  </si>
  <si>
    <t xml:space="preserve">CLEARY G9   </t>
  </si>
  <si>
    <t xml:space="preserve">BUNKER CTG  </t>
  </si>
  <si>
    <t xml:space="preserve">BUNKER BESS </t>
  </si>
  <si>
    <t>NORTHFIELD 1</t>
  </si>
  <si>
    <t>NORTHFIELD 2</t>
  </si>
  <si>
    <t>NORTHFIELD 3</t>
  </si>
  <si>
    <t>NORTHFIELD 4</t>
  </si>
  <si>
    <t>STONY BRK 1A</t>
  </si>
  <si>
    <t>STONY BRK 1B</t>
  </si>
  <si>
    <t>STONY BRK 1C</t>
  </si>
  <si>
    <t>STONY BRK 1S</t>
  </si>
  <si>
    <t>STONY BRK 2A</t>
  </si>
  <si>
    <t>STONY BRK 2B</t>
  </si>
  <si>
    <t xml:space="preserve">ORCHARD     </t>
  </si>
  <si>
    <t xml:space="preserve">MONSANTO_C1 </t>
  </si>
  <si>
    <t xml:space="preserve">MONSANTO_S1 </t>
  </si>
  <si>
    <t xml:space="preserve">MONSANTO_C2 </t>
  </si>
  <si>
    <t>HADLEY FALLS</t>
  </si>
  <si>
    <t>FRONT STREET</t>
  </si>
  <si>
    <t>W-SPRNGFLD-1</t>
  </si>
  <si>
    <t>W-SPRNGFLD-2</t>
  </si>
  <si>
    <t>W-SPRNGFLD-3</t>
  </si>
  <si>
    <t>SPGFLD RFUSE</t>
  </si>
  <si>
    <t xml:space="preserve">BERKSHRE_G1 </t>
  </si>
  <si>
    <t xml:space="preserve">COBBLE MT_G </t>
  </si>
  <si>
    <t xml:space="preserve">TILSON-1044 </t>
  </si>
  <si>
    <t xml:space="preserve">TILSON-1113 </t>
  </si>
  <si>
    <t>TURNERS FALS</t>
  </si>
  <si>
    <t xml:space="preserve">CABOT HYDRO </t>
  </si>
  <si>
    <t xml:space="preserve">DOREEN JET  </t>
  </si>
  <si>
    <t xml:space="preserve">ALTRESCO_C1 </t>
  </si>
  <si>
    <t xml:space="preserve">ALTRESCO_C2 </t>
  </si>
  <si>
    <t xml:space="preserve">ALTRESCO_C3 </t>
  </si>
  <si>
    <t xml:space="preserve">ALTRESCO_S4 </t>
  </si>
  <si>
    <t>BERKSHRE WND</t>
  </si>
  <si>
    <t>WOODLAND JET</t>
  </si>
  <si>
    <t>INDIAN RIVER</t>
  </si>
  <si>
    <t>OCEAN ST GT1</t>
  </si>
  <si>
    <t>OCEAN ST GT2</t>
  </si>
  <si>
    <t>OCEAN ST ST1</t>
  </si>
  <si>
    <t>OCEAN ST GT3</t>
  </si>
  <si>
    <t>OCEAN ST GT4</t>
  </si>
  <si>
    <t>OCEAN ST ST2</t>
  </si>
  <si>
    <t>MANCHSTR 09A</t>
  </si>
  <si>
    <t>MANCHSTR 10A</t>
  </si>
  <si>
    <t>MANCHSTR 11A</t>
  </si>
  <si>
    <t>FRNKLNSQ SC1</t>
  </si>
  <si>
    <t>FRNKLNSQ SC2</t>
  </si>
  <si>
    <t>FRNKLNSQ SC3</t>
  </si>
  <si>
    <t xml:space="preserve">TIVERTON GT </t>
  </si>
  <si>
    <t xml:space="preserve">TIVERTON ST </t>
  </si>
  <si>
    <t xml:space="preserve">RISE CT1    </t>
  </si>
  <si>
    <t xml:space="preserve">RISE ST     </t>
  </si>
  <si>
    <t xml:space="preserve">RISE CT2    </t>
  </si>
  <si>
    <t>J LANDFIL P2</t>
  </si>
  <si>
    <t>RIDGEWOOD LD</t>
  </si>
  <si>
    <t xml:space="preserve">RI_WED_GEN  </t>
  </si>
  <si>
    <t xml:space="preserve">RI WED G2   </t>
  </si>
  <si>
    <t>BLK ISL WIND</t>
  </si>
  <si>
    <t xml:space="preserve">J_LANDF_L   </t>
  </si>
  <si>
    <t>S-SKY-2228_L</t>
  </si>
  <si>
    <t xml:space="preserve">S-SKY-WCR_L </t>
  </si>
  <si>
    <t xml:space="preserve">STSK_GEN    </t>
  </si>
  <si>
    <t>HOPE_0.385KV</t>
  </si>
  <si>
    <t>LAKE ROAD_C1</t>
  </si>
  <si>
    <t>LAKE ROAD_C2</t>
  </si>
  <si>
    <t>LAKE ROAD_C3</t>
  </si>
  <si>
    <t xml:space="preserve">QP724 CT    </t>
  </si>
  <si>
    <t xml:space="preserve">QP724 ST    </t>
  </si>
  <si>
    <t>WOODSHILL_PV</t>
  </si>
  <si>
    <t xml:space="preserve">QB_GEN      </t>
  </si>
  <si>
    <t>CONSTITUTION</t>
  </si>
  <si>
    <t xml:space="preserve">PLAINFIELD  </t>
  </si>
  <si>
    <t xml:space="preserve">TUNNEL JET  </t>
  </si>
  <si>
    <t xml:space="preserve">FUSION_GEN  </t>
  </si>
  <si>
    <t xml:space="preserve">NORWICH JET </t>
  </si>
  <si>
    <t xml:space="preserve">FOXWOODS G1 </t>
  </si>
  <si>
    <t xml:space="preserve">FOXWOODS G2 </t>
  </si>
  <si>
    <t xml:space="preserve">SECREC      </t>
  </si>
  <si>
    <t>PAWCATCK SLR</t>
  </si>
  <si>
    <t>MONTVILLE_G5</t>
  </si>
  <si>
    <t>MONTVILLE_G6</t>
  </si>
  <si>
    <t xml:space="preserve">MONTVILLE   </t>
  </si>
  <si>
    <t>MILLSTONE_G2</t>
  </si>
  <si>
    <t>MILLSTONE_G3</t>
  </si>
  <si>
    <t xml:space="preserve">UCONN COGEN </t>
  </si>
  <si>
    <t xml:space="preserve">LISBON      </t>
  </si>
  <si>
    <t>RAND WHITNEY</t>
  </si>
  <si>
    <t xml:space="preserve">NUTMEG_G    </t>
  </si>
  <si>
    <t xml:space="preserve">RAINBOW HYD </t>
  </si>
  <si>
    <t xml:space="preserve">HAMILTON GT </t>
  </si>
  <si>
    <t xml:space="preserve">DEXTER CT   </t>
  </si>
  <si>
    <t>RIVERSIDE PF</t>
  </si>
  <si>
    <t xml:space="preserve">S-MEADOW_G5 </t>
  </si>
  <si>
    <t xml:space="preserve">S-MEADOW_G6 </t>
  </si>
  <si>
    <t xml:space="preserve">CDECCA_CT   </t>
  </si>
  <si>
    <t xml:space="preserve">CDECCA_ST   </t>
  </si>
  <si>
    <t xml:space="preserve">KLEEN_C1    </t>
  </si>
  <si>
    <t xml:space="preserve">KLEEN_C2    </t>
  </si>
  <si>
    <t xml:space="preserve">KLEEN_S1    </t>
  </si>
  <si>
    <t>MIDDLETWN_G2</t>
  </si>
  <si>
    <t>MIDDLETWN_G3</t>
  </si>
  <si>
    <t>MIDDLETWN_G4</t>
  </si>
  <si>
    <t>MIDDLETWN_10</t>
  </si>
  <si>
    <t>MIDDLETWN_12</t>
  </si>
  <si>
    <t>MIDDLETWN_13</t>
  </si>
  <si>
    <t>MIDDLETWN_14</t>
  </si>
  <si>
    <t>MIDDLETWN_15</t>
  </si>
  <si>
    <t>SIMSBURY SLR</t>
  </si>
  <si>
    <t xml:space="preserve">FRANKLIN DR </t>
  </si>
  <si>
    <t>TORRINGTON T</t>
  </si>
  <si>
    <t>FALLS VILLGE</t>
  </si>
  <si>
    <t xml:space="preserve">FORESTVILLE </t>
  </si>
  <si>
    <t>BRANFORD JET</t>
  </si>
  <si>
    <t>WALLINGFRDG1</t>
  </si>
  <si>
    <t>WALLINGFRDG2</t>
  </si>
  <si>
    <t>WALLINGFRDG3</t>
  </si>
  <si>
    <t>WALLINGFRDG4</t>
  </si>
  <si>
    <t>WALLINGFRDG5</t>
  </si>
  <si>
    <t>WALLINGFRDG6</t>
  </si>
  <si>
    <t>WALLINGFRDG7</t>
  </si>
  <si>
    <t xml:space="preserve">DEVON #10   </t>
  </si>
  <si>
    <t xml:space="preserve">DEVON #11   </t>
  </si>
  <si>
    <t xml:space="preserve">DEVON #12   </t>
  </si>
  <si>
    <t xml:space="preserve">DEVON #13   </t>
  </si>
  <si>
    <t xml:space="preserve">DEVON #14   </t>
  </si>
  <si>
    <t>DEVON #15-16</t>
  </si>
  <si>
    <t>DEVON #17-18</t>
  </si>
  <si>
    <t xml:space="preserve">MILFORD_C1  </t>
  </si>
  <si>
    <t xml:space="preserve">MILFORD_C2  </t>
  </si>
  <si>
    <t xml:space="preserve">A.L. PIERCE </t>
  </si>
  <si>
    <t xml:space="preserve">WATERBURY_G </t>
  </si>
  <si>
    <t xml:space="preserve">TOWANTIC C1 </t>
  </si>
  <si>
    <t xml:space="preserve">TOWANTIC C2 </t>
  </si>
  <si>
    <t xml:space="preserve">TOWANTIC ST </t>
  </si>
  <si>
    <t>STEVENSON HY</t>
  </si>
  <si>
    <t>BULLS BRIDGE</t>
  </si>
  <si>
    <t xml:space="preserve">ROCKY RIVER </t>
  </si>
  <si>
    <t>KIMB CLARK_G</t>
  </si>
  <si>
    <t xml:space="preserve">SHEPAUG HYD </t>
  </si>
  <si>
    <t>STONY HIL_SC</t>
  </si>
  <si>
    <t>GLENBROOK_S1</t>
  </si>
  <si>
    <t>GLENBROOK_S2</t>
  </si>
  <si>
    <t xml:space="preserve">WATERSIDE_G </t>
  </si>
  <si>
    <t xml:space="preserve">COSCOB_GEN  </t>
  </si>
  <si>
    <t xml:space="preserve">YALE DG 1   </t>
  </si>
  <si>
    <t xml:space="preserve">YALE DG 2   </t>
  </si>
  <si>
    <t>DERBY DAM HY</t>
  </si>
  <si>
    <t xml:space="preserve">SIKORSKY    </t>
  </si>
  <si>
    <t>BRPT HRBR 5C</t>
  </si>
  <si>
    <t>BRPT HRBR 5S</t>
  </si>
  <si>
    <t xml:space="preserve">HALVARSSON  </t>
  </si>
  <si>
    <t>BRPT EN 10ST</t>
  </si>
  <si>
    <t xml:space="preserve">BRPT HRBR 4 </t>
  </si>
  <si>
    <t>BRPT RESCO_G</t>
  </si>
  <si>
    <t>BRPT EN 11CT</t>
  </si>
  <si>
    <t>BRPT EN 12CT</t>
  </si>
  <si>
    <t>NEW HAVN HBR</t>
  </si>
  <si>
    <t xml:space="preserve">NHHP G2     </t>
  </si>
  <si>
    <t xml:space="preserve">NHHP G3-4   </t>
  </si>
  <si>
    <t>DaymarkG~104</t>
  </si>
  <si>
    <t>Daymarkge~31</t>
  </si>
  <si>
    <t>DaymarkGe~24</t>
  </si>
  <si>
    <t>Daymarkge~62</t>
  </si>
  <si>
    <t>DaymarkGe~98</t>
  </si>
  <si>
    <t>DaymarkGe~70</t>
  </si>
  <si>
    <t>DaymarkGe~18</t>
  </si>
  <si>
    <t>DaymarkGe~56</t>
  </si>
  <si>
    <t>DaymarkGe~23</t>
  </si>
  <si>
    <t>Daymarkge~21</t>
  </si>
  <si>
    <t>Daymarkge~86</t>
  </si>
  <si>
    <t>Daymarkge~20</t>
  </si>
  <si>
    <t>DaymarkGe~74</t>
  </si>
  <si>
    <t>Daymarkge~85</t>
  </si>
  <si>
    <t>DaymarkGe~17</t>
  </si>
  <si>
    <t>Daymarkg~102</t>
  </si>
  <si>
    <t>Daymarkge~88</t>
  </si>
  <si>
    <t>DaymarkGen~9</t>
  </si>
  <si>
    <t>DaymarkGe~32</t>
  </si>
  <si>
    <t>Daymark_Fa~1</t>
  </si>
  <si>
    <t>DaymarkGe~38</t>
  </si>
  <si>
    <t>Daymarkge~45</t>
  </si>
  <si>
    <t>Daymarkge~66</t>
  </si>
  <si>
    <t>Daymarkge~67</t>
  </si>
  <si>
    <t>DaymarkGe~15</t>
  </si>
  <si>
    <t>DaymarkGe~76</t>
  </si>
  <si>
    <t>DaymarkGe~65</t>
  </si>
  <si>
    <t>Borrego_Ac~1</t>
  </si>
  <si>
    <t>DaymarkGen~1</t>
  </si>
  <si>
    <t>DaymarkGe~40</t>
  </si>
  <si>
    <t>DaymarkGe~27</t>
  </si>
  <si>
    <t>DaymarkGe~49</t>
  </si>
  <si>
    <t>DaymarkGe~28</t>
  </si>
  <si>
    <t>DaymarkGen~3</t>
  </si>
  <si>
    <t>DaymarkGe~30</t>
  </si>
  <si>
    <t>DaymarkGe~44</t>
  </si>
  <si>
    <t>DaymarkGe~47</t>
  </si>
  <si>
    <t>DaymarkGe~83</t>
  </si>
  <si>
    <t>DaymarkGe~59</t>
  </si>
  <si>
    <t>DaymarkGe~97</t>
  </si>
  <si>
    <t xml:space="preserve">HIGH_DGEN   </t>
  </si>
  <si>
    <t xml:space="preserve">NYNE_GILB   </t>
  </si>
  <si>
    <t xml:space="preserve">PH2_DGEN    </t>
  </si>
  <si>
    <t xml:space="preserve">NYNE_OSWG   </t>
  </si>
  <si>
    <t xml:space="preserve">NYNE_BWLN   </t>
  </si>
  <si>
    <t xml:space="preserve">NBNE_CLCOV  </t>
  </si>
  <si>
    <t xml:space="preserve">QP670-PV    </t>
  </si>
  <si>
    <t>DaymarkGe~82</t>
  </si>
  <si>
    <t>Daymarkge~11</t>
  </si>
  <si>
    <t>Daymarkgen~2</t>
  </si>
  <si>
    <t>DaymarkGe~72</t>
  </si>
  <si>
    <t>DaymarkGe~68</t>
  </si>
  <si>
    <t>DaymarkGe~92</t>
  </si>
  <si>
    <t>DaymarkGen~4</t>
  </si>
  <si>
    <t>Daymarkge~78</t>
  </si>
  <si>
    <t>DaymarkGe~87</t>
  </si>
  <si>
    <t>DaymarkGe~95</t>
  </si>
  <si>
    <t>DaymarkGe~75</t>
  </si>
  <si>
    <t>DaymarkGe~37</t>
  </si>
  <si>
    <t>DaymarkGe~94</t>
  </si>
  <si>
    <t>DaymarkGe~60</t>
  </si>
  <si>
    <t>DaymarkGe~41</t>
  </si>
  <si>
    <t>DaymarkGe~61</t>
  </si>
  <si>
    <t>Daymarkge~58</t>
  </si>
  <si>
    <t>DaymarkGe~79</t>
  </si>
  <si>
    <t>Daymarkge~91</t>
  </si>
  <si>
    <t>DaymarkGe~93</t>
  </si>
  <si>
    <t>Daymarkge~35</t>
  </si>
  <si>
    <t>DaymarkGe~13</t>
  </si>
  <si>
    <t>DaymarkGe~16</t>
  </si>
  <si>
    <t>DaymarkG~103</t>
  </si>
  <si>
    <t>DaymarkGe~71</t>
  </si>
  <si>
    <t>DaymarkGe~12</t>
  </si>
  <si>
    <t>Daymarkge~29</t>
  </si>
  <si>
    <t>DaymarkGe~69</t>
  </si>
  <si>
    <t>Daymarkgen~6</t>
  </si>
  <si>
    <t>Dymarkgen_~1</t>
  </si>
  <si>
    <t>DaymarkGe~84</t>
  </si>
  <si>
    <t>DaymarkGe~39</t>
  </si>
  <si>
    <t>DaymarkGe~54</t>
  </si>
  <si>
    <t>DaymarkGe~99</t>
  </si>
  <si>
    <t>DaymarkGe~81</t>
  </si>
  <si>
    <t>DaymarkGen~7</t>
  </si>
  <si>
    <t>DaymarkGe~34</t>
  </si>
  <si>
    <t>DaymarkGe~51</t>
  </si>
  <si>
    <t>DaymarkGe~53</t>
  </si>
  <si>
    <t>DaymarkGe~90</t>
  </si>
  <si>
    <t>DaymarkGe~26</t>
  </si>
  <si>
    <t>DaymarkG~100</t>
  </si>
  <si>
    <t>DaymarkG~101</t>
  </si>
  <si>
    <t>DaymarkGe~73</t>
  </si>
  <si>
    <t>DaymarkGe~80</t>
  </si>
  <si>
    <t>DaymarkGe~52</t>
  </si>
  <si>
    <t>DaymarkGe~22</t>
  </si>
  <si>
    <t>DaymarkGe~64</t>
  </si>
  <si>
    <t>DaymarkGe~50</t>
  </si>
  <si>
    <t>DaymarkGe~46</t>
  </si>
  <si>
    <t>Daymarkge~36</t>
  </si>
  <si>
    <t>DaymarkGe~55</t>
  </si>
  <si>
    <t>DaymarkGe~96</t>
  </si>
  <si>
    <t>DaymarkGe~77</t>
  </si>
  <si>
    <t>DaymarkGen~8</t>
  </si>
  <si>
    <t>DaymarkGe~63</t>
  </si>
  <si>
    <t>DaymnarkGe~1</t>
  </si>
  <si>
    <t>DaymarkGe~19</t>
  </si>
  <si>
    <t>DaymarkGe~14</t>
  </si>
  <si>
    <t>DaymarkGe~33</t>
  </si>
  <si>
    <t>16738_DG_CON</t>
  </si>
  <si>
    <t>16738_DG_ASH</t>
  </si>
  <si>
    <t>DaymarkGen~5</t>
  </si>
  <si>
    <t>DaymarkGe~25</t>
  </si>
  <si>
    <t>DaymarkGe~48</t>
  </si>
  <si>
    <t xml:space="preserve">NYPA - CMR  </t>
  </si>
  <si>
    <t xml:space="preserve">NYPA - VT   </t>
  </si>
  <si>
    <t>Daym_CHELS~1</t>
  </si>
  <si>
    <t>DaymarkGe~57</t>
  </si>
  <si>
    <t>Daym_ELECT~1</t>
  </si>
  <si>
    <t>Daym_W BAR~1</t>
  </si>
  <si>
    <t>BrookSt_BESS</t>
  </si>
  <si>
    <t>DaymarkGe~89</t>
  </si>
  <si>
    <t>Daym_FALMO~1</t>
  </si>
  <si>
    <t>Daym_WING ~1</t>
  </si>
  <si>
    <t>Daym_MYSTI~2</t>
  </si>
  <si>
    <t>DaymarkGe~10</t>
  </si>
  <si>
    <t>Daym_BRAYT~1</t>
  </si>
  <si>
    <t>Daym_BELL ~1</t>
  </si>
  <si>
    <t xml:space="preserve">Daym_LUDLOW </t>
  </si>
  <si>
    <t>Daym_BUCK ~1</t>
  </si>
  <si>
    <t>Daym_PARTR~1</t>
  </si>
  <si>
    <t>Daym_NASON~1</t>
  </si>
  <si>
    <t>Daym_KILLI~1</t>
  </si>
  <si>
    <t>Daym_BROOK~1</t>
  </si>
  <si>
    <t>Daym_MYSTI~1</t>
  </si>
  <si>
    <t xml:space="preserve">115711 SOMERSET      115  115714 DIGHTON_U6    115  1 </t>
  </si>
  <si>
    <t>BF_BRGWTR_13</t>
  </si>
  <si>
    <t>115711 SOMERSET      115  115714 DIGHTON_U6    115  1</t>
  </si>
  <si>
    <t xml:space="preserve">Base Case </t>
  </si>
  <si>
    <t>LN_327</t>
  </si>
  <si>
    <t>BO_BELL_0320</t>
  </si>
  <si>
    <t>BF_WMDWY_103</t>
  </si>
  <si>
    <t>BF_BERY_2703</t>
  </si>
  <si>
    <t>Dfax_6</t>
  </si>
  <si>
    <t>Impact_6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</si>
</sst>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Courier New"/>
      <family val="3"/>
    </font>
    <font>
      <sz val="10"/>
      <color theme="1"/>
      <name val="Courier New"/>
      <family val="3"/>
    </font>
    <font>
      <sz val="10"/>
      <color rgb="FFFF0000"/>
      <name val="Courier New"/>
      <family val="3"/>
    </font>
  </fonts>
  <fills count="5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164" fontId="2" fillId="2" borderId="5" xfId="0" applyNumberFormat="1" applyFont="1" applyFill="1" applyBorder="1"/>
    <xf numFmtId="165" fontId="2" fillId="2" borderId="6" xfId="0" applyNumberFormat="1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164" fontId="2" fillId="2" borderId="8" xfId="0" applyNumberFormat="1" applyFont="1" applyFill="1" applyBorder="1"/>
    <xf numFmtId="165" fontId="2" fillId="2" borderId="9" xfId="0" applyNumberFormat="1" applyFont="1" applyFill="1" applyBorder="1"/>
    <xf numFmtId="0" fontId="1" fillId="3" borderId="10" xfId="0" applyFont="1" applyFill="1" applyBorder="1"/>
    <xf numFmtId="0" fontId="1" fillId="3" borderId="11" xfId="0" applyFont="1" applyFill="1" applyBorder="1"/>
    <xf numFmtId="0" fontId="1" fillId="4" borderId="11" xfId="0" applyFont="1" applyFill="1" applyBorder="1"/>
    <xf numFmtId="0" fontId="1" fillId="3" borderId="12" xfId="0" applyFont="1" applyFill="1" applyBorder="1"/>
    <xf numFmtId="0" fontId="2" fillId="0" borderId="13" xfId="0" applyFont="1" applyBorder="1"/>
    <xf numFmtId="0" fontId="2" fillId="0" borderId="14" xfId="0" applyFont="1" applyBorder="1"/>
    <xf numFmtId="0" fontId="1" fillId="3" borderId="14" xfId="0" applyFont="1" applyFill="1" applyBorder="1"/>
    <xf numFmtId="0" fontId="2" fillId="0" borderId="15" xfId="0" applyFont="1" applyBorder="1"/>
    <xf numFmtId="0" fontId="2" fillId="0" borderId="16" xfId="0" applyFont="1" applyBorder="1"/>
    <xf numFmtId="0" fontId="2" fillId="0" borderId="17" xfId="0" applyFont="1" applyBorder="1"/>
    <xf numFmtId="0" fontId="1" fillId="3" borderId="17" xfId="0" applyFont="1" applyFill="1" applyBorder="1"/>
    <xf numFmtId="0" fontId="2" fillId="0" borderId="18" xfId="0" applyFont="1" applyBorder="1"/>
    <xf numFmtId="0" fontId="3" fillId="2" borderId="4" xfId="0" applyFont="1" applyFill="1" applyBorder="1"/>
    <xf numFmtId="0" fontId="3" fillId="2" borderId="5" xfId="0" applyFont="1" applyFill="1" applyBorder="1"/>
    <xf numFmtId="164" fontId="3" fillId="2" borderId="5" xfId="0" applyNumberFormat="1" applyFont="1" applyFill="1" applyBorder="1"/>
    <xf numFmtId="165" fontId="3" fillId="2" borderId="6" xfId="0" applyNumberFormat="1" applyFont="1" applyFill="1" applyBorder="1"/>
    <xf numFmtId="0" fontId="3" fillId="0" borderId="0" xfId="0" applyFont="1"/>
  </cellXfs>
  <cellStyles count="1">
    <cellStyle name="Normal" xfId="0" builtinId="0"/>
  </cellStyles>
  <dxfs count="2886"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EED9D-49E1-476A-B73E-138652CE17DE}">
  <dimension ref="A1:X715"/>
  <sheetViews>
    <sheetView workbookViewId="0">
      <pane ySplit="14" topLeftCell="A15" activePane="bottomLeft" state="frozen"/>
      <selection pane="bottomLeft" activeCell="J718" sqref="J718"/>
    </sheetView>
  </sheetViews>
  <sheetFormatPr defaultRowHeight="13" x14ac:dyDescent="0.3"/>
  <cols>
    <col min="1" max="16384" width="8.7265625" style="2"/>
  </cols>
  <sheetData>
    <row r="1" spans="1:24" ht="13.5" x14ac:dyDescent="0.35">
      <c r="A1" s="1" t="s">
        <v>0</v>
      </c>
    </row>
    <row r="3" spans="1:24" ht="14" thickBot="1" x14ac:dyDescent="0.4">
      <c r="A3" s="1" t="s">
        <v>1</v>
      </c>
    </row>
    <row r="4" spans="1:24" ht="13.5" x14ac:dyDescent="0.35">
      <c r="A4" s="3" t="s">
        <v>2</v>
      </c>
      <c r="B4" s="4" t="s">
        <v>3</v>
      </c>
      <c r="C4" s="4" t="s">
        <v>4</v>
      </c>
      <c r="D4" s="4"/>
      <c r="E4" s="4"/>
      <c r="F4" s="4"/>
      <c r="G4" s="4"/>
      <c r="H4" s="4"/>
      <c r="I4" s="4" t="s">
        <v>5</v>
      </c>
      <c r="J4" s="4" t="s">
        <v>6</v>
      </c>
      <c r="K4" s="4" t="s">
        <v>7</v>
      </c>
      <c r="L4" s="4" t="s">
        <v>8</v>
      </c>
      <c r="M4" s="4" t="s">
        <v>9</v>
      </c>
      <c r="N4" s="5" t="s">
        <v>10</v>
      </c>
    </row>
    <row r="5" spans="1:24" x14ac:dyDescent="0.3">
      <c r="A5" s="6">
        <v>1</v>
      </c>
      <c r="B5" s="7"/>
      <c r="C5" s="7" t="s">
        <v>736</v>
      </c>
      <c r="D5" s="7"/>
      <c r="E5" s="7"/>
      <c r="F5" s="7"/>
      <c r="G5" s="7"/>
      <c r="H5" s="7"/>
      <c r="I5" s="7" t="s">
        <v>737</v>
      </c>
      <c r="J5" s="7">
        <v>206</v>
      </c>
      <c r="K5" s="8">
        <v>-9.4</v>
      </c>
      <c r="L5" s="8">
        <f>'PRDcalc (2)'!K5+'PRDcalc (2)'!M5</f>
        <v>-9.4</v>
      </c>
      <c r="M5" s="8">
        <f>S13</f>
        <v>0</v>
      </c>
      <c r="N5" s="9">
        <f>'PRDcalc (2)'!L5/'PRDcalc (2)'!J5</f>
        <v>-4.5631067961165048E-2</v>
      </c>
    </row>
    <row r="6" spans="1:24" x14ac:dyDescent="0.3">
      <c r="A6" s="6">
        <v>2</v>
      </c>
      <c r="B6" s="7"/>
      <c r="C6" s="7" t="s">
        <v>738</v>
      </c>
      <c r="D6" s="7"/>
      <c r="E6" s="7"/>
      <c r="F6" s="7"/>
      <c r="G6" s="7"/>
      <c r="H6" s="7"/>
      <c r="I6" s="7" t="s">
        <v>739</v>
      </c>
      <c r="J6" s="7">
        <v>191</v>
      </c>
      <c r="K6" s="8">
        <v>-28.8</v>
      </c>
      <c r="L6" s="8">
        <f>'PRDcalc (2)'!K6+'PRDcalc (2)'!M6</f>
        <v>-28.8</v>
      </c>
      <c r="M6" s="8">
        <f>T13</f>
        <v>0</v>
      </c>
      <c r="N6" s="9">
        <f>'PRDcalc (2)'!L6/'PRDcalc (2)'!J6</f>
        <v>-0.15078534031413612</v>
      </c>
    </row>
    <row r="7" spans="1:24" x14ac:dyDescent="0.3">
      <c r="A7" s="6">
        <v>3</v>
      </c>
      <c r="B7" s="7"/>
      <c r="C7" s="7" t="s">
        <v>736</v>
      </c>
      <c r="D7" s="7"/>
      <c r="E7" s="7"/>
      <c r="F7" s="7"/>
      <c r="G7" s="7"/>
      <c r="H7" s="7"/>
      <c r="I7" s="7" t="s">
        <v>740</v>
      </c>
      <c r="J7" s="7">
        <v>206</v>
      </c>
      <c r="K7" s="8">
        <v>-7.1</v>
      </c>
      <c r="L7" s="8">
        <f>'PRDcalc (2)'!K7+'PRDcalc (2)'!M7</f>
        <v>-7.1</v>
      </c>
      <c r="M7" s="8">
        <f>U13</f>
        <v>0</v>
      </c>
      <c r="N7" s="9">
        <f>'PRDcalc (2)'!L7/'PRDcalc (2)'!J7</f>
        <v>-3.4466019417475728E-2</v>
      </c>
    </row>
    <row r="8" spans="1:24" x14ac:dyDescent="0.3">
      <c r="A8" s="6">
        <v>4</v>
      </c>
      <c r="B8" s="7"/>
      <c r="C8" s="7" t="s">
        <v>736</v>
      </c>
      <c r="D8" s="7"/>
      <c r="E8" s="7"/>
      <c r="F8" s="7"/>
      <c r="G8" s="7"/>
      <c r="H8" s="7"/>
      <c r="I8" s="7" t="s">
        <v>741</v>
      </c>
      <c r="J8" s="7">
        <v>206</v>
      </c>
      <c r="K8" s="8">
        <v>-0.1</v>
      </c>
      <c r="L8" s="8">
        <f>'PRDcalc (2)'!K8+'PRDcalc (2)'!M8</f>
        <v>-0.1</v>
      </c>
      <c r="M8" s="8">
        <f>V13</f>
        <v>0</v>
      </c>
      <c r="N8" s="9">
        <f>'PRDcalc (2)'!L8/'PRDcalc (2)'!J8</f>
        <v>-4.8543689320388353E-4</v>
      </c>
    </row>
    <row r="9" spans="1:24" x14ac:dyDescent="0.3">
      <c r="A9" s="6">
        <v>5</v>
      </c>
      <c r="B9" s="7"/>
      <c r="C9" s="7" t="s">
        <v>736</v>
      </c>
      <c r="D9" s="7"/>
      <c r="E9" s="7"/>
      <c r="F9" s="7"/>
      <c r="G9" s="7"/>
      <c r="H9" s="7"/>
      <c r="I9" s="7" t="s">
        <v>742</v>
      </c>
      <c r="J9" s="7">
        <v>206</v>
      </c>
      <c r="K9" s="8">
        <v>-4.9000000000000004</v>
      </c>
      <c r="L9" s="8">
        <f>'PRDcalc (2)'!K9+'PRDcalc (2)'!M9</f>
        <v>-4.9000000000000004</v>
      </c>
      <c r="M9" s="8">
        <f>W13</f>
        <v>0</v>
      </c>
      <c r="N9" s="9">
        <f>'PRDcalc (2)'!L9/'PRDcalc (2)'!J9</f>
        <v>-2.3786407766990293E-2</v>
      </c>
    </row>
    <row r="10" spans="1:24" ht="13.5" thickBot="1" x14ac:dyDescent="0.35">
      <c r="A10" s="10">
        <v>6</v>
      </c>
      <c r="B10" s="11"/>
      <c r="C10" s="11" t="s">
        <v>736</v>
      </c>
      <c r="D10" s="11"/>
      <c r="E10" s="11"/>
      <c r="F10" s="11"/>
      <c r="G10" s="11"/>
      <c r="H10" s="11"/>
      <c r="I10" s="11" t="s">
        <v>743</v>
      </c>
      <c r="J10" s="11">
        <v>206</v>
      </c>
      <c r="K10" s="12">
        <v>-7.7</v>
      </c>
      <c r="L10" s="12">
        <f>'PRDcalc (2)'!K10+'PRDcalc (2)'!M10</f>
        <v>-7.7</v>
      </c>
      <c r="M10" s="12">
        <f>X13</f>
        <v>0</v>
      </c>
      <c r="N10" s="13">
        <f>'PRDcalc (2)'!L10/'PRDcalc (2)'!J10</f>
        <v>-3.7378640776699029E-2</v>
      </c>
    </row>
    <row r="13" spans="1:24" ht="14" thickBot="1" x14ac:dyDescent="0.4">
      <c r="A13" s="1" t="s">
        <v>17</v>
      </c>
      <c r="J13" s="2">
        <f>SUM(J15:J715)</f>
        <v>0</v>
      </c>
      <c r="S13" s="2">
        <f t="shared" ref="S13:X13" si="0">SUM(S15:S715)</f>
        <v>0</v>
      </c>
      <c r="T13" s="2">
        <f t="shared" si="0"/>
        <v>0</v>
      </c>
      <c r="U13" s="2">
        <f t="shared" si="0"/>
        <v>0</v>
      </c>
      <c r="V13" s="2">
        <f t="shared" si="0"/>
        <v>0</v>
      </c>
      <c r="W13" s="2">
        <f t="shared" si="0"/>
        <v>0</v>
      </c>
      <c r="X13" s="2">
        <f t="shared" si="0"/>
        <v>0</v>
      </c>
    </row>
    <row r="14" spans="1:24" s="1" customFormat="1" ht="14" thickBot="1" x14ac:dyDescent="0.4">
      <c r="A14" s="14" t="s">
        <v>18</v>
      </c>
      <c r="B14" s="15" t="s">
        <v>19</v>
      </c>
      <c r="C14" s="15" t="s">
        <v>20</v>
      </c>
      <c r="D14" s="15" t="s">
        <v>21</v>
      </c>
      <c r="E14" s="15" t="s">
        <v>22</v>
      </c>
      <c r="F14" s="15" t="s">
        <v>23</v>
      </c>
      <c r="G14" s="15" t="s">
        <v>24</v>
      </c>
      <c r="H14" s="15" t="s">
        <v>25</v>
      </c>
      <c r="I14" s="16" t="s">
        <v>26</v>
      </c>
      <c r="J14" s="15" t="s">
        <v>27</v>
      </c>
      <c r="K14" s="15" t="s">
        <v>28</v>
      </c>
      <c r="L14" s="15" t="s">
        <v>29</v>
      </c>
      <c r="M14" s="15" t="s">
        <v>30</v>
      </c>
      <c r="N14" s="15" t="s">
        <v>31</v>
      </c>
      <c r="O14" s="15" t="s">
        <v>32</v>
      </c>
      <c r="P14" s="15" t="s">
        <v>33</v>
      </c>
      <c r="Q14" s="15" t="s">
        <v>744</v>
      </c>
      <c r="R14" s="15" t="s">
        <v>34</v>
      </c>
      <c r="S14" s="15" t="s">
        <v>35</v>
      </c>
      <c r="T14" s="15" t="s">
        <v>36</v>
      </c>
      <c r="U14" s="15" t="s">
        <v>37</v>
      </c>
      <c r="V14" s="15" t="s">
        <v>38</v>
      </c>
      <c r="W14" s="15" t="s">
        <v>39</v>
      </c>
      <c r="X14" s="17" t="s">
        <v>745</v>
      </c>
    </row>
    <row r="15" spans="1:24" ht="13.5" x14ac:dyDescent="0.35">
      <c r="A15" s="18">
        <v>917355</v>
      </c>
      <c r="B15" s="19" t="s">
        <v>694</v>
      </c>
      <c r="C15" s="19">
        <v>115</v>
      </c>
      <c r="D15" s="19">
        <v>101</v>
      </c>
      <c r="E15" s="19">
        <v>1410</v>
      </c>
      <c r="F15" s="19">
        <v>11.8</v>
      </c>
      <c r="G15" s="19">
        <v>0</v>
      </c>
      <c r="H15" s="19">
        <v>11.8</v>
      </c>
      <c r="I15" s="20">
        <v>11.8</v>
      </c>
      <c r="J15" s="19">
        <f t="shared" ref="J15:J78" si="1">I15-F15</f>
        <v>0</v>
      </c>
      <c r="K15" s="19">
        <f t="shared" ref="K15:K78" si="2">H15-I15</f>
        <v>0</v>
      </c>
      <c r="L15" s="19">
        <v>7.886E-2</v>
      </c>
      <c r="M15" s="19">
        <v>6.9489999999999996E-2</v>
      </c>
      <c r="N15" s="19">
        <v>7.6939999999999995E-2</v>
      </c>
      <c r="O15" s="19">
        <v>7.9079999999999998E-2</v>
      </c>
      <c r="P15" s="19">
        <v>7.9339999999999994E-2</v>
      </c>
      <c r="Q15" s="19">
        <v>7.9390000000000002E-2</v>
      </c>
      <c r="R15" s="19"/>
      <c r="S15" s="19">
        <f t="shared" ref="S15:S78" si="3">L15*J15</f>
        <v>0</v>
      </c>
      <c r="T15" s="19">
        <f t="shared" ref="T15:T78" si="4">M15*J15</f>
        <v>0</v>
      </c>
      <c r="U15" s="19">
        <f t="shared" ref="U15:U78" si="5">N15*J15</f>
        <v>0</v>
      </c>
      <c r="V15" s="19">
        <f t="shared" ref="V15:V78" si="6">O15*J15</f>
        <v>0</v>
      </c>
      <c r="W15" s="19">
        <f t="shared" ref="W15:W78" si="7">P15*J15</f>
        <v>0</v>
      </c>
      <c r="X15" s="21">
        <f t="shared" ref="X15:X78" si="8">Q15*J15</f>
        <v>0</v>
      </c>
    </row>
    <row r="16" spans="1:24" ht="13.5" x14ac:dyDescent="0.35">
      <c r="A16" s="18">
        <v>117434</v>
      </c>
      <c r="B16" s="19" t="s">
        <v>492</v>
      </c>
      <c r="C16" s="19">
        <v>18</v>
      </c>
      <c r="D16" s="19">
        <v>101</v>
      </c>
      <c r="E16" s="19">
        <v>1410</v>
      </c>
      <c r="F16" s="19">
        <v>173.41</v>
      </c>
      <c r="G16" s="19">
        <v>0</v>
      </c>
      <c r="H16" s="19">
        <v>173.41</v>
      </c>
      <c r="I16" s="20">
        <v>173.41</v>
      </c>
      <c r="J16" s="19">
        <f t="shared" si="1"/>
        <v>0</v>
      </c>
      <c r="K16" s="19">
        <f t="shared" si="2"/>
        <v>0</v>
      </c>
      <c r="L16" s="19">
        <v>7.8579999999999997E-2</v>
      </c>
      <c r="M16" s="19">
        <v>6.923E-2</v>
      </c>
      <c r="N16" s="19">
        <v>7.6670000000000002E-2</v>
      </c>
      <c r="O16" s="19">
        <v>7.8789999999999999E-2</v>
      </c>
      <c r="P16" s="19">
        <v>7.9049999999999995E-2</v>
      </c>
      <c r="Q16" s="19">
        <v>7.9100000000000004E-2</v>
      </c>
      <c r="R16" s="19"/>
      <c r="S16" s="19">
        <f t="shared" si="3"/>
        <v>0</v>
      </c>
      <c r="T16" s="19">
        <f t="shared" si="4"/>
        <v>0</v>
      </c>
      <c r="U16" s="19">
        <f t="shared" si="5"/>
        <v>0</v>
      </c>
      <c r="V16" s="19">
        <f t="shared" si="6"/>
        <v>0</v>
      </c>
      <c r="W16" s="19">
        <f t="shared" si="7"/>
        <v>0</v>
      </c>
      <c r="X16" s="21">
        <f t="shared" si="8"/>
        <v>0</v>
      </c>
    </row>
    <row r="17" spans="1:24" ht="13.5" x14ac:dyDescent="0.35">
      <c r="A17" s="18">
        <v>117435</v>
      </c>
      <c r="B17" s="19" t="s">
        <v>493</v>
      </c>
      <c r="C17" s="19">
        <v>13.8</v>
      </c>
      <c r="D17" s="19">
        <v>101</v>
      </c>
      <c r="E17" s="19">
        <v>1410</v>
      </c>
      <c r="F17" s="19">
        <v>91.97</v>
      </c>
      <c r="G17" s="19">
        <v>0</v>
      </c>
      <c r="H17" s="19">
        <v>91.97</v>
      </c>
      <c r="I17" s="20">
        <v>91.97</v>
      </c>
      <c r="J17" s="19">
        <f t="shared" si="1"/>
        <v>0</v>
      </c>
      <c r="K17" s="19">
        <f t="shared" si="2"/>
        <v>0</v>
      </c>
      <c r="L17" s="19">
        <v>7.8579999999999997E-2</v>
      </c>
      <c r="M17" s="19">
        <v>6.923E-2</v>
      </c>
      <c r="N17" s="19">
        <v>7.6670000000000002E-2</v>
      </c>
      <c r="O17" s="19">
        <v>7.8789999999999999E-2</v>
      </c>
      <c r="P17" s="19">
        <v>7.9049999999999995E-2</v>
      </c>
      <c r="Q17" s="19">
        <v>7.9100000000000004E-2</v>
      </c>
      <c r="R17" s="19"/>
      <c r="S17" s="19">
        <f t="shared" si="3"/>
        <v>0</v>
      </c>
      <c r="T17" s="19">
        <f t="shared" si="4"/>
        <v>0</v>
      </c>
      <c r="U17" s="19">
        <f t="shared" si="5"/>
        <v>0</v>
      </c>
      <c r="V17" s="19">
        <f t="shared" si="6"/>
        <v>0</v>
      </c>
      <c r="W17" s="19">
        <f t="shared" si="7"/>
        <v>0</v>
      </c>
      <c r="X17" s="21">
        <f t="shared" si="8"/>
        <v>0</v>
      </c>
    </row>
    <row r="18" spans="1:24" ht="13.5" x14ac:dyDescent="0.35">
      <c r="A18" s="18">
        <v>918192</v>
      </c>
      <c r="B18" s="19" t="s">
        <v>698</v>
      </c>
      <c r="C18" s="19">
        <v>115</v>
      </c>
      <c r="D18" s="19">
        <v>101</v>
      </c>
      <c r="E18" s="19">
        <v>1420</v>
      </c>
      <c r="F18" s="19">
        <v>21</v>
      </c>
      <c r="G18" s="19">
        <v>0</v>
      </c>
      <c r="H18" s="19">
        <v>21</v>
      </c>
      <c r="I18" s="20">
        <v>21</v>
      </c>
      <c r="J18" s="19">
        <f t="shared" si="1"/>
        <v>0</v>
      </c>
      <c r="K18" s="19">
        <f t="shared" si="2"/>
        <v>0</v>
      </c>
      <c r="L18" s="19">
        <v>7.8560000000000005E-2</v>
      </c>
      <c r="M18" s="19">
        <v>6.9209999999999994E-2</v>
      </c>
      <c r="N18" s="19">
        <v>7.6649999999999996E-2</v>
      </c>
      <c r="O18" s="19">
        <v>7.8770000000000007E-2</v>
      </c>
      <c r="P18" s="19">
        <v>7.9030000000000003E-2</v>
      </c>
      <c r="Q18" s="19">
        <v>7.9079999999999998E-2</v>
      </c>
      <c r="R18" s="19"/>
      <c r="S18" s="19">
        <f t="shared" si="3"/>
        <v>0</v>
      </c>
      <c r="T18" s="19">
        <f t="shared" si="4"/>
        <v>0</v>
      </c>
      <c r="U18" s="19">
        <f t="shared" si="5"/>
        <v>0</v>
      </c>
      <c r="V18" s="19">
        <f t="shared" si="6"/>
        <v>0</v>
      </c>
      <c r="W18" s="19">
        <f t="shared" si="7"/>
        <v>0</v>
      </c>
      <c r="X18" s="21">
        <f t="shared" si="8"/>
        <v>0</v>
      </c>
    </row>
    <row r="19" spans="1:24" ht="13.5" x14ac:dyDescent="0.35">
      <c r="A19" s="18">
        <v>915728</v>
      </c>
      <c r="B19" s="19" t="s">
        <v>675</v>
      </c>
      <c r="C19" s="19">
        <v>115</v>
      </c>
      <c r="D19" s="19">
        <v>101</v>
      </c>
      <c r="E19" s="19">
        <v>1160</v>
      </c>
      <c r="F19" s="19">
        <v>112.11</v>
      </c>
      <c r="G19" s="19">
        <v>0</v>
      </c>
      <c r="H19" s="19">
        <v>880</v>
      </c>
      <c r="I19" s="20">
        <v>112.11</v>
      </c>
      <c r="J19" s="19">
        <f t="shared" si="1"/>
        <v>0</v>
      </c>
      <c r="K19" s="19">
        <f t="shared" si="2"/>
        <v>767.89</v>
      </c>
      <c r="L19" s="19">
        <v>7.2230000000000003E-2</v>
      </c>
      <c r="M19" s="19">
        <v>6.3600000000000004E-2</v>
      </c>
      <c r="N19" s="19">
        <v>7.0519999999999999E-2</v>
      </c>
      <c r="O19" s="19">
        <v>7.2470000000000007E-2</v>
      </c>
      <c r="P19" s="19">
        <v>7.2700000000000001E-2</v>
      </c>
      <c r="Q19" s="19">
        <v>7.2770000000000001E-2</v>
      </c>
      <c r="R19" s="19"/>
      <c r="S19" s="19">
        <f t="shared" si="3"/>
        <v>0</v>
      </c>
      <c r="T19" s="19">
        <f t="shared" si="4"/>
        <v>0</v>
      </c>
      <c r="U19" s="19">
        <f t="shared" si="5"/>
        <v>0</v>
      </c>
      <c r="V19" s="19">
        <f t="shared" si="6"/>
        <v>0</v>
      </c>
      <c r="W19" s="19">
        <f t="shared" si="7"/>
        <v>0</v>
      </c>
      <c r="X19" s="21">
        <f t="shared" si="8"/>
        <v>0</v>
      </c>
    </row>
    <row r="20" spans="1:24" ht="13.5" x14ac:dyDescent="0.35">
      <c r="A20" s="18">
        <v>995728</v>
      </c>
      <c r="B20" s="19" t="s">
        <v>728</v>
      </c>
      <c r="C20" s="19">
        <v>115</v>
      </c>
      <c r="D20" s="19">
        <v>101</v>
      </c>
      <c r="E20" s="19">
        <v>1160</v>
      </c>
      <c r="F20" s="19">
        <v>0</v>
      </c>
      <c r="G20" s="19">
        <v>0</v>
      </c>
      <c r="H20" s="19">
        <v>0</v>
      </c>
      <c r="I20" s="20">
        <v>0</v>
      </c>
      <c r="J20" s="19">
        <f t="shared" si="1"/>
        <v>0</v>
      </c>
      <c r="K20" s="19">
        <f t="shared" si="2"/>
        <v>0</v>
      </c>
      <c r="L20" s="19">
        <v>7.2230000000000003E-2</v>
      </c>
      <c r="M20" s="19">
        <v>6.3600000000000004E-2</v>
      </c>
      <c r="N20" s="19">
        <v>7.0519999999999999E-2</v>
      </c>
      <c r="O20" s="19">
        <v>7.2470000000000007E-2</v>
      </c>
      <c r="P20" s="19">
        <v>7.2700000000000001E-2</v>
      </c>
      <c r="Q20" s="19">
        <v>7.2770000000000001E-2</v>
      </c>
      <c r="R20" s="19"/>
      <c r="S20" s="19">
        <f t="shared" si="3"/>
        <v>0</v>
      </c>
      <c r="T20" s="19">
        <f t="shared" si="4"/>
        <v>0</v>
      </c>
      <c r="U20" s="19">
        <f t="shared" si="5"/>
        <v>0</v>
      </c>
      <c r="V20" s="19">
        <f t="shared" si="6"/>
        <v>0</v>
      </c>
      <c r="W20" s="19">
        <f t="shared" si="7"/>
        <v>0</v>
      </c>
      <c r="X20" s="21">
        <f t="shared" si="8"/>
        <v>0</v>
      </c>
    </row>
    <row r="21" spans="1:24" ht="13.5" x14ac:dyDescent="0.35">
      <c r="A21" s="18">
        <v>917340</v>
      </c>
      <c r="B21" s="19" t="s">
        <v>689</v>
      </c>
      <c r="C21" s="19">
        <v>115</v>
      </c>
      <c r="D21" s="19">
        <v>101</v>
      </c>
      <c r="E21" s="19">
        <v>1410</v>
      </c>
      <c r="F21" s="19">
        <v>6.93</v>
      </c>
      <c r="G21" s="19">
        <v>0</v>
      </c>
      <c r="H21" s="19">
        <v>6.93</v>
      </c>
      <c r="I21" s="20">
        <v>6.93</v>
      </c>
      <c r="J21" s="19">
        <f t="shared" si="1"/>
        <v>0</v>
      </c>
      <c r="K21" s="19">
        <f t="shared" si="2"/>
        <v>0</v>
      </c>
      <c r="L21" s="19">
        <v>5.3460000000000001E-2</v>
      </c>
      <c r="M21" s="19">
        <v>4.6879999999999998E-2</v>
      </c>
      <c r="N21" s="19">
        <v>5.4469999999999998E-2</v>
      </c>
      <c r="O21" s="19">
        <v>5.6480000000000002E-2</v>
      </c>
      <c r="P21" s="19">
        <v>5.6910000000000002E-2</v>
      </c>
      <c r="Q21" s="19">
        <v>5.6820000000000002E-2</v>
      </c>
      <c r="R21" s="19"/>
      <c r="S21" s="19">
        <f t="shared" si="3"/>
        <v>0</v>
      </c>
      <c r="T21" s="19">
        <f t="shared" si="4"/>
        <v>0</v>
      </c>
      <c r="U21" s="19">
        <f t="shared" si="5"/>
        <v>0</v>
      </c>
      <c r="V21" s="19">
        <f t="shared" si="6"/>
        <v>0</v>
      </c>
      <c r="W21" s="19">
        <f t="shared" si="7"/>
        <v>0</v>
      </c>
      <c r="X21" s="21">
        <f t="shared" si="8"/>
        <v>0</v>
      </c>
    </row>
    <row r="22" spans="1:24" ht="13.5" x14ac:dyDescent="0.35">
      <c r="A22" s="18">
        <v>911265</v>
      </c>
      <c r="B22" s="19" t="s">
        <v>632</v>
      </c>
      <c r="C22" s="19">
        <v>115</v>
      </c>
      <c r="D22" s="19">
        <v>101</v>
      </c>
      <c r="E22" s="19">
        <v>1050</v>
      </c>
      <c r="F22" s="19">
        <v>30.37</v>
      </c>
      <c r="G22" s="19">
        <v>0</v>
      </c>
      <c r="H22" s="19">
        <v>30.37</v>
      </c>
      <c r="I22" s="20">
        <v>30.37</v>
      </c>
      <c r="J22" s="19">
        <f t="shared" si="1"/>
        <v>0</v>
      </c>
      <c r="K22" s="19">
        <f t="shared" si="2"/>
        <v>0</v>
      </c>
      <c r="L22" s="19">
        <v>4.8140000000000002E-2</v>
      </c>
      <c r="M22" s="19">
        <v>4.2229999999999997E-2</v>
      </c>
      <c r="N22" s="19">
        <v>4.7190000000000003E-2</v>
      </c>
      <c r="O22" s="19">
        <v>4.8480000000000002E-2</v>
      </c>
      <c r="P22" s="19">
        <v>4.8559999999999999E-2</v>
      </c>
      <c r="Q22" s="19">
        <v>4.8710000000000003E-2</v>
      </c>
      <c r="R22" s="19"/>
      <c r="S22" s="19">
        <f t="shared" si="3"/>
        <v>0</v>
      </c>
      <c r="T22" s="19">
        <f t="shared" si="4"/>
        <v>0</v>
      </c>
      <c r="U22" s="19">
        <f t="shared" si="5"/>
        <v>0</v>
      </c>
      <c r="V22" s="19">
        <f t="shared" si="6"/>
        <v>0</v>
      </c>
      <c r="W22" s="19">
        <f t="shared" si="7"/>
        <v>0</v>
      </c>
      <c r="X22" s="21">
        <f t="shared" si="8"/>
        <v>0</v>
      </c>
    </row>
    <row r="23" spans="1:24" ht="13.5" x14ac:dyDescent="0.35">
      <c r="A23" s="18">
        <v>911267</v>
      </c>
      <c r="B23" s="19" t="s">
        <v>633</v>
      </c>
      <c r="C23" s="19">
        <v>115</v>
      </c>
      <c r="D23" s="19">
        <v>101</v>
      </c>
      <c r="E23" s="19">
        <v>1050</v>
      </c>
      <c r="F23" s="19">
        <v>0</v>
      </c>
      <c r="G23" s="19">
        <v>0</v>
      </c>
      <c r="H23" s="19">
        <v>0</v>
      </c>
      <c r="I23" s="20">
        <v>0</v>
      </c>
      <c r="J23" s="19">
        <f t="shared" si="1"/>
        <v>0</v>
      </c>
      <c r="K23" s="19">
        <f t="shared" si="2"/>
        <v>0</v>
      </c>
      <c r="L23" s="19">
        <v>4.8140000000000002E-2</v>
      </c>
      <c r="M23" s="19">
        <v>4.2229999999999997E-2</v>
      </c>
      <c r="N23" s="19">
        <v>4.7190000000000003E-2</v>
      </c>
      <c r="O23" s="19">
        <v>4.8480000000000002E-2</v>
      </c>
      <c r="P23" s="19">
        <v>4.8559999999999999E-2</v>
      </c>
      <c r="Q23" s="19">
        <v>4.8710000000000003E-2</v>
      </c>
      <c r="R23" s="19"/>
      <c r="S23" s="19">
        <f t="shared" si="3"/>
        <v>0</v>
      </c>
      <c r="T23" s="19">
        <f t="shared" si="4"/>
        <v>0</v>
      </c>
      <c r="U23" s="19">
        <f t="shared" si="5"/>
        <v>0</v>
      </c>
      <c r="V23" s="19">
        <f t="shared" si="6"/>
        <v>0</v>
      </c>
      <c r="W23" s="19">
        <f t="shared" si="7"/>
        <v>0</v>
      </c>
      <c r="X23" s="21">
        <f t="shared" si="8"/>
        <v>0</v>
      </c>
    </row>
    <row r="24" spans="1:24" ht="13.5" x14ac:dyDescent="0.35">
      <c r="A24" s="18">
        <v>111316</v>
      </c>
      <c r="B24" s="19" t="s">
        <v>365</v>
      </c>
      <c r="C24" s="19">
        <v>13.8</v>
      </c>
      <c r="D24" s="19">
        <v>101</v>
      </c>
      <c r="E24" s="19">
        <v>1053</v>
      </c>
      <c r="F24" s="19">
        <v>35.54</v>
      </c>
      <c r="G24" s="19">
        <v>0</v>
      </c>
      <c r="H24" s="19">
        <v>35.54</v>
      </c>
      <c r="I24" s="20">
        <v>35.54</v>
      </c>
      <c r="J24" s="19">
        <f t="shared" si="1"/>
        <v>0</v>
      </c>
      <c r="K24" s="19">
        <f t="shared" si="2"/>
        <v>0</v>
      </c>
      <c r="L24" s="19">
        <v>4.8050000000000002E-2</v>
      </c>
      <c r="M24" s="19">
        <v>4.2160000000000003E-2</v>
      </c>
      <c r="N24" s="19">
        <v>4.7109999999999999E-2</v>
      </c>
      <c r="O24" s="19">
        <v>4.8390000000000002E-2</v>
      </c>
      <c r="P24" s="19">
        <v>4.8480000000000002E-2</v>
      </c>
      <c r="Q24" s="19">
        <v>4.8619999999999997E-2</v>
      </c>
      <c r="R24" s="19"/>
      <c r="S24" s="19">
        <f t="shared" si="3"/>
        <v>0</v>
      </c>
      <c r="T24" s="19">
        <f t="shared" si="4"/>
        <v>0</v>
      </c>
      <c r="U24" s="19">
        <f t="shared" si="5"/>
        <v>0</v>
      </c>
      <c r="V24" s="19">
        <f t="shared" si="6"/>
        <v>0</v>
      </c>
      <c r="W24" s="19">
        <f t="shared" si="7"/>
        <v>0</v>
      </c>
      <c r="X24" s="21">
        <f t="shared" si="8"/>
        <v>0</v>
      </c>
    </row>
    <row r="25" spans="1:24" ht="13.5" x14ac:dyDescent="0.35">
      <c r="A25" s="18">
        <v>111317</v>
      </c>
      <c r="B25" s="19" t="s">
        <v>366</v>
      </c>
      <c r="C25" s="19">
        <v>13.8</v>
      </c>
      <c r="D25" s="19">
        <v>101</v>
      </c>
      <c r="E25" s="19">
        <v>1053</v>
      </c>
      <c r="F25" s="19">
        <v>21.06</v>
      </c>
      <c r="G25" s="19">
        <v>0</v>
      </c>
      <c r="H25" s="19">
        <v>21.3</v>
      </c>
      <c r="I25" s="20">
        <v>21.06</v>
      </c>
      <c r="J25" s="19">
        <f t="shared" si="1"/>
        <v>0</v>
      </c>
      <c r="K25" s="19">
        <f t="shared" si="2"/>
        <v>0.24000000000000199</v>
      </c>
      <c r="L25" s="19">
        <v>4.8050000000000002E-2</v>
      </c>
      <c r="M25" s="19">
        <v>4.2160000000000003E-2</v>
      </c>
      <c r="N25" s="19">
        <v>4.7109999999999999E-2</v>
      </c>
      <c r="O25" s="19">
        <v>4.8390000000000002E-2</v>
      </c>
      <c r="P25" s="19">
        <v>4.8480000000000002E-2</v>
      </c>
      <c r="Q25" s="19">
        <v>4.8619999999999997E-2</v>
      </c>
      <c r="R25" s="19"/>
      <c r="S25" s="19">
        <f t="shared" si="3"/>
        <v>0</v>
      </c>
      <c r="T25" s="19">
        <f t="shared" si="4"/>
        <v>0</v>
      </c>
      <c r="U25" s="19">
        <f t="shared" si="5"/>
        <v>0</v>
      </c>
      <c r="V25" s="19">
        <f t="shared" si="6"/>
        <v>0</v>
      </c>
      <c r="W25" s="19">
        <f t="shared" si="7"/>
        <v>0</v>
      </c>
      <c r="X25" s="21">
        <f t="shared" si="8"/>
        <v>0</v>
      </c>
    </row>
    <row r="26" spans="1:24" ht="13.5" x14ac:dyDescent="0.35">
      <c r="A26" s="18">
        <v>911279</v>
      </c>
      <c r="B26" s="19" t="s">
        <v>637</v>
      </c>
      <c r="C26" s="19">
        <v>115</v>
      </c>
      <c r="D26" s="19">
        <v>101</v>
      </c>
      <c r="E26" s="19">
        <v>1050</v>
      </c>
      <c r="F26" s="19">
        <v>0</v>
      </c>
      <c r="G26" s="19">
        <v>0</v>
      </c>
      <c r="H26" s="19">
        <v>0</v>
      </c>
      <c r="I26" s="20">
        <v>0</v>
      </c>
      <c r="J26" s="19">
        <f t="shared" si="1"/>
        <v>0</v>
      </c>
      <c r="K26" s="19">
        <f t="shared" si="2"/>
        <v>0</v>
      </c>
      <c r="L26" s="19">
        <v>4.8050000000000002E-2</v>
      </c>
      <c r="M26" s="19">
        <v>4.2160000000000003E-2</v>
      </c>
      <c r="N26" s="19">
        <v>4.7109999999999999E-2</v>
      </c>
      <c r="O26" s="19">
        <v>4.8390000000000002E-2</v>
      </c>
      <c r="P26" s="19">
        <v>4.8480000000000002E-2</v>
      </c>
      <c r="Q26" s="19">
        <v>4.8619999999999997E-2</v>
      </c>
      <c r="R26" s="19"/>
      <c r="S26" s="19">
        <f t="shared" si="3"/>
        <v>0</v>
      </c>
      <c r="T26" s="19">
        <f t="shared" si="4"/>
        <v>0</v>
      </c>
      <c r="U26" s="19">
        <f t="shared" si="5"/>
        <v>0</v>
      </c>
      <c r="V26" s="19">
        <f t="shared" si="6"/>
        <v>0</v>
      </c>
      <c r="W26" s="19">
        <f t="shared" si="7"/>
        <v>0</v>
      </c>
      <c r="X26" s="21">
        <f t="shared" si="8"/>
        <v>0</v>
      </c>
    </row>
    <row r="27" spans="1:24" ht="13.5" x14ac:dyDescent="0.35">
      <c r="A27" s="18">
        <v>917008</v>
      </c>
      <c r="B27" s="19" t="s">
        <v>680</v>
      </c>
      <c r="C27" s="19">
        <v>115</v>
      </c>
      <c r="D27" s="19">
        <v>101</v>
      </c>
      <c r="E27" s="19">
        <v>1400</v>
      </c>
      <c r="F27" s="19">
        <v>9.98</v>
      </c>
      <c r="G27" s="19">
        <v>0</v>
      </c>
      <c r="H27" s="19">
        <v>9.98</v>
      </c>
      <c r="I27" s="20">
        <v>9.98</v>
      </c>
      <c r="J27" s="19">
        <f t="shared" si="1"/>
        <v>0</v>
      </c>
      <c r="K27" s="19">
        <f t="shared" si="2"/>
        <v>0</v>
      </c>
      <c r="L27" s="19">
        <v>4.3610000000000003E-2</v>
      </c>
      <c r="M27" s="19">
        <v>3.814E-2</v>
      </c>
      <c r="N27" s="19">
        <v>4.4150000000000002E-2</v>
      </c>
      <c r="O27" s="19">
        <v>4.598E-2</v>
      </c>
      <c r="P27" s="19">
        <v>4.6429999999999999E-2</v>
      </c>
      <c r="Q27" s="19">
        <v>4.6199999999999998E-2</v>
      </c>
      <c r="R27" s="19"/>
      <c r="S27" s="19">
        <f t="shared" si="3"/>
        <v>0</v>
      </c>
      <c r="T27" s="19">
        <f t="shared" si="4"/>
        <v>0</v>
      </c>
      <c r="U27" s="19">
        <f t="shared" si="5"/>
        <v>0</v>
      </c>
      <c r="V27" s="19">
        <f t="shared" si="6"/>
        <v>0</v>
      </c>
      <c r="W27" s="19">
        <f t="shared" si="7"/>
        <v>0</v>
      </c>
      <c r="X27" s="21">
        <f t="shared" si="8"/>
        <v>0</v>
      </c>
    </row>
    <row r="28" spans="1:24" ht="13.5" x14ac:dyDescent="0.35">
      <c r="A28" s="18">
        <v>911268</v>
      </c>
      <c r="B28" s="19" t="s">
        <v>634</v>
      </c>
      <c r="C28" s="19">
        <v>115</v>
      </c>
      <c r="D28" s="19">
        <v>101</v>
      </c>
      <c r="E28" s="19">
        <v>1050</v>
      </c>
      <c r="F28" s="19">
        <v>43.05</v>
      </c>
      <c r="G28" s="19">
        <v>0</v>
      </c>
      <c r="H28" s="19">
        <v>69.45</v>
      </c>
      <c r="I28" s="20">
        <v>43.05</v>
      </c>
      <c r="J28" s="19">
        <f t="shared" si="1"/>
        <v>0</v>
      </c>
      <c r="K28" s="19">
        <f t="shared" si="2"/>
        <v>26.400000000000006</v>
      </c>
      <c r="L28" s="19">
        <v>3.653E-2</v>
      </c>
      <c r="M28" s="19">
        <v>3.1940000000000003E-2</v>
      </c>
      <c r="N28" s="19">
        <v>3.5950000000000003E-2</v>
      </c>
      <c r="O28" s="19">
        <v>3.6920000000000001E-2</v>
      </c>
      <c r="P28" s="19">
        <v>3.6940000000000001E-2</v>
      </c>
      <c r="Q28" s="19">
        <v>3.712E-2</v>
      </c>
      <c r="R28" s="19"/>
      <c r="S28" s="19">
        <f t="shared" si="3"/>
        <v>0</v>
      </c>
      <c r="T28" s="19">
        <f t="shared" si="4"/>
        <v>0</v>
      </c>
      <c r="U28" s="19">
        <f t="shared" si="5"/>
        <v>0</v>
      </c>
      <c r="V28" s="19">
        <f t="shared" si="6"/>
        <v>0</v>
      </c>
      <c r="W28" s="19">
        <f t="shared" si="7"/>
        <v>0</v>
      </c>
      <c r="X28" s="21">
        <f t="shared" si="8"/>
        <v>0</v>
      </c>
    </row>
    <row r="29" spans="1:24" ht="13.5" x14ac:dyDescent="0.35">
      <c r="A29" s="18">
        <v>917004</v>
      </c>
      <c r="B29" s="19" t="s">
        <v>679</v>
      </c>
      <c r="C29" s="19">
        <v>115</v>
      </c>
      <c r="D29" s="19">
        <v>101</v>
      </c>
      <c r="E29" s="19">
        <v>1400</v>
      </c>
      <c r="F29" s="19">
        <v>53.5</v>
      </c>
      <c r="G29" s="19">
        <v>0</v>
      </c>
      <c r="H29" s="19">
        <v>53.5</v>
      </c>
      <c r="I29" s="20">
        <v>53.5</v>
      </c>
      <c r="J29" s="19">
        <f t="shared" si="1"/>
        <v>0</v>
      </c>
      <c r="K29" s="19">
        <f t="shared" si="2"/>
        <v>0</v>
      </c>
      <c r="L29" s="19">
        <v>3.3119999999999997E-2</v>
      </c>
      <c r="M29" s="19">
        <v>2.8819999999999998E-2</v>
      </c>
      <c r="N29" s="19">
        <v>3.3709999999999997E-2</v>
      </c>
      <c r="O29" s="19">
        <v>3.4930000000000003E-2</v>
      </c>
      <c r="P29" s="19">
        <v>3.5439999999999999E-2</v>
      </c>
      <c r="Q29" s="19">
        <v>3.517E-2</v>
      </c>
      <c r="R29" s="19"/>
      <c r="S29" s="19">
        <f t="shared" si="3"/>
        <v>0</v>
      </c>
      <c r="T29" s="19">
        <f t="shared" si="4"/>
        <v>0</v>
      </c>
      <c r="U29" s="19">
        <f t="shared" si="5"/>
        <v>0</v>
      </c>
      <c r="V29" s="19">
        <f t="shared" si="6"/>
        <v>0</v>
      </c>
      <c r="W29" s="19">
        <f t="shared" si="7"/>
        <v>0</v>
      </c>
      <c r="X29" s="21">
        <f t="shared" si="8"/>
        <v>0</v>
      </c>
    </row>
    <row r="30" spans="1:24" ht="13.5" x14ac:dyDescent="0.35">
      <c r="A30" s="18">
        <v>117426</v>
      </c>
      <c r="B30" s="19" t="s">
        <v>486</v>
      </c>
      <c r="C30" s="19">
        <v>13.8</v>
      </c>
      <c r="D30" s="19">
        <v>101</v>
      </c>
      <c r="E30" s="19">
        <v>1410</v>
      </c>
      <c r="F30" s="19">
        <v>106.94</v>
      </c>
      <c r="G30" s="19">
        <v>0</v>
      </c>
      <c r="H30" s="19">
        <v>106.94</v>
      </c>
      <c r="I30" s="20">
        <v>106.94</v>
      </c>
      <c r="J30" s="19">
        <f t="shared" si="1"/>
        <v>0</v>
      </c>
      <c r="K30" s="19">
        <f t="shared" si="2"/>
        <v>0</v>
      </c>
      <c r="L30" s="19">
        <v>3.141E-2</v>
      </c>
      <c r="M30" s="19">
        <v>2.7279999999999999E-2</v>
      </c>
      <c r="N30" s="19">
        <v>3.227E-2</v>
      </c>
      <c r="O30" s="19">
        <v>3.3140000000000003E-2</v>
      </c>
      <c r="P30" s="19">
        <v>3.3689999999999998E-2</v>
      </c>
      <c r="Q30" s="19">
        <v>3.3450000000000001E-2</v>
      </c>
      <c r="R30" s="19"/>
      <c r="S30" s="19">
        <f t="shared" si="3"/>
        <v>0</v>
      </c>
      <c r="T30" s="19">
        <f t="shared" si="4"/>
        <v>0</v>
      </c>
      <c r="U30" s="19">
        <f t="shared" si="5"/>
        <v>0</v>
      </c>
      <c r="V30" s="19">
        <f t="shared" si="6"/>
        <v>0</v>
      </c>
      <c r="W30" s="19">
        <f t="shared" si="7"/>
        <v>0</v>
      </c>
      <c r="X30" s="21">
        <f t="shared" si="8"/>
        <v>0</v>
      </c>
    </row>
    <row r="31" spans="1:24" ht="13.5" x14ac:dyDescent="0.35">
      <c r="A31" s="18">
        <v>117427</v>
      </c>
      <c r="B31" s="19" t="s">
        <v>487</v>
      </c>
      <c r="C31" s="19">
        <v>13.8</v>
      </c>
      <c r="D31" s="19">
        <v>101</v>
      </c>
      <c r="E31" s="19">
        <v>1410</v>
      </c>
      <c r="F31" s="19">
        <v>109.03</v>
      </c>
      <c r="G31" s="19">
        <v>0</v>
      </c>
      <c r="H31" s="19">
        <v>109.03</v>
      </c>
      <c r="I31" s="20">
        <v>109.03</v>
      </c>
      <c r="J31" s="19">
        <f t="shared" si="1"/>
        <v>0</v>
      </c>
      <c r="K31" s="19">
        <f t="shared" si="2"/>
        <v>0</v>
      </c>
      <c r="L31" s="19">
        <v>3.141E-2</v>
      </c>
      <c r="M31" s="19">
        <v>2.7279999999999999E-2</v>
      </c>
      <c r="N31" s="19">
        <v>3.227E-2</v>
      </c>
      <c r="O31" s="19">
        <v>3.3140000000000003E-2</v>
      </c>
      <c r="P31" s="19">
        <v>3.3689999999999998E-2</v>
      </c>
      <c r="Q31" s="19">
        <v>3.3450000000000001E-2</v>
      </c>
      <c r="R31" s="19"/>
      <c r="S31" s="19">
        <f t="shared" si="3"/>
        <v>0</v>
      </c>
      <c r="T31" s="19">
        <f t="shared" si="4"/>
        <v>0</v>
      </c>
      <c r="U31" s="19">
        <f t="shared" si="5"/>
        <v>0</v>
      </c>
      <c r="V31" s="19">
        <f t="shared" si="6"/>
        <v>0</v>
      </c>
      <c r="W31" s="19">
        <f t="shared" si="7"/>
        <v>0</v>
      </c>
      <c r="X31" s="21">
        <f t="shared" si="8"/>
        <v>0</v>
      </c>
    </row>
    <row r="32" spans="1:24" ht="13.5" x14ac:dyDescent="0.35">
      <c r="A32" s="18">
        <v>117428</v>
      </c>
      <c r="B32" s="19" t="s">
        <v>488</v>
      </c>
      <c r="C32" s="19">
        <v>13.8</v>
      </c>
      <c r="D32" s="19">
        <v>101</v>
      </c>
      <c r="E32" s="19">
        <v>1410</v>
      </c>
      <c r="F32" s="19">
        <v>107.53</v>
      </c>
      <c r="G32" s="19">
        <v>0</v>
      </c>
      <c r="H32" s="19">
        <v>107.53</v>
      </c>
      <c r="I32" s="20">
        <v>107.53</v>
      </c>
      <c r="J32" s="19">
        <f t="shared" si="1"/>
        <v>0</v>
      </c>
      <c r="K32" s="19">
        <f t="shared" si="2"/>
        <v>0</v>
      </c>
      <c r="L32" s="19">
        <v>3.141E-2</v>
      </c>
      <c r="M32" s="19">
        <v>2.7279999999999999E-2</v>
      </c>
      <c r="N32" s="19">
        <v>3.227E-2</v>
      </c>
      <c r="O32" s="19">
        <v>3.3140000000000003E-2</v>
      </c>
      <c r="P32" s="19">
        <v>3.3689999999999998E-2</v>
      </c>
      <c r="Q32" s="19">
        <v>3.3450000000000001E-2</v>
      </c>
      <c r="R32" s="19"/>
      <c r="S32" s="19">
        <f t="shared" si="3"/>
        <v>0</v>
      </c>
      <c r="T32" s="19">
        <f t="shared" si="4"/>
        <v>0</v>
      </c>
      <c r="U32" s="19">
        <f t="shared" si="5"/>
        <v>0</v>
      </c>
      <c r="V32" s="19">
        <f t="shared" si="6"/>
        <v>0</v>
      </c>
      <c r="W32" s="19">
        <f t="shared" si="7"/>
        <v>0</v>
      </c>
      <c r="X32" s="21">
        <f t="shared" si="8"/>
        <v>0</v>
      </c>
    </row>
    <row r="33" spans="1:24" ht="13.5" x14ac:dyDescent="0.35">
      <c r="A33" s="18">
        <v>117431</v>
      </c>
      <c r="B33" s="19" t="s">
        <v>489</v>
      </c>
      <c r="C33" s="19">
        <v>11.5</v>
      </c>
      <c r="D33" s="19">
        <v>101</v>
      </c>
      <c r="E33" s="19">
        <v>1410</v>
      </c>
      <c r="F33" s="19">
        <v>47.06</v>
      </c>
      <c r="G33" s="19">
        <v>0</v>
      </c>
      <c r="H33" s="19">
        <v>47.06</v>
      </c>
      <c r="I33" s="20">
        <v>47.06</v>
      </c>
      <c r="J33" s="19">
        <f t="shared" si="1"/>
        <v>0</v>
      </c>
      <c r="K33" s="19">
        <f t="shared" si="2"/>
        <v>0</v>
      </c>
      <c r="L33" s="19">
        <v>3.141E-2</v>
      </c>
      <c r="M33" s="19">
        <v>2.7279999999999999E-2</v>
      </c>
      <c r="N33" s="19">
        <v>3.227E-2</v>
      </c>
      <c r="O33" s="19">
        <v>3.3140000000000003E-2</v>
      </c>
      <c r="P33" s="19">
        <v>3.3689999999999998E-2</v>
      </c>
      <c r="Q33" s="19">
        <v>3.3450000000000001E-2</v>
      </c>
      <c r="R33" s="19"/>
      <c r="S33" s="19">
        <f t="shared" si="3"/>
        <v>0</v>
      </c>
      <c r="T33" s="19">
        <f t="shared" si="4"/>
        <v>0</v>
      </c>
      <c r="U33" s="19">
        <f t="shared" si="5"/>
        <v>0</v>
      </c>
      <c r="V33" s="19">
        <f t="shared" si="6"/>
        <v>0</v>
      </c>
      <c r="W33" s="19">
        <f t="shared" si="7"/>
        <v>0</v>
      </c>
      <c r="X33" s="21">
        <f t="shared" si="8"/>
        <v>0</v>
      </c>
    </row>
    <row r="34" spans="1:24" ht="13.5" x14ac:dyDescent="0.35">
      <c r="A34" s="18">
        <v>117432</v>
      </c>
      <c r="B34" s="19" t="s">
        <v>490</v>
      </c>
      <c r="C34" s="19">
        <v>11.5</v>
      </c>
      <c r="D34" s="19">
        <v>101</v>
      </c>
      <c r="E34" s="19">
        <v>1410</v>
      </c>
      <c r="F34" s="19">
        <v>47.97</v>
      </c>
      <c r="G34" s="19">
        <v>0</v>
      </c>
      <c r="H34" s="19">
        <v>47.97</v>
      </c>
      <c r="I34" s="20">
        <v>47.97</v>
      </c>
      <c r="J34" s="19">
        <f t="shared" si="1"/>
        <v>0</v>
      </c>
      <c r="K34" s="19">
        <f t="shared" si="2"/>
        <v>0</v>
      </c>
      <c r="L34" s="19">
        <v>3.141E-2</v>
      </c>
      <c r="M34" s="19">
        <v>2.7279999999999999E-2</v>
      </c>
      <c r="N34" s="19">
        <v>3.227E-2</v>
      </c>
      <c r="O34" s="19">
        <v>3.3140000000000003E-2</v>
      </c>
      <c r="P34" s="19">
        <v>3.3689999999999998E-2</v>
      </c>
      <c r="Q34" s="19">
        <v>3.3450000000000001E-2</v>
      </c>
      <c r="R34" s="19"/>
      <c r="S34" s="19">
        <f t="shared" si="3"/>
        <v>0</v>
      </c>
      <c r="T34" s="19">
        <f t="shared" si="4"/>
        <v>0</v>
      </c>
      <c r="U34" s="19">
        <f t="shared" si="5"/>
        <v>0</v>
      </c>
      <c r="V34" s="19">
        <f t="shared" si="6"/>
        <v>0</v>
      </c>
      <c r="W34" s="19">
        <f t="shared" si="7"/>
        <v>0</v>
      </c>
      <c r="X34" s="21">
        <f t="shared" si="8"/>
        <v>0</v>
      </c>
    </row>
    <row r="35" spans="1:24" ht="13.5" x14ac:dyDescent="0.35">
      <c r="A35" s="18">
        <v>117433</v>
      </c>
      <c r="B35" s="19" t="s">
        <v>491</v>
      </c>
      <c r="C35" s="19">
        <v>11.5</v>
      </c>
      <c r="D35" s="19">
        <v>101</v>
      </c>
      <c r="E35" s="19">
        <v>1410</v>
      </c>
      <c r="F35" s="19">
        <v>49.47</v>
      </c>
      <c r="G35" s="19">
        <v>0</v>
      </c>
      <c r="H35" s="19">
        <v>49.47</v>
      </c>
      <c r="I35" s="20">
        <v>49.47</v>
      </c>
      <c r="J35" s="19">
        <f t="shared" si="1"/>
        <v>0</v>
      </c>
      <c r="K35" s="19">
        <f t="shared" si="2"/>
        <v>0</v>
      </c>
      <c r="L35" s="19">
        <v>3.141E-2</v>
      </c>
      <c r="M35" s="19">
        <v>2.7279999999999999E-2</v>
      </c>
      <c r="N35" s="19">
        <v>3.227E-2</v>
      </c>
      <c r="O35" s="19">
        <v>3.3140000000000003E-2</v>
      </c>
      <c r="P35" s="19">
        <v>3.3689999999999998E-2</v>
      </c>
      <c r="Q35" s="19">
        <v>3.3450000000000001E-2</v>
      </c>
      <c r="R35" s="19"/>
      <c r="S35" s="19">
        <f t="shared" si="3"/>
        <v>0</v>
      </c>
      <c r="T35" s="19">
        <f t="shared" si="4"/>
        <v>0</v>
      </c>
      <c r="U35" s="19">
        <f t="shared" si="5"/>
        <v>0</v>
      </c>
      <c r="V35" s="19">
        <f t="shared" si="6"/>
        <v>0</v>
      </c>
      <c r="W35" s="19">
        <f t="shared" si="7"/>
        <v>0</v>
      </c>
      <c r="X35" s="21">
        <f t="shared" si="8"/>
        <v>0</v>
      </c>
    </row>
    <row r="36" spans="1:24" ht="13.5" x14ac:dyDescent="0.35">
      <c r="A36" s="18">
        <v>914734</v>
      </c>
      <c r="B36" s="19" t="s">
        <v>672</v>
      </c>
      <c r="C36" s="19">
        <v>345</v>
      </c>
      <c r="D36" s="19">
        <v>101</v>
      </c>
      <c r="E36" s="19">
        <v>1140</v>
      </c>
      <c r="F36" s="19">
        <v>840</v>
      </c>
      <c r="G36" s="19">
        <v>0</v>
      </c>
      <c r="H36" s="19">
        <v>840</v>
      </c>
      <c r="I36" s="20">
        <v>840</v>
      </c>
      <c r="J36" s="19">
        <f t="shared" si="1"/>
        <v>0</v>
      </c>
      <c r="K36" s="19">
        <f t="shared" si="2"/>
        <v>0</v>
      </c>
      <c r="L36" s="19">
        <v>2.9489999999999999E-2</v>
      </c>
      <c r="M36" s="19">
        <v>2.5520000000000001E-2</v>
      </c>
      <c r="N36" s="19">
        <v>4.3069999999999997E-2</v>
      </c>
      <c r="O36" s="19">
        <v>4.3749999999999997E-2</v>
      </c>
      <c r="P36" s="19">
        <v>4.4209999999999999E-2</v>
      </c>
      <c r="Q36" s="19">
        <v>4.53E-2</v>
      </c>
      <c r="R36" s="19"/>
      <c r="S36" s="19">
        <f t="shared" si="3"/>
        <v>0</v>
      </c>
      <c r="T36" s="19">
        <f t="shared" si="4"/>
        <v>0</v>
      </c>
      <c r="U36" s="19">
        <f t="shared" si="5"/>
        <v>0</v>
      </c>
      <c r="V36" s="19">
        <f t="shared" si="6"/>
        <v>0</v>
      </c>
      <c r="W36" s="19">
        <f t="shared" si="7"/>
        <v>0</v>
      </c>
      <c r="X36" s="21">
        <f t="shared" si="8"/>
        <v>0</v>
      </c>
    </row>
    <row r="37" spans="1:24" ht="13.5" x14ac:dyDescent="0.35">
      <c r="A37" s="18">
        <v>994734</v>
      </c>
      <c r="B37" s="19" t="s">
        <v>727</v>
      </c>
      <c r="C37" s="19">
        <v>345</v>
      </c>
      <c r="D37" s="19">
        <v>101</v>
      </c>
      <c r="E37" s="19">
        <v>1140</v>
      </c>
      <c r="F37" s="19">
        <v>752.2</v>
      </c>
      <c r="G37" s="19">
        <v>0</v>
      </c>
      <c r="H37" s="19">
        <v>2520</v>
      </c>
      <c r="I37" s="20">
        <v>752.2</v>
      </c>
      <c r="J37" s="19">
        <f t="shared" si="1"/>
        <v>0</v>
      </c>
      <c r="K37" s="19">
        <f t="shared" si="2"/>
        <v>1767.8</v>
      </c>
      <c r="L37" s="19">
        <v>2.9489999999999999E-2</v>
      </c>
      <c r="M37" s="19">
        <v>2.5520000000000001E-2</v>
      </c>
      <c r="N37" s="19">
        <v>4.3069999999999997E-2</v>
      </c>
      <c r="O37" s="19">
        <v>4.3749999999999997E-2</v>
      </c>
      <c r="P37" s="19">
        <v>4.4209999999999999E-2</v>
      </c>
      <c r="Q37" s="19">
        <v>4.53E-2</v>
      </c>
      <c r="R37" s="19"/>
      <c r="S37" s="19">
        <f t="shared" si="3"/>
        <v>0</v>
      </c>
      <c r="T37" s="19">
        <f t="shared" si="4"/>
        <v>0</v>
      </c>
      <c r="U37" s="19">
        <f t="shared" si="5"/>
        <v>0</v>
      </c>
      <c r="V37" s="19">
        <f t="shared" si="6"/>
        <v>0</v>
      </c>
      <c r="W37" s="19">
        <f t="shared" si="7"/>
        <v>0</v>
      </c>
      <c r="X37" s="21">
        <f t="shared" si="8"/>
        <v>0</v>
      </c>
    </row>
    <row r="38" spans="1:24" ht="13.5" x14ac:dyDescent="0.35">
      <c r="A38" s="18">
        <v>917331</v>
      </c>
      <c r="B38" s="19" t="s">
        <v>687</v>
      </c>
      <c r="C38" s="19">
        <v>115</v>
      </c>
      <c r="D38" s="19">
        <v>101</v>
      </c>
      <c r="E38" s="19">
        <v>1410</v>
      </c>
      <c r="F38" s="19">
        <v>9.1300000000000008</v>
      </c>
      <c r="G38" s="19">
        <v>0</v>
      </c>
      <c r="H38" s="19">
        <v>9.1300000000000008</v>
      </c>
      <c r="I38" s="20">
        <v>9.1300000000000008</v>
      </c>
      <c r="J38" s="19">
        <f t="shared" si="1"/>
        <v>0</v>
      </c>
      <c r="K38" s="19">
        <f t="shared" si="2"/>
        <v>0</v>
      </c>
      <c r="L38" s="19">
        <v>2.6759999999999999E-2</v>
      </c>
      <c r="M38" s="19">
        <v>2.3140000000000001E-2</v>
      </c>
      <c r="N38" s="19">
        <v>2.759E-2</v>
      </c>
      <c r="O38" s="19">
        <v>2.8209999999999999E-2</v>
      </c>
      <c r="P38" s="19">
        <v>2.879E-2</v>
      </c>
      <c r="Q38" s="19">
        <v>2.852E-2</v>
      </c>
      <c r="R38" s="19"/>
      <c r="S38" s="19">
        <f t="shared" si="3"/>
        <v>0</v>
      </c>
      <c r="T38" s="19">
        <f t="shared" si="4"/>
        <v>0</v>
      </c>
      <c r="U38" s="19">
        <f t="shared" si="5"/>
        <v>0</v>
      </c>
      <c r="V38" s="19">
        <f t="shared" si="6"/>
        <v>0</v>
      </c>
      <c r="W38" s="19">
        <f t="shared" si="7"/>
        <v>0</v>
      </c>
      <c r="X38" s="21">
        <f t="shared" si="8"/>
        <v>0</v>
      </c>
    </row>
    <row r="39" spans="1:24" ht="13.5" x14ac:dyDescent="0.35">
      <c r="A39" s="18">
        <v>117436</v>
      </c>
      <c r="B39" s="19" t="s">
        <v>494</v>
      </c>
      <c r="C39" s="19">
        <v>18</v>
      </c>
      <c r="D39" s="19">
        <v>101</v>
      </c>
      <c r="E39" s="19">
        <v>1410</v>
      </c>
      <c r="F39" s="19">
        <v>183.1</v>
      </c>
      <c r="G39" s="19">
        <v>0</v>
      </c>
      <c r="H39" s="19">
        <v>183.1</v>
      </c>
      <c r="I39" s="20">
        <v>183.1</v>
      </c>
      <c r="J39" s="19">
        <f t="shared" si="1"/>
        <v>0</v>
      </c>
      <c r="K39" s="19">
        <f t="shared" si="2"/>
        <v>0</v>
      </c>
      <c r="L39" s="19">
        <v>2.5950000000000001E-2</v>
      </c>
      <c r="M39" s="19">
        <v>2.2409999999999999E-2</v>
      </c>
      <c r="N39" s="19">
        <v>2.6780000000000002E-2</v>
      </c>
      <c r="O39" s="19">
        <v>2.734E-2</v>
      </c>
      <c r="P39" s="19">
        <v>2.793E-2</v>
      </c>
      <c r="Q39" s="19">
        <v>2.7660000000000001E-2</v>
      </c>
      <c r="R39" s="19"/>
      <c r="S39" s="19">
        <f t="shared" si="3"/>
        <v>0</v>
      </c>
      <c r="T39" s="19">
        <f t="shared" si="4"/>
        <v>0</v>
      </c>
      <c r="U39" s="19">
        <f t="shared" si="5"/>
        <v>0</v>
      </c>
      <c r="V39" s="19">
        <f t="shared" si="6"/>
        <v>0</v>
      </c>
      <c r="W39" s="19">
        <f t="shared" si="7"/>
        <v>0</v>
      </c>
      <c r="X39" s="21">
        <f t="shared" si="8"/>
        <v>0</v>
      </c>
    </row>
    <row r="40" spans="1:24" ht="13.5" x14ac:dyDescent="0.35">
      <c r="A40" s="18">
        <v>117437</v>
      </c>
      <c r="B40" s="19" t="s">
        <v>495</v>
      </c>
      <c r="C40" s="19">
        <v>18</v>
      </c>
      <c r="D40" s="19">
        <v>101</v>
      </c>
      <c r="E40" s="19">
        <v>1410</v>
      </c>
      <c r="F40" s="19">
        <v>185.48</v>
      </c>
      <c r="G40" s="19">
        <v>0</v>
      </c>
      <c r="H40" s="19">
        <v>185.48</v>
      </c>
      <c r="I40" s="20">
        <v>185.48</v>
      </c>
      <c r="J40" s="19">
        <f t="shared" si="1"/>
        <v>0</v>
      </c>
      <c r="K40" s="19">
        <f t="shared" si="2"/>
        <v>0</v>
      </c>
      <c r="L40" s="19">
        <v>2.5950000000000001E-2</v>
      </c>
      <c r="M40" s="19">
        <v>2.2409999999999999E-2</v>
      </c>
      <c r="N40" s="19">
        <v>2.6780000000000002E-2</v>
      </c>
      <c r="O40" s="19">
        <v>2.734E-2</v>
      </c>
      <c r="P40" s="19">
        <v>2.793E-2</v>
      </c>
      <c r="Q40" s="19">
        <v>2.7660000000000001E-2</v>
      </c>
      <c r="R40" s="19"/>
      <c r="S40" s="19">
        <f t="shared" si="3"/>
        <v>0</v>
      </c>
      <c r="T40" s="19">
        <f t="shared" si="4"/>
        <v>0</v>
      </c>
      <c r="U40" s="19">
        <f t="shared" si="5"/>
        <v>0</v>
      </c>
      <c r="V40" s="19">
        <f t="shared" si="6"/>
        <v>0</v>
      </c>
      <c r="W40" s="19">
        <f t="shared" si="7"/>
        <v>0</v>
      </c>
      <c r="X40" s="21">
        <f t="shared" si="8"/>
        <v>0</v>
      </c>
    </row>
    <row r="41" spans="1:24" ht="13.5" x14ac:dyDescent="0.35">
      <c r="A41" s="18">
        <v>117438</v>
      </c>
      <c r="B41" s="19" t="s">
        <v>496</v>
      </c>
      <c r="C41" s="19">
        <v>18</v>
      </c>
      <c r="D41" s="19">
        <v>101</v>
      </c>
      <c r="E41" s="19">
        <v>1410</v>
      </c>
      <c r="F41" s="19">
        <v>183.1</v>
      </c>
      <c r="G41" s="19">
        <v>0</v>
      </c>
      <c r="H41" s="19">
        <v>183.1</v>
      </c>
      <c r="I41" s="20">
        <v>183.1</v>
      </c>
      <c r="J41" s="19">
        <f t="shared" si="1"/>
        <v>0</v>
      </c>
      <c r="K41" s="19">
        <f t="shared" si="2"/>
        <v>0</v>
      </c>
      <c r="L41" s="19">
        <v>2.5950000000000001E-2</v>
      </c>
      <c r="M41" s="19">
        <v>2.2409999999999999E-2</v>
      </c>
      <c r="N41" s="19">
        <v>2.6780000000000002E-2</v>
      </c>
      <c r="O41" s="19">
        <v>2.734E-2</v>
      </c>
      <c r="P41" s="19">
        <v>2.793E-2</v>
      </c>
      <c r="Q41" s="19">
        <v>2.7660000000000001E-2</v>
      </c>
      <c r="R41" s="19"/>
      <c r="S41" s="19">
        <f t="shared" si="3"/>
        <v>0</v>
      </c>
      <c r="T41" s="19">
        <f t="shared" si="4"/>
        <v>0</v>
      </c>
      <c r="U41" s="19">
        <f t="shared" si="5"/>
        <v>0</v>
      </c>
      <c r="V41" s="19">
        <f t="shared" si="6"/>
        <v>0</v>
      </c>
      <c r="W41" s="19">
        <f t="shared" si="7"/>
        <v>0</v>
      </c>
      <c r="X41" s="21">
        <f t="shared" si="8"/>
        <v>0</v>
      </c>
    </row>
    <row r="42" spans="1:24" ht="13.5" x14ac:dyDescent="0.35">
      <c r="A42" s="18">
        <v>917011</v>
      </c>
      <c r="B42" s="19" t="s">
        <v>681</v>
      </c>
      <c r="C42" s="19">
        <v>115</v>
      </c>
      <c r="D42" s="19">
        <v>101</v>
      </c>
      <c r="E42" s="19">
        <v>1400</v>
      </c>
      <c r="F42" s="19">
        <v>44</v>
      </c>
      <c r="G42" s="19">
        <v>0</v>
      </c>
      <c r="H42" s="19">
        <v>44</v>
      </c>
      <c r="I42" s="20">
        <v>44</v>
      </c>
      <c r="J42" s="19">
        <f t="shared" si="1"/>
        <v>0</v>
      </c>
      <c r="K42" s="19">
        <f t="shared" si="2"/>
        <v>0</v>
      </c>
      <c r="L42" s="19">
        <v>2.5919999999999999E-2</v>
      </c>
      <c r="M42" s="19">
        <v>2.2419999999999999E-2</v>
      </c>
      <c r="N42" s="19">
        <v>2.6540000000000001E-2</v>
      </c>
      <c r="O42" s="19">
        <v>2.7349999999999999E-2</v>
      </c>
      <c r="P42" s="19">
        <v>2.7890000000000002E-2</v>
      </c>
      <c r="Q42" s="19">
        <v>2.759E-2</v>
      </c>
      <c r="R42" s="19"/>
      <c r="S42" s="19">
        <f t="shared" si="3"/>
        <v>0</v>
      </c>
      <c r="T42" s="19">
        <f t="shared" si="4"/>
        <v>0</v>
      </c>
      <c r="U42" s="19">
        <f t="shared" si="5"/>
        <v>0</v>
      </c>
      <c r="V42" s="19">
        <f t="shared" si="6"/>
        <v>0</v>
      </c>
      <c r="W42" s="19">
        <f t="shared" si="7"/>
        <v>0</v>
      </c>
      <c r="X42" s="21">
        <f t="shared" si="8"/>
        <v>0</v>
      </c>
    </row>
    <row r="43" spans="1:24" ht="13.5" x14ac:dyDescent="0.35">
      <c r="A43" s="18">
        <v>117446</v>
      </c>
      <c r="B43" s="19" t="s">
        <v>497</v>
      </c>
      <c r="C43" s="19">
        <v>4.2</v>
      </c>
      <c r="D43" s="19">
        <v>101</v>
      </c>
      <c r="E43" s="19">
        <v>1410</v>
      </c>
      <c r="F43" s="19">
        <v>0</v>
      </c>
      <c r="G43" s="19">
        <v>0</v>
      </c>
      <c r="H43" s="19">
        <v>0</v>
      </c>
      <c r="I43" s="20">
        <v>0</v>
      </c>
      <c r="J43" s="19">
        <f t="shared" si="1"/>
        <v>0</v>
      </c>
      <c r="K43" s="19">
        <f t="shared" si="2"/>
        <v>0</v>
      </c>
      <c r="L43" s="19">
        <v>2.5600000000000001E-2</v>
      </c>
      <c r="M43" s="19">
        <v>2.2100000000000002E-2</v>
      </c>
      <c r="N43" s="19">
        <v>2.6440000000000002E-2</v>
      </c>
      <c r="O43" s="19">
        <v>2.6980000000000001E-2</v>
      </c>
      <c r="P43" s="19">
        <v>2.7570000000000001E-2</v>
      </c>
      <c r="Q43" s="19">
        <v>2.7289999999999998E-2</v>
      </c>
      <c r="R43" s="19"/>
      <c r="S43" s="19">
        <f t="shared" si="3"/>
        <v>0</v>
      </c>
      <c r="T43" s="19">
        <f t="shared" si="4"/>
        <v>0</v>
      </c>
      <c r="U43" s="19">
        <f t="shared" si="5"/>
        <v>0</v>
      </c>
      <c r="V43" s="19">
        <f t="shared" si="6"/>
        <v>0</v>
      </c>
      <c r="W43" s="19">
        <f t="shared" si="7"/>
        <v>0</v>
      </c>
      <c r="X43" s="21">
        <f t="shared" si="8"/>
        <v>0</v>
      </c>
    </row>
    <row r="44" spans="1:24" ht="13.5" x14ac:dyDescent="0.35">
      <c r="A44" s="18">
        <v>117501</v>
      </c>
      <c r="B44" s="19" t="s">
        <v>502</v>
      </c>
      <c r="C44" s="19">
        <v>0.6</v>
      </c>
      <c r="D44" s="19">
        <v>101</v>
      </c>
      <c r="E44" s="19">
        <v>1410</v>
      </c>
      <c r="F44" s="19">
        <v>0</v>
      </c>
      <c r="G44" s="19">
        <v>0</v>
      </c>
      <c r="H44" s="19">
        <v>0</v>
      </c>
      <c r="I44" s="20">
        <v>0</v>
      </c>
      <c r="J44" s="19">
        <f t="shared" si="1"/>
        <v>0</v>
      </c>
      <c r="K44" s="19">
        <f t="shared" si="2"/>
        <v>0</v>
      </c>
      <c r="L44" s="19">
        <v>2.5600000000000001E-2</v>
      </c>
      <c r="M44" s="19">
        <v>2.2100000000000002E-2</v>
      </c>
      <c r="N44" s="19">
        <v>2.6440000000000002E-2</v>
      </c>
      <c r="O44" s="19">
        <v>2.6980000000000001E-2</v>
      </c>
      <c r="P44" s="19">
        <v>2.7570000000000001E-2</v>
      </c>
      <c r="Q44" s="19">
        <v>2.7289999999999998E-2</v>
      </c>
      <c r="R44" s="19"/>
      <c r="S44" s="19">
        <f t="shared" si="3"/>
        <v>0</v>
      </c>
      <c r="T44" s="19">
        <f t="shared" si="4"/>
        <v>0</v>
      </c>
      <c r="U44" s="19">
        <f t="shared" si="5"/>
        <v>0</v>
      </c>
      <c r="V44" s="19">
        <f t="shared" si="6"/>
        <v>0</v>
      </c>
      <c r="W44" s="19">
        <f t="shared" si="7"/>
        <v>0</v>
      </c>
      <c r="X44" s="21">
        <f t="shared" si="8"/>
        <v>0</v>
      </c>
    </row>
    <row r="45" spans="1:24" ht="13.5" x14ac:dyDescent="0.35">
      <c r="A45" s="18">
        <v>917354</v>
      </c>
      <c r="B45" s="19" t="s">
        <v>693</v>
      </c>
      <c r="C45" s="19">
        <v>115</v>
      </c>
      <c r="D45" s="19">
        <v>101</v>
      </c>
      <c r="E45" s="19">
        <v>1410</v>
      </c>
      <c r="F45" s="19">
        <v>8.6199999999999992</v>
      </c>
      <c r="G45" s="19">
        <v>0</v>
      </c>
      <c r="H45" s="19">
        <v>8.6199999999999992</v>
      </c>
      <c r="I45" s="20">
        <v>8.6199999999999992</v>
      </c>
      <c r="J45" s="19">
        <f t="shared" si="1"/>
        <v>0</v>
      </c>
      <c r="K45" s="19">
        <f t="shared" si="2"/>
        <v>0</v>
      </c>
      <c r="L45" s="19">
        <v>2.554E-2</v>
      </c>
      <c r="M45" s="19">
        <v>2.206E-2</v>
      </c>
      <c r="N45" s="19">
        <v>2.63E-2</v>
      </c>
      <c r="O45" s="19">
        <v>2.6939999999999999E-2</v>
      </c>
      <c r="P45" s="19">
        <v>2.751E-2</v>
      </c>
      <c r="Q45" s="19">
        <v>2.7220000000000001E-2</v>
      </c>
      <c r="R45" s="19"/>
      <c r="S45" s="19">
        <f t="shared" si="3"/>
        <v>0</v>
      </c>
      <c r="T45" s="19">
        <f t="shared" si="4"/>
        <v>0</v>
      </c>
      <c r="U45" s="19">
        <f t="shared" si="5"/>
        <v>0</v>
      </c>
      <c r="V45" s="19">
        <f t="shared" si="6"/>
        <v>0</v>
      </c>
      <c r="W45" s="19">
        <f t="shared" si="7"/>
        <v>0</v>
      </c>
      <c r="X45" s="21">
        <f t="shared" si="8"/>
        <v>0</v>
      </c>
    </row>
    <row r="46" spans="1:24" ht="13.5" x14ac:dyDescent="0.35">
      <c r="A46" s="18">
        <v>117455</v>
      </c>
      <c r="B46" s="19" t="s">
        <v>498</v>
      </c>
      <c r="C46" s="19">
        <v>13.8</v>
      </c>
      <c r="D46" s="19">
        <v>101</v>
      </c>
      <c r="E46" s="19">
        <v>1410</v>
      </c>
      <c r="F46" s="19">
        <v>0</v>
      </c>
      <c r="G46" s="19">
        <v>0</v>
      </c>
      <c r="H46" s="19">
        <v>0</v>
      </c>
      <c r="I46" s="20">
        <v>0</v>
      </c>
      <c r="J46" s="19">
        <f t="shared" si="1"/>
        <v>0</v>
      </c>
      <c r="K46" s="19">
        <f t="shared" si="2"/>
        <v>0</v>
      </c>
      <c r="L46" s="19">
        <v>2.5170000000000001E-2</v>
      </c>
      <c r="M46" s="19">
        <v>2.172E-2</v>
      </c>
      <c r="N46" s="19">
        <v>2.6020000000000001E-2</v>
      </c>
      <c r="O46" s="19">
        <v>2.6519999999999998E-2</v>
      </c>
      <c r="P46" s="19">
        <v>2.7119999999999998E-2</v>
      </c>
      <c r="Q46" s="19">
        <v>2.6839999999999999E-2</v>
      </c>
      <c r="R46" s="19"/>
      <c r="S46" s="19">
        <f t="shared" si="3"/>
        <v>0</v>
      </c>
      <c r="T46" s="19">
        <f t="shared" si="4"/>
        <v>0</v>
      </c>
      <c r="U46" s="19">
        <f t="shared" si="5"/>
        <v>0</v>
      </c>
      <c r="V46" s="19">
        <f t="shared" si="6"/>
        <v>0</v>
      </c>
      <c r="W46" s="19">
        <f t="shared" si="7"/>
        <v>0</v>
      </c>
      <c r="X46" s="21">
        <f t="shared" si="8"/>
        <v>0</v>
      </c>
    </row>
    <row r="47" spans="1:24" ht="13.5" x14ac:dyDescent="0.35">
      <c r="A47" s="18">
        <v>917306</v>
      </c>
      <c r="B47" s="19" t="s">
        <v>683</v>
      </c>
      <c r="C47" s="19">
        <v>115</v>
      </c>
      <c r="D47" s="19">
        <v>101</v>
      </c>
      <c r="E47" s="19">
        <v>1410</v>
      </c>
      <c r="F47" s="19">
        <v>2.2000000000000002</v>
      </c>
      <c r="G47" s="19">
        <v>0</v>
      </c>
      <c r="H47" s="19">
        <v>2.2000000000000002</v>
      </c>
      <c r="I47" s="20">
        <v>2.2000000000000002</v>
      </c>
      <c r="J47" s="19">
        <f t="shared" si="1"/>
        <v>0</v>
      </c>
      <c r="K47" s="19">
        <f t="shared" si="2"/>
        <v>0</v>
      </c>
      <c r="L47" s="19">
        <v>2.495E-2</v>
      </c>
      <c r="M47" s="19">
        <v>2.154E-2</v>
      </c>
      <c r="N47" s="19">
        <v>2.5690000000000001E-2</v>
      </c>
      <c r="O47" s="19">
        <v>2.632E-2</v>
      </c>
      <c r="P47" s="19">
        <v>2.6890000000000001E-2</v>
      </c>
      <c r="Q47" s="19">
        <v>2.6599999999999999E-2</v>
      </c>
      <c r="R47" s="19"/>
      <c r="S47" s="19">
        <f t="shared" si="3"/>
        <v>0</v>
      </c>
      <c r="T47" s="19">
        <f t="shared" si="4"/>
        <v>0</v>
      </c>
      <c r="U47" s="19">
        <f t="shared" si="5"/>
        <v>0</v>
      </c>
      <c r="V47" s="19">
        <f t="shared" si="6"/>
        <v>0</v>
      </c>
      <c r="W47" s="19">
        <f t="shared" si="7"/>
        <v>0</v>
      </c>
      <c r="X47" s="21">
        <f t="shared" si="8"/>
        <v>0</v>
      </c>
    </row>
    <row r="48" spans="1:24" ht="13.5" x14ac:dyDescent="0.35">
      <c r="A48" s="18">
        <v>117505</v>
      </c>
      <c r="B48" s="19" t="s">
        <v>504</v>
      </c>
      <c r="C48" s="19">
        <v>0.48</v>
      </c>
      <c r="D48" s="19">
        <v>101</v>
      </c>
      <c r="E48" s="19">
        <v>1410</v>
      </c>
      <c r="F48" s="19">
        <v>0</v>
      </c>
      <c r="G48" s="19">
        <v>0</v>
      </c>
      <c r="H48" s="19">
        <v>0</v>
      </c>
      <c r="I48" s="20">
        <v>0</v>
      </c>
      <c r="J48" s="19">
        <f t="shared" si="1"/>
        <v>0</v>
      </c>
      <c r="K48" s="19">
        <f t="shared" si="2"/>
        <v>0</v>
      </c>
      <c r="L48" s="19">
        <v>2.18E-2</v>
      </c>
      <c r="M48" s="19">
        <v>1.8720000000000001E-2</v>
      </c>
      <c r="N48" s="19">
        <v>2.266E-2</v>
      </c>
      <c r="O48" s="19">
        <v>2.2939999999999999E-2</v>
      </c>
      <c r="P48" s="19">
        <v>2.3570000000000001E-2</v>
      </c>
      <c r="Q48" s="19">
        <v>2.3269999999999999E-2</v>
      </c>
      <c r="R48" s="19"/>
      <c r="S48" s="19">
        <f t="shared" si="3"/>
        <v>0</v>
      </c>
      <c r="T48" s="19">
        <f t="shared" si="4"/>
        <v>0</v>
      </c>
      <c r="U48" s="19">
        <f t="shared" si="5"/>
        <v>0</v>
      </c>
      <c r="V48" s="19">
        <f t="shared" si="6"/>
        <v>0</v>
      </c>
      <c r="W48" s="19">
        <f t="shared" si="7"/>
        <v>0</v>
      </c>
      <c r="X48" s="21">
        <f t="shared" si="8"/>
        <v>0</v>
      </c>
    </row>
    <row r="49" spans="1:24" ht="13.5" x14ac:dyDescent="0.35">
      <c r="A49" s="18">
        <v>917342</v>
      </c>
      <c r="B49" s="19" t="s">
        <v>690</v>
      </c>
      <c r="C49" s="19">
        <v>115</v>
      </c>
      <c r="D49" s="19">
        <v>101</v>
      </c>
      <c r="E49" s="19">
        <v>1410</v>
      </c>
      <c r="F49" s="19">
        <v>7.81</v>
      </c>
      <c r="G49" s="19">
        <v>0</v>
      </c>
      <c r="H49" s="19">
        <v>7.81</v>
      </c>
      <c r="I49" s="20">
        <v>7.81</v>
      </c>
      <c r="J49" s="19">
        <f t="shared" si="1"/>
        <v>0</v>
      </c>
      <c r="K49" s="19">
        <f t="shared" si="2"/>
        <v>0</v>
      </c>
      <c r="L49" s="19">
        <v>2.18E-2</v>
      </c>
      <c r="M49" s="19">
        <v>1.8720000000000001E-2</v>
      </c>
      <c r="N49" s="19">
        <v>2.266E-2</v>
      </c>
      <c r="O49" s="19">
        <v>2.2939999999999999E-2</v>
      </c>
      <c r="P49" s="19">
        <v>2.3570000000000001E-2</v>
      </c>
      <c r="Q49" s="19">
        <v>2.3269999999999999E-2</v>
      </c>
      <c r="R49" s="19"/>
      <c r="S49" s="19">
        <f t="shared" si="3"/>
        <v>0</v>
      </c>
      <c r="T49" s="19">
        <f t="shared" si="4"/>
        <v>0</v>
      </c>
      <c r="U49" s="19">
        <f t="shared" si="5"/>
        <v>0</v>
      </c>
      <c r="V49" s="19">
        <f t="shared" si="6"/>
        <v>0</v>
      </c>
      <c r="W49" s="19">
        <f t="shared" si="7"/>
        <v>0</v>
      </c>
      <c r="X49" s="21">
        <f t="shared" si="8"/>
        <v>0</v>
      </c>
    </row>
    <row r="50" spans="1:24" ht="13.5" x14ac:dyDescent="0.35">
      <c r="A50" s="18">
        <v>917349</v>
      </c>
      <c r="B50" s="19" t="s">
        <v>692</v>
      </c>
      <c r="C50" s="19">
        <v>115</v>
      </c>
      <c r="D50" s="19">
        <v>101</v>
      </c>
      <c r="E50" s="19">
        <v>1410</v>
      </c>
      <c r="F50" s="19">
        <v>12.44</v>
      </c>
      <c r="G50" s="19">
        <v>0</v>
      </c>
      <c r="H50" s="19">
        <v>12.44</v>
      </c>
      <c r="I50" s="20">
        <v>12.44</v>
      </c>
      <c r="J50" s="19">
        <f t="shared" si="1"/>
        <v>0</v>
      </c>
      <c r="K50" s="19">
        <f t="shared" si="2"/>
        <v>0</v>
      </c>
      <c r="L50" s="19">
        <v>2.1770000000000001E-2</v>
      </c>
      <c r="M50" s="19">
        <v>1.874E-2</v>
      </c>
      <c r="N50" s="19">
        <v>2.232E-2</v>
      </c>
      <c r="O50" s="19">
        <v>2.299E-2</v>
      </c>
      <c r="P50" s="19">
        <v>2.3529999999999999E-2</v>
      </c>
      <c r="Q50" s="19">
        <v>2.3210000000000001E-2</v>
      </c>
      <c r="R50" s="19"/>
      <c r="S50" s="19">
        <f t="shared" si="3"/>
        <v>0</v>
      </c>
      <c r="T50" s="19">
        <f t="shared" si="4"/>
        <v>0</v>
      </c>
      <c r="U50" s="19">
        <f t="shared" si="5"/>
        <v>0</v>
      </c>
      <c r="V50" s="19">
        <f t="shared" si="6"/>
        <v>0</v>
      </c>
      <c r="W50" s="19">
        <f t="shared" si="7"/>
        <v>0</v>
      </c>
      <c r="X50" s="21">
        <f t="shared" si="8"/>
        <v>0</v>
      </c>
    </row>
    <row r="51" spans="1:24" ht="13.5" x14ac:dyDescent="0.35">
      <c r="A51" s="18">
        <v>997012</v>
      </c>
      <c r="B51" s="19" t="s">
        <v>732</v>
      </c>
      <c r="C51" s="19">
        <v>115</v>
      </c>
      <c r="D51" s="19">
        <v>101</v>
      </c>
      <c r="E51" s="19">
        <v>1400</v>
      </c>
      <c r="F51" s="19">
        <v>9.5</v>
      </c>
      <c r="G51" s="19">
        <v>0</v>
      </c>
      <c r="H51" s="19">
        <v>9.5</v>
      </c>
      <c r="I51" s="20">
        <v>9.5</v>
      </c>
      <c r="J51" s="19">
        <f t="shared" si="1"/>
        <v>0</v>
      </c>
      <c r="K51" s="19">
        <f t="shared" si="2"/>
        <v>0</v>
      </c>
      <c r="L51" s="19">
        <v>2.1309999999999999E-2</v>
      </c>
      <c r="M51" s="19">
        <v>1.8319999999999999E-2</v>
      </c>
      <c r="N51" s="19">
        <v>2.1950000000000001E-2</v>
      </c>
      <c r="O51" s="19">
        <v>2.249E-2</v>
      </c>
      <c r="P51" s="19">
        <v>2.3060000000000001E-2</v>
      </c>
      <c r="Q51" s="19">
        <v>2.274E-2</v>
      </c>
      <c r="R51" s="19"/>
      <c r="S51" s="19">
        <f t="shared" si="3"/>
        <v>0</v>
      </c>
      <c r="T51" s="19">
        <f t="shared" si="4"/>
        <v>0</v>
      </c>
      <c r="U51" s="19">
        <f t="shared" si="5"/>
        <v>0</v>
      </c>
      <c r="V51" s="19">
        <f t="shared" si="6"/>
        <v>0</v>
      </c>
      <c r="W51" s="19">
        <f t="shared" si="7"/>
        <v>0</v>
      </c>
      <c r="X51" s="21">
        <f t="shared" si="8"/>
        <v>0</v>
      </c>
    </row>
    <row r="52" spans="1:24" ht="13.5" x14ac:dyDescent="0.35">
      <c r="A52" s="18">
        <v>117503</v>
      </c>
      <c r="B52" s="19" t="s">
        <v>503</v>
      </c>
      <c r="C52" s="19">
        <v>0.48</v>
      </c>
      <c r="D52" s="19">
        <v>101</v>
      </c>
      <c r="E52" s="19">
        <v>1410</v>
      </c>
      <c r="F52" s="19">
        <v>0</v>
      </c>
      <c r="G52" s="19">
        <v>0</v>
      </c>
      <c r="H52" s="19">
        <v>0</v>
      </c>
      <c r="I52" s="20">
        <v>0</v>
      </c>
      <c r="J52" s="19">
        <f t="shared" si="1"/>
        <v>0</v>
      </c>
      <c r="K52" s="19">
        <f t="shared" si="2"/>
        <v>0</v>
      </c>
      <c r="L52" s="19">
        <v>2.0250000000000001E-2</v>
      </c>
      <c r="M52" s="19">
        <v>1.7340000000000001E-2</v>
      </c>
      <c r="N52" s="19">
        <v>2.112E-2</v>
      </c>
      <c r="O52" s="19">
        <v>2.1299999999999999E-2</v>
      </c>
      <c r="P52" s="19">
        <v>2.1940000000000001E-2</v>
      </c>
      <c r="Q52" s="19">
        <v>2.163E-2</v>
      </c>
      <c r="R52" s="19"/>
      <c r="S52" s="19">
        <f t="shared" si="3"/>
        <v>0</v>
      </c>
      <c r="T52" s="19">
        <f t="shared" si="4"/>
        <v>0</v>
      </c>
      <c r="U52" s="19">
        <f t="shared" si="5"/>
        <v>0</v>
      </c>
      <c r="V52" s="19">
        <f t="shared" si="6"/>
        <v>0</v>
      </c>
      <c r="W52" s="19">
        <f t="shared" si="7"/>
        <v>0</v>
      </c>
      <c r="X52" s="21">
        <f t="shared" si="8"/>
        <v>0</v>
      </c>
    </row>
    <row r="53" spans="1:24" ht="13.5" x14ac:dyDescent="0.35">
      <c r="A53" s="18">
        <v>117514</v>
      </c>
      <c r="B53" s="19" t="s">
        <v>506</v>
      </c>
      <c r="C53" s="19">
        <v>0.38</v>
      </c>
      <c r="D53" s="19">
        <v>101</v>
      </c>
      <c r="E53" s="19">
        <v>1410</v>
      </c>
      <c r="F53" s="19">
        <v>0</v>
      </c>
      <c r="G53" s="19">
        <v>0</v>
      </c>
      <c r="H53" s="19">
        <v>0</v>
      </c>
      <c r="I53" s="20">
        <v>0</v>
      </c>
      <c r="J53" s="19">
        <f t="shared" si="1"/>
        <v>0</v>
      </c>
      <c r="K53" s="19">
        <f t="shared" si="2"/>
        <v>0</v>
      </c>
      <c r="L53" s="19">
        <v>2.0250000000000001E-2</v>
      </c>
      <c r="M53" s="19">
        <v>1.7340000000000001E-2</v>
      </c>
      <c r="N53" s="19">
        <v>2.112E-2</v>
      </c>
      <c r="O53" s="19">
        <v>2.1299999999999999E-2</v>
      </c>
      <c r="P53" s="19">
        <v>2.1940000000000001E-2</v>
      </c>
      <c r="Q53" s="19">
        <v>2.163E-2</v>
      </c>
      <c r="R53" s="19"/>
      <c r="S53" s="19">
        <f t="shared" si="3"/>
        <v>0</v>
      </c>
      <c r="T53" s="19">
        <f t="shared" si="4"/>
        <v>0</v>
      </c>
      <c r="U53" s="19">
        <f t="shared" si="5"/>
        <v>0</v>
      </c>
      <c r="V53" s="19">
        <f t="shared" si="6"/>
        <v>0</v>
      </c>
      <c r="W53" s="19">
        <f t="shared" si="7"/>
        <v>0</v>
      </c>
      <c r="X53" s="21">
        <f t="shared" si="8"/>
        <v>0</v>
      </c>
    </row>
    <row r="54" spans="1:24" ht="13.5" x14ac:dyDescent="0.35">
      <c r="A54" s="18">
        <v>917463</v>
      </c>
      <c r="B54" s="19" t="s">
        <v>697</v>
      </c>
      <c r="C54" s="19">
        <v>115</v>
      </c>
      <c r="D54" s="19">
        <v>101</v>
      </c>
      <c r="E54" s="19">
        <v>1410</v>
      </c>
      <c r="F54" s="19">
        <v>7.88</v>
      </c>
      <c r="G54" s="19">
        <v>0</v>
      </c>
      <c r="H54" s="19">
        <v>7.88</v>
      </c>
      <c r="I54" s="20">
        <v>7.88</v>
      </c>
      <c r="J54" s="19">
        <f t="shared" si="1"/>
        <v>0</v>
      </c>
      <c r="K54" s="19">
        <f t="shared" si="2"/>
        <v>0</v>
      </c>
      <c r="L54" s="19">
        <v>1.8450000000000001E-2</v>
      </c>
      <c r="M54" s="19">
        <v>1.5730000000000001E-2</v>
      </c>
      <c r="N54" s="19">
        <v>1.933E-2</v>
      </c>
      <c r="O54" s="19">
        <v>1.9390000000000001E-2</v>
      </c>
      <c r="P54" s="19">
        <v>2.0039999999999999E-2</v>
      </c>
      <c r="Q54" s="19">
        <v>1.9720000000000001E-2</v>
      </c>
      <c r="R54" s="19"/>
      <c r="S54" s="19">
        <f t="shared" si="3"/>
        <v>0</v>
      </c>
      <c r="T54" s="19">
        <f t="shared" si="4"/>
        <v>0</v>
      </c>
      <c r="U54" s="19">
        <f t="shared" si="5"/>
        <v>0</v>
      </c>
      <c r="V54" s="19">
        <f t="shared" si="6"/>
        <v>0</v>
      </c>
      <c r="W54" s="19">
        <f t="shared" si="7"/>
        <v>0</v>
      </c>
      <c r="X54" s="21">
        <f t="shared" si="8"/>
        <v>0</v>
      </c>
    </row>
    <row r="55" spans="1:24" ht="13.5" x14ac:dyDescent="0.35">
      <c r="A55" s="18">
        <v>914757</v>
      </c>
      <c r="B55" s="19" t="s">
        <v>673</v>
      </c>
      <c r="C55" s="19">
        <v>115</v>
      </c>
      <c r="D55" s="19">
        <v>101</v>
      </c>
      <c r="E55" s="19">
        <v>1140</v>
      </c>
      <c r="F55" s="19">
        <v>170</v>
      </c>
      <c r="G55" s="19">
        <v>0</v>
      </c>
      <c r="H55" s="19">
        <v>170</v>
      </c>
      <c r="I55" s="20">
        <v>170</v>
      </c>
      <c r="J55" s="19">
        <f t="shared" si="1"/>
        <v>0</v>
      </c>
      <c r="K55" s="19">
        <f t="shared" si="2"/>
        <v>0</v>
      </c>
      <c r="L55" s="19">
        <v>1.7059999999999999E-2</v>
      </c>
      <c r="M55" s="19">
        <v>1.477E-2</v>
      </c>
      <c r="N55" s="19">
        <v>1.2449999999999999E-2</v>
      </c>
      <c r="O55" s="19">
        <v>3.5130000000000002E-2</v>
      </c>
      <c r="P55" s="19">
        <v>3.5310000000000001E-2</v>
      </c>
      <c r="Q55" s="19">
        <v>3.0620000000000001E-2</v>
      </c>
      <c r="R55" s="19"/>
      <c r="S55" s="19">
        <f t="shared" si="3"/>
        <v>0</v>
      </c>
      <c r="T55" s="19">
        <f t="shared" si="4"/>
        <v>0</v>
      </c>
      <c r="U55" s="19">
        <f t="shared" si="5"/>
        <v>0</v>
      </c>
      <c r="V55" s="19">
        <f t="shared" si="6"/>
        <v>0</v>
      </c>
      <c r="W55" s="19">
        <f t="shared" si="7"/>
        <v>0</v>
      </c>
      <c r="X55" s="21">
        <f t="shared" si="8"/>
        <v>0</v>
      </c>
    </row>
    <row r="56" spans="1:24" ht="13.5" x14ac:dyDescent="0.35">
      <c r="A56" s="18">
        <v>117485</v>
      </c>
      <c r="B56" s="19" t="s">
        <v>499</v>
      </c>
      <c r="C56" s="19">
        <v>0.6</v>
      </c>
      <c r="D56" s="19">
        <v>101</v>
      </c>
      <c r="E56" s="19">
        <v>1410</v>
      </c>
      <c r="F56" s="19">
        <v>0</v>
      </c>
      <c r="G56" s="19">
        <v>0</v>
      </c>
      <c r="H56" s="19">
        <v>0</v>
      </c>
      <c r="I56" s="20">
        <v>0</v>
      </c>
      <c r="J56" s="19">
        <f t="shared" si="1"/>
        <v>0</v>
      </c>
      <c r="K56" s="19">
        <f t="shared" si="2"/>
        <v>0</v>
      </c>
      <c r="L56" s="19">
        <v>1.652E-2</v>
      </c>
      <c r="M56" s="19">
        <v>1.401E-2</v>
      </c>
      <c r="N56" s="19">
        <v>1.7409999999999998E-2</v>
      </c>
      <c r="O56" s="19">
        <v>1.7340000000000001E-2</v>
      </c>
      <c r="P56" s="19">
        <v>1.8010000000000002E-2</v>
      </c>
      <c r="Q56" s="19">
        <v>1.7680000000000001E-2</v>
      </c>
      <c r="R56" s="19"/>
      <c r="S56" s="19">
        <f t="shared" si="3"/>
        <v>0</v>
      </c>
      <c r="T56" s="19">
        <f t="shared" si="4"/>
        <v>0</v>
      </c>
      <c r="U56" s="19">
        <f t="shared" si="5"/>
        <v>0</v>
      </c>
      <c r="V56" s="19">
        <f t="shared" si="6"/>
        <v>0</v>
      </c>
      <c r="W56" s="19">
        <f t="shared" si="7"/>
        <v>0</v>
      </c>
      <c r="X56" s="21">
        <f t="shared" si="8"/>
        <v>0</v>
      </c>
    </row>
    <row r="57" spans="1:24" ht="13.5" x14ac:dyDescent="0.35">
      <c r="A57" s="18">
        <v>117486</v>
      </c>
      <c r="B57" s="19" t="s">
        <v>500</v>
      </c>
      <c r="C57" s="19">
        <v>0.6</v>
      </c>
      <c r="D57" s="19">
        <v>101</v>
      </c>
      <c r="E57" s="19">
        <v>1410</v>
      </c>
      <c r="F57" s="19">
        <v>0</v>
      </c>
      <c r="G57" s="19">
        <v>0</v>
      </c>
      <c r="H57" s="19">
        <v>0</v>
      </c>
      <c r="I57" s="20">
        <v>0</v>
      </c>
      <c r="J57" s="19">
        <f t="shared" si="1"/>
        <v>0</v>
      </c>
      <c r="K57" s="19">
        <f t="shared" si="2"/>
        <v>0</v>
      </c>
      <c r="L57" s="19">
        <v>1.652E-2</v>
      </c>
      <c r="M57" s="19">
        <v>1.401E-2</v>
      </c>
      <c r="N57" s="19">
        <v>1.7409999999999998E-2</v>
      </c>
      <c r="O57" s="19">
        <v>1.7340000000000001E-2</v>
      </c>
      <c r="P57" s="19">
        <v>1.8010000000000002E-2</v>
      </c>
      <c r="Q57" s="19">
        <v>1.7680000000000001E-2</v>
      </c>
      <c r="R57" s="19"/>
      <c r="S57" s="19">
        <f t="shared" si="3"/>
        <v>0</v>
      </c>
      <c r="T57" s="19">
        <f t="shared" si="4"/>
        <v>0</v>
      </c>
      <c r="U57" s="19">
        <f t="shared" si="5"/>
        <v>0</v>
      </c>
      <c r="V57" s="19">
        <f t="shared" si="6"/>
        <v>0</v>
      </c>
      <c r="W57" s="19">
        <f t="shared" si="7"/>
        <v>0</v>
      </c>
      <c r="X57" s="21">
        <f t="shared" si="8"/>
        <v>0</v>
      </c>
    </row>
    <row r="58" spans="1:24" ht="13.5" x14ac:dyDescent="0.35">
      <c r="A58" s="18">
        <v>917327</v>
      </c>
      <c r="B58" s="19" t="s">
        <v>686</v>
      </c>
      <c r="C58" s="19">
        <v>115</v>
      </c>
      <c r="D58" s="19">
        <v>101</v>
      </c>
      <c r="E58" s="19">
        <v>1410</v>
      </c>
      <c r="F58" s="19">
        <v>16.82</v>
      </c>
      <c r="G58" s="19">
        <v>0</v>
      </c>
      <c r="H58" s="19">
        <v>16.82</v>
      </c>
      <c r="I58" s="20">
        <v>16.82</v>
      </c>
      <c r="J58" s="19">
        <f t="shared" si="1"/>
        <v>0</v>
      </c>
      <c r="K58" s="19">
        <f t="shared" si="2"/>
        <v>0</v>
      </c>
      <c r="L58" s="19">
        <v>1.6129999999999999E-2</v>
      </c>
      <c r="M58" s="19">
        <v>1.367E-2</v>
      </c>
      <c r="N58" s="19">
        <v>1.702E-2</v>
      </c>
      <c r="O58" s="19">
        <v>1.6920000000000001E-2</v>
      </c>
      <c r="P58" s="19">
        <v>1.7600000000000001E-2</v>
      </c>
      <c r="Q58" s="19">
        <v>1.7260000000000001E-2</v>
      </c>
      <c r="R58" s="19"/>
      <c r="S58" s="19">
        <f t="shared" si="3"/>
        <v>0</v>
      </c>
      <c r="T58" s="19">
        <f t="shared" si="4"/>
        <v>0</v>
      </c>
      <c r="U58" s="19">
        <f t="shared" si="5"/>
        <v>0</v>
      </c>
      <c r="V58" s="19">
        <f t="shared" si="6"/>
        <v>0</v>
      </c>
      <c r="W58" s="19">
        <f t="shared" si="7"/>
        <v>0</v>
      </c>
      <c r="X58" s="21">
        <f t="shared" si="8"/>
        <v>0</v>
      </c>
    </row>
    <row r="59" spans="1:24" ht="13.5" x14ac:dyDescent="0.35">
      <c r="A59" s="18">
        <v>917385</v>
      </c>
      <c r="B59" s="19" t="s">
        <v>695</v>
      </c>
      <c r="C59" s="19">
        <v>34.5</v>
      </c>
      <c r="D59" s="19">
        <v>101</v>
      </c>
      <c r="E59" s="19">
        <v>1410</v>
      </c>
      <c r="F59" s="19">
        <v>29.8</v>
      </c>
      <c r="G59" s="19">
        <v>0</v>
      </c>
      <c r="H59" s="19">
        <v>29.8</v>
      </c>
      <c r="I59" s="20">
        <v>29.8</v>
      </c>
      <c r="J59" s="19">
        <f t="shared" si="1"/>
        <v>0</v>
      </c>
      <c r="K59" s="19">
        <f t="shared" si="2"/>
        <v>0</v>
      </c>
      <c r="L59" s="19">
        <v>1.5180000000000001E-2</v>
      </c>
      <c r="M59" s="19">
        <v>1.282E-2</v>
      </c>
      <c r="N59" s="19">
        <v>1.6080000000000001E-2</v>
      </c>
      <c r="O59" s="19">
        <v>1.5910000000000001E-2</v>
      </c>
      <c r="P59" s="19">
        <v>1.66E-2</v>
      </c>
      <c r="Q59" s="19">
        <v>1.6250000000000001E-2</v>
      </c>
      <c r="R59" s="19"/>
      <c r="S59" s="19">
        <f t="shared" si="3"/>
        <v>0</v>
      </c>
      <c r="T59" s="19">
        <f t="shared" si="4"/>
        <v>0</v>
      </c>
      <c r="U59" s="19">
        <f t="shared" si="5"/>
        <v>0</v>
      </c>
      <c r="V59" s="19">
        <f t="shared" si="6"/>
        <v>0</v>
      </c>
      <c r="W59" s="19">
        <f t="shared" si="7"/>
        <v>0</v>
      </c>
      <c r="X59" s="21">
        <f t="shared" si="8"/>
        <v>0</v>
      </c>
    </row>
    <row r="60" spans="1:24" ht="13.5" x14ac:dyDescent="0.35">
      <c r="A60" s="18">
        <v>917332</v>
      </c>
      <c r="B60" s="19" t="s">
        <v>688</v>
      </c>
      <c r="C60" s="19">
        <v>115</v>
      </c>
      <c r="D60" s="19">
        <v>101</v>
      </c>
      <c r="E60" s="19">
        <v>1410</v>
      </c>
      <c r="F60" s="19">
        <v>73.67</v>
      </c>
      <c r="G60" s="19">
        <v>0</v>
      </c>
      <c r="H60" s="19">
        <v>73.67</v>
      </c>
      <c r="I60" s="20">
        <v>73.67</v>
      </c>
      <c r="J60" s="19">
        <f t="shared" si="1"/>
        <v>0</v>
      </c>
      <c r="K60" s="19">
        <f t="shared" si="2"/>
        <v>0</v>
      </c>
      <c r="L60" s="19">
        <v>1.516E-2</v>
      </c>
      <c r="M60" s="19">
        <v>1.2800000000000001E-2</v>
      </c>
      <c r="N60" s="19">
        <v>1.6060000000000001E-2</v>
      </c>
      <c r="O60" s="19">
        <v>1.5890000000000001E-2</v>
      </c>
      <c r="P60" s="19">
        <v>1.6580000000000001E-2</v>
      </c>
      <c r="Q60" s="19">
        <v>1.6240000000000001E-2</v>
      </c>
      <c r="R60" s="19"/>
      <c r="S60" s="19">
        <f t="shared" si="3"/>
        <v>0</v>
      </c>
      <c r="T60" s="19">
        <f t="shared" si="4"/>
        <v>0</v>
      </c>
      <c r="U60" s="19">
        <f t="shared" si="5"/>
        <v>0</v>
      </c>
      <c r="V60" s="19">
        <f t="shared" si="6"/>
        <v>0</v>
      </c>
      <c r="W60" s="19">
        <f t="shared" si="7"/>
        <v>0</v>
      </c>
      <c r="X60" s="21">
        <f t="shared" si="8"/>
        <v>0</v>
      </c>
    </row>
    <row r="61" spans="1:24" ht="13.5" x14ac:dyDescent="0.35">
      <c r="A61" s="18">
        <v>917315</v>
      </c>
      <c r="B61" s="19" t="s">
        <v>685</v>
      </c>
      <c r="C61" s="19">
        <v>115</v>
      </c>
      <c r="D61" s="19">
        <v>101</v>
      </c>
      <c r="E61" s="19">
        <v>1410</v>
      </c>
      <c r="F61" s="19">
        <v>8.42</v>
      </c>
      <c r="G61" s="19">
        <v>0</v>
      </c>
      <c r="H61" s="19">
        <v>8.42</v>
      </c>
      <c r="I61" s="20">
        <v>8.42</v>
      </c>
      <c r="J61" s="19">
        <f t="shared" si="1"/>
        <v>0</v>
      </c>
      <c r="K61" s="19">
        <f t="shared" si="2"/>
        <v>0</v>
      </c>
      <c r="L61" s="19">
        <v>1.4630000000000001E-2</v>
      </c>
      <c r="M61" s="19">
        <v>1.2330000000000001E-2</v>
      </c>
      <c r="N61" s="19">
        <v>1.5469999999999999E-2</v>
      </c>
      <c r="O61" s="19">
        <v>1.5270000000000001E-2</v>
      </c>
      <c r="P61" s="19">
        <v>1.5959999999999998E-2</v>
      </c>
      <c r="Q61" s="19">
        <v>1.5610000000000001E-2</v>
      </c>
      <c r="R61" s="19"/>
      <c r="S61" s="19">
        <f t="shared" si="3"/>
        <v>0</v>
      </c>
      <c r="T61" s="19">
        <f t="shared" si="4"/>
        <v>0</v>
      </c>
      <c r="U61" s="19">
        <f t="shared" si="5"/>
        <v>0</v>
      </c>
      <c r="V61" s="19">
        <f t="shared" si="6"/>
        <v>0</v>
      </c>
      <c r="W61" s="19">
        <f t="shared" si="7"/>
        <v>0</v>
      </c>
      <c r="X61" s="21">
        <f t="shared" si="8"/>
        <v>0</v>
      </c>
    </row>
    <row r="62" spans="1:24" ht="13.5" x14ac:dyDescent="0.35">
      <c r="A62" s="18">
        <v>911272</v>
      </c>
      <c r="B62" s="19" t="s">
        <v>636</v>
      </c>
      <c r="C62" s="19">
        <v>115</v>
      </c>
      <c r="D62" s="19">
        <v>101</v>
      </c>
      <c r="E62" s="19">
        <v>1050</v>
      </c>
      <c r="F62" s="19">
        <v>7</v>
      </c>
      <c r="G62" s="19">
        <v>0</v>
      </c>
      <c r="H62" s="19">
        <v>7</v>
      </c>
      <c r="I62" s="20">
        <v>7</v>
      </c>
      <c r="J62" s="19">
        <f t="shared" si="1"/>
        <v>0</v>
      </c>
      <c r="K62" s="19">
        <f t="shared" si="2"/>
        <v>0</v>
      </c>
      <c r="L62" s="19">
        <v>1.431E-2</v>
      </c>
      <c r="M62" s="19">
        <v>1.223E-2</v>
      </c>
      <c r="N62" s="19">
        <v>1.443E-2</v>
      </c>
      <c r="O62" s="19">
        <v>1.478E-2</v>
      </c>
      <c r="P62" s="19">
        <v>1.468E-2</v>
      </c>
      <c r="Q62" s="19">
        <v>1.4930000000000001E-2</v>
      </c>
      <c r="R62" s="19"/>
      <c r="S62" s="19">
        <f t="shared" si="3"/>
        <v>0</v>
      </c>
      <c r="T62" s="19">
        <f t="shared" si="4"/>
        <v>0</v>
      </c>
      <c r="U62" s="19">
        <f t="shared" si="5"/>
        <v>0</v>
      </c>
      <c r="V62" s="19">
        <f t="shared" si="6"/>
        <v>0</v>
      </c>
      <c r="W62" s="19">
        <f t="shared" si="7"/>
        <v>0</v>
      </c>
      <c r="X62" s="21">
        <f t="shared" si="8"/>
        <v>0</v>
      </c>
    </row>
    <row r="63" spans="1:24" ht="13.5" x14ac:dyDescent="0.35">
      <c r="A63" s="18">
        <v>991273</v>
      </c>
      <c r="B63" s="19" t="s">
        <v>724</v>
      </c>
      <c r="C63" s="19">
        <v>115</v>
      </c>
      <c r="D63" s="19">
        <v>101</v>
      </c>
      <c r="E63" s="19">
        <v>1050</v>
      </c>
      <c r="F63" s="19">
        <v>2.46</v>
      </c>
      <c r="G63" s="19">
        <v>0</v>
      </c>
      <c r="H63" s="19">
        <v>2.46</v>
      </c>
      <c r="I63" s="20">
        <v>2.46</v>
      </c>
      <c r="J63" s="19">
        <f t="shared" si="1"/>
        <v>0</v>
      </c>
      <c r="K63" s="19">
        <f t="shared" si="2"/>
        <v>0</v>
      </c>
      <c r="L63" s="19">
        <v>1.431E-2</v>
      </c>
      <c r="M63" s="19">
        <v>1.223E-2</v>
      </c>
      <c r="N63" s="19">
        <v>1.443E-2</v>
      </c>
      <c r="O63" s="19">
        <v>1.478E-2</v>
      </c>
      <c r="P63" s="19">
        <v>1.468E-2</v>
      </c>
      <c r="Q63" s="19">
        <v>1.4930000000000001E-2</v>
      </c>
      <c r="R63" s="19"/>
      <c r="S63" s="19">
        <f t="shared" si="3"/>
        <v>0</v>
      </c>
      <c r="T63" s="19">
        <f t="shared" si="4"/>
        <v>0</v>
      </c>
      <c r="U63" s="19">
        <f t="shared" si="5"/>
        <v>0</v>
      </c>
      <c r="V63" s="19">
        <f t="shared" si="6"/>
        <v>0</v>
      </c>
      <c r="W63" s="19">
        <f t="shared" si="7"/>
        <v>0</v>
      </c>
      <c r="X63" s="21">
        <f t="shared" si="8"/>
        <v>0</v>
      </c>
    </row>
    <row r="64" spans="1:24" ht="13.5" x14ac:dyDescent="0.35">
      <c r="A64" s="18">
        <v>917313</v>
      </c>
      <c r="B64" s="19" t="s">
        <v>684</v>
      </c>
      <c r="C64" s="19">
        <v>115</v>
      </c>
      <c r="D64" s="19">
        <v>101</v>
      </c>
      <c r="E64" s="19">
        <v>1410</v>
      </c>
      <c r="F64" s="19">
        <v>11.8</v>
      </c>
      <c r="G64" s="19">
        <v>0</v>
      </c>
      <c r="H64" s="19">
        <v>11.8</v>
      </c>
      <c r="I64" s="20">
        <v>11.8</v>
      </c>
      <c r="J64" s="19">
        <f t="shared" si="1"/>
        <v>0</v>
      </c>
      <c r="K64" s="19">
        <f t="shared" si="2"/>
        <v>0</v>
      </c>
      <c r="L64" s="19">
        <v>1.414E-2</v>
      </c>
      <c r="M64" s="19">
        <v>1.189E-2</v>
      </c>
      <c r="N64" s="19">
        <v>1.491E-2</v>
      </c>
      <c r="O64" s="19">
        <v>1.469E-2</v>
      </c>
      <c r="P64" s="19">
        <v>1.537E-2</v>
      </c>
      <c r="Q64" s="19">
        <v>1.502E-2</v>
      </c>
      <c r="R64" s="19"/>
      <c r="S64" s="19">
        <f t="shared" si="3"/>
        <v>0</v>
      </c>
      <c r="T64" s="19">
        <f t="shared" si="4"/>
        <v>0</v>
      </c>
      <c r="U64" s="19">
        <f t="shared" si="5"/>
        <v>0</v>
      </c>
      <c r="V64" s="19">
        <f t="shared" si="6"/>
        <v>0</v>
      </c>
      <c r="W64" s="19">
        <f t="shared" si="7"/>
        <v>0</v>
      </c>
      <c r="X64" s="21">
        <f t="shared" si="8"/>
        <v>0</v>
      </c>
    </row>
    <row r="65" spans="1:24" ht="13.5" x14ac:dyDescent="0.35">
      <c r="A65" s="18">
        <v>117495</v>
      </c>
      <c r="B65" s="19" t="s">
        <v>501</v>
      </c>
      <c r="C65" s="19">
        <v>0.9</v>
      </c>
      <c r="D65" s="19">
        <v>101</v>
      </c>
      <c r="E65" s="19">
        <v>1410</v>
      </c>
      <c r="F65" s="19">
        <v>0</v>
      </c>
      <c r="G65" s="19">
        <v>0</v>
      </c>
      <c r="H65" s="19">
        <v>0</v>
      </c>
      <c r="I65" s="20">
        <v>0</v>
      </c>
      <c r="J65" s="19">
        <f t="shared" si="1"/>
        <v>0</v>
      </c>
      <c r="K65" s="19">
        <f t="shared" si="2"/>
        <v>0</v>
      </c>
      <c r="L65" s="19">
        <v>1.32E-2</v>
      </c>
      <c r="M65" s="19">
        <v>1.106E-2</v>
      </c>
      <c r="N65" s="19">
        <v>1.387E-2</v>
      </c>
      <c r="O65" s="19">
        <v>1.3599999999999999E-2</v>
      </c>
      <c r="P65" s="19">
        <v>1.4279999999999999E-2</v>
      </c>
      <c r="Q65" s="19">
        <v>1.392E-2</v>
      </c>
      <c r="R65" s="19"/>
      <c r="S65" s="19">
        <f t="shared" si="3"/>
        <v>0</v>
      </c>
      <c r="T65" s="19">
        <f t="shared" si="4"/>
        <v>0</v>
      </c>
      <c r="U65" s="19">
        <f t="shared" si="5"/>
        <v>0</v>
      </c>
      <c r="V65" s="19">
        <f t="shared" si="6"/>
        <v>0</v>
      </c>
      <c r="W65" s="19">
        <f t="shared" si="7"/>
        <v>0</v>
      </c>
      <c r="X65" s="21">
        <f t="shared" si="8"/>
        <v>0</v>
      </c>
    </row>
    <row r="66" spans="1:24" ht="13.5" x14ac:dyDescent="0.35">
      <c r="A66" s="18">
        <v>917305</v>
      </c>
      <c r="B66" s="19" t="s">
        <v>682</v>
      </c>
      <c r="C66" s="19">
        <v>115</v>
      </c>
      <c r="D66" s="19">
        <v>101</v>
      </c>
      <c r="E66" s="19">
        <v>1410</v>
      </c>
      <c r="F66" s="19">
        <v>3.5</v>
      </c>
      <c r="G66" s="19">
        <v>0</v>
      </c>
      <c r="H66" s="19">
        <v>3.5</v>
      </c>
      <c r="I66" s="20">
        <v>3.5</v>
      </c>
      <c r="J66" s="19">
        <f t="shared" si="1"/>
        <v>0</v>
      </c>
      <c r="K66" s="19">
        <f t="shared" si="2"/>
        <v>0</v>
      </c>
      <c r="L66" s="19">
        <v>1.2290000000000001E-2</v>
      </c>
      <c r="M66" s="19">
        <v>1.026E-2</v>
      </c>
      <c r="N66" s="19">
        <v>1.286E-2</v>
      </c>
      <c r="O66" s="19">
        <v>1.2540000000000001E-2</v>
      </c>
      <c r="P66" s="19">
        <v>1.321E-2</v>
      </c>
      <c r="Q66" s="19">
        <v>1.285E-2</v>
      </c>
      <c r="R66" s="19"/>
      <c r="S66" s="19">
        <f t="shared" si="3"/>
        <v>0</v>
      </c>
      <c r="T66" s="19">
        <f t="shared" si="4"/>
        <v>0</v>
      </c>
      <c r="U66" s="19">
        <f t="shared" si="5"/>
        <v>0</v>
      </c>
      <c r="V66" s="19">
        <f t="shared" si="6"/>
        <v>0</v>
      </c>
      <c r="W66" s="19">
        <f t="shared" si="7"/>
        <v>0</v>
      </c>
      <c r="X66" s="21">
        <f t="shared" si="8"/>
        <v>0</v>
      </c>
    </row>
    <row r="67" spans="1:24" ht="13.5" x14ac:dyDescent="0.35">
      <c r="A67" s="18">
        <v>911264</v>
      </c>
      <c r="B67" s="19" t="s">
        <v>631</v>
      </c>
      <c r="C67" s="19">
        <v>115</v>
      </c>
      <c r="D67" s="19">
        <v>101</v>
      </c>
      <c r="E67" s="19">
        <v>1050</v>
      </c>
      <c r="F67" s="19">
        <v>69.38</v>
      </c>
      <c r="G67" s="19">
        <v>0</v>
      </c>
      <c r="H67" s="19">
        <v>69.38</v>
      </c>
      <c r="I67" s="20">
        <v>69.38</v>
      </c>
      <c r="J67" s="19">
        <f t="shared" si="1"/>
        <v>0</v>
      </c>
      <c r="K67" s="19">
        <f t="shared" si="2"/>
        <v>0</v>
      </c>
      <c r="L67" s="19">
        <v>1.217E-2</v>
      </c>
      <c r="M67" s="19">
        <v>1.034E-2</v>
      </c>
      <c r="N67" s="19">
        <v>1.2359999999999999E-2</v>
      </c>
      <c r="O67" s="19">
        <v>1.2659999999999999E-2</v>
      </c>
      <c r="P67" s="19">
        <v>1.2540000000000001E-2</v>
      </c>
      <c r="Q67" s="19">
        <v>1.2800000000000001E-2</v>
      </c>
      <c r="R67" s="19"/>
      <c r="S67" s="19">
        <f t="shared" si="3"/>
        <v>0</v>
      </c>
      <c r="T67" s="19">
        <f t="shared" si="4"/>
        <v>0</v>
      </c>
      <c r="U67" s="19">
        <f t="shared" si="5"/>
        <v>0</v>
      </c>
      <c r="V67" s="19">
        <f t="shared" si="6"/>
        <v>0</v>
      </c>
      <c r="W67" s="19">
        <f t="shared" si="7"/>
        <v>0</v>
      </c>
      <c r="X67" s="21">
        <f t="shared" si="8"/>
        <v>0</v>
      </c>
    </row>
    <row r="68" spans="1:24" ht="13.5" x14ac:dyDescent="0.35">
      <c r="A68" s="18">
        <v>991264</v>
      </c>
      <c r="B68" s="19" t="s">
        <v>631</v>
      </c>
      <c r="C68" s="19">
        <v>115</v>
      </c>
      <c r="D68" s="19">
        <v>101</v>
      </c>
      <c r="E68" s="19">
        <v>1050</v>
      </c>
      <c r="F68" s="19">
        <v>0</v>
      </c>
      <c r="G68" s="19">
        <v>0</v>
      </c>
      <c r="H68" s="19">
        <v>0</v>
      </c>
      <c r="I68" s="20">
        <v>0</v>
      </c>
      <c r="J68" s="19">
        <f t="shared" si="1"/>
        <v>0</v>
      </c>
      <c r="K68" s="19">
        <f t="shared" si="2"/>
        <v>0</v>
      </c>
      <c r="L68" s="19">
        <v>1.217E-2</v>
      </c>
      <c r="M68" s="19">
        <v>1.034E-2</v>
      </c>
      <c r="N68" s="19">
        <v>1.2359999999999999E-2</v>
      </c>
      <c r="O68" s="19">
        <v>1.2659999999999999E-2</v>
      </c>
      <c r="P68" s="19">
        <v>1.2540000000000001E-2</v>
      </c>
      <c r="Q68" s="19">
        <v>1.2800000000000001E-2</v>
      </c>
      <c r="R68" s="19"/>
      <c r="S68" s="19">
        <f t="shared" si="3"/>
        <v>0</v>
      </c>
      <c r="T68" s="19">
        <f t="shared" si="4"/>
        <v>0</v>
      </c>
      <c r="U68" s="19">
        <f t="shared" si="5"/>
        <v>0</v>
      </c>
      <c r="V68" s="19">
        <f t="shared" si="6"/>
        <v>0</v>
      </c>
      <c r="W68" s="19">
        <f t="shared" si="7"/>
        <v>0</v>
      </c>
      <c r="X68" s="21">
        <f t="shared" si="8"/>
        <v>0</v>
      </c>
    </row>
    <row r="69" spans="1:24" ht="13.5" x14ac:dyDescent="0.35">
      <c r="A69" s="18">
        <v>911260</v>
      </c>
      <c r="B69" s="19" t="s">
        <v>630</v>
      </c>
      <c r="C69" s="19">
        <v>115</v>
      </c>
      <c r="D69" s="19">
        <v>101</v>
      </c>
      <c r="E69" s="19">
        <v>1050</v>
      </c>
      <c r="F69" s="19">
        <v>0</v>
      </c>
      <c r="G69" s="19">
        <v>0</v>
      </c>
      <c r="H69" s="19">
        <v>0</v>
      </c>
      <c r="I69" s="20">
        <v>0</v>
      </c>
      <c r="J69" s="19">
        <f t="shared" si="1"/>
        <v>0</v>
      </c>
      <c r="K69" s="19">
        <f t="shared" si="2"/>
        <v>0</v>
      </c>
      <c r="L69" s="19">
        <v>1.214E-2</v>
      </c>
      <c r="M69" s="19">
        <v>1.03E-2</v>
      </c>
      <c r="N69" s="19">
        <v>1.2330000000000001E-2</v>
      </c>
      <c r="O69" s="19">
        <v>1.2630000000000001E-2</v>
      </c>
      <c r="P69" s="19">
        <v>1.251E-2</v>
      </c>
      <c r="Q69" s="19">
        <v>1.2760000000000001E-2</v>
      </c>
      <c r="R69" s="19"/>
      <c r="S69" s="19">
        <f t="shared" si="3"/>
        <v>0</v>
      </c>
      <c r="T69" s="19">
        <f t="shared" si="4"/>
        <v>0</v>
      </c>
      <c r="U69" s="19">
        <f t="shared" si="5"/>
        <v>0</v>
      </c>
      <c r="V69" s="19">
        <f t="shared" si="6"/>
        <v>0</v>
      </c>
      <c r="W69" s="19">
        <f t="shared" si="7"/>
        <v>0</v>
      </c>
      <c r="X69" s="21">
        <f t="shared" si="8"/>
        <v>0</v>
      </c>
    </row>
    <row r="70" spans="1:24" ht="13.5" x14ac:dyDescent="0.35">
      <c r="A70" s="18">
        <v>117507</v>
      </c>
      <c r="B70" s="19" t="s">
        <v>505</v>
      </c>
      <c r="C70" s="19">
        <v>0.55000000000000004</v>
      </c>
      <c r="D70" s="19">
        <v>101</v>
      </c>
      <c r="E70" s="19">
        <v>1410</v>
      </c>
      <c r="F70" s="19">
        <v>0</v>
      </c>
      <c r="G70" s="19">
        <v>0</v>
      </c>
      <c r="H70" s="19">
        <v>0</v>
      </c>
      <c r="I70" s="20">
        <v>0</v>
      </c>
      <c r="J70" s="19">
        <f t="shared" si="1"/>
        <v>0</v>
      </c>
      <c r="K70" s="19">
        <f t="shared" si="2"/>
        <v>0</v>
      </c>
      <c r="L70" s="19">
        <v>1.1480000000000001E-2</v>
      </c>
      <c r="M70" s="19">
        <v>9.5300000000000003E-3</v>
      </c>
      <c r="N70" s="19">
        <v>1.1939999999999999E-2</v>
      </c>
      <c r="O70" s="19">
        <v>1.159E-2</v>
      </c>
      <c r="P70" s="19">
        <v>1.225E-2</v>
      </c>
      <c r="Q70" s="19">
        <v>1.189E-2</v>
      </c>
      <c r="R70" s="19"/>
      <c r="S70" s="19">
        <f t="shared" si="3"/>
        <v>0</v>
      </c>
      <c r="T70" s="19">
        <f t="shared" si="4"/>
        <v>0</v>
      </c>
      <c r="U70" s="19">
        <f t="shared" si="5"/>
        <v>0</v>
      </c>
      <c r="V70" s="19">
        <f t="shared" si="6"/>
        <v>0</v>
      </c>
      <c r="W70" s="19">
        <f t="shared" si="7"/>
        <v>0</v>
      </c>
      <c r="X70" s="21">
        <f t="shared" si="8"/>
        <v>0</v>
      </c>
    </row>
    <row r="71" spans="1:24" ht="13.5" x14ac:dyDescent="0.35">
      <c r="A71" s="18">
        <v>917348</v>
      </c>
      <c r="B71" s="19" t="s">
        <v>691</v>
      </c>
      <c r="C71" s="19">
        <v>115</v>
      </c>
      <c r="D71" s="19">
        <v>101</v>
      </c>
      <c r="E71" s="19">
        <v>1410</v>
      </c>
      <c r="F71" s="19">
        <v>69.099999999999994</v>
      </c>
      <c r="G71" s="19">
        <v>0</v>
      </c>
      <c r="H71" s="19">
        <v>69.099999999999994</v>
      </c>
      <c r="I71" s="20">
        <v>69.099999999999994</v>
      </c>
      <c r="J71" s="19">
        <f t="shared" si="1"/>
        <v>0</v>
      </c>
      <c r="K71" s="19">
        <f t="shared" si="2"/>
        <v>0</v>
      </c>
      <c r="L71" s="19">
        <v>1.1480000000000001E-2</v>
      </c>
      <c r="M71" s="19">
        <v>9.5300000000000003E-3</v>
      </c>
      <c r="N71" s="19">
        <v>1.1939999999999999E-2</v>
      </c>
      <c r="O71" s="19">
        <v>1.159E-2</v>
      </c>
      <c r="P71" s="19">
        <v>1.225E-2</v>
      </c>
      <c r="Q71" s="19">
        <v>1.189E-2</v>
      </c>
      <c r="R71" s="19"/>
      <c r="S71" s="19">
        <f t="shared" si="3"/>
        <v>0</v>
      </c>
      <c r="T71" s="19">
        <f t="shared" si="4"/>
        <v>0</v>
      </c>
      <c r="U71" s="19">
        <f t="shared" si="5"/>
        <v>0</v>
      </c>
      <c r="V71" s="19">
        <f t="shared" si="6"/>
        <v>0</v>
      </c>
      <c r="W71" s="19">
        <f t="shared" si="7"/>
        <v>0</v>
      </c>
      <c r="X71" s="21">
        <f t="shared" si="8"/>
        <v>0</v>
      </c>
    </row>
    <row r="72" spans="1:24" ht="13.5" x14ac:dyDescent="0.35">
      <c r="A72" s="18">
        <v>917458</v>
      </c>
      <c r="B72" s="19" t="s">
        <v>696</v>
      </c>
      <c r="C72" s="19">
        <v>115</v>
      </c>
      <c r="D72" s="19">
        <v>101</v>
      </c>
      <c r="E72" s="19">
        <v>12</v>
      </c>
      <c r="F72" s="19">
        <v>0</v>
      </c>
      <c r="G72" s="19">
        <v>0</v>
      </c>
      <c r="H72" s="19">
        <v>0</v>
      </c>
      <c r="I72" s="20">
        <v>0</v>
      </c>
      <c r="J72" s="19">
        <f t="shared" si="1"/>
        <v>0</v>
      </c>
      <c r="K72" s="19">
        <f t="shared" si="2"/>
        <v>0</v>
      </c>
      <c r="L72" s="19">
        <v>1.065E-2</v>
      </c>
      <c r="M72" s="19">
        <v>8.8000000000000005E-3</v>
      </c>
      <c r="N72" s="19">
        <v>1.102E-2</v>
      </c>
      <c r="O72" s="19">
        <v>1.0619999999999999E-2</v>
      </c>
      <c r="P72" s="19">
        <v>1.128E-2</v>
      </c>
      <c r="Q72" s="19">
        <v>1.091E-2</v>
      </c>
      <c r="R72" s="19"/>
      <c r="S72" s="19">
        <f t="shared" si="3"/>
        <v>0</v>
      </c>
      <c r="T72" s="19">
        <f t="shared" si="4"/>
        <v>0</v>
      </c>
      <c r="U72" s="19">
        <f t="shared" si="5"/>
        <v>0</v>
      </c>
      <c r="V72" s="19">
        <f t="shared" si="6"/>
        <v>0</v>
      </c>
      <c r="W72" s="19">
        <f t="shared" si="7"/>
        <v>0</v>
      </c>
      <c r="X72" s="21">
        <f t="shared" si="8"/>
        <v>0</v>
      </c>
    </row>
    <row r="73" spans="1:24" ht="13.5" x14ac:dyDescent="0.35">
      <c r="A73" s="18">
        <v>911406</v>
      </c>
      <c r="B73" s="19" t="s">
        <v>642</v>
      </c>
      <c r="C73" s="19">
        <v>115</v>
      </c>
      <c r="D73" s="19">
        <v>101</v>
      </c>
      <c r="E73" s="19">
        <v>1050</v>
      </c>
      <c r="F73" s="19">
        <v>24.07</v>
      </c>
      <c r="G73" s="19">
        <v>0</v>
      </c>
      <c r="H73" s="19">
        <v>24.07</v>
      </c>
      <c r="I73" s="20">
        <v>24.07</v>
      </c>
      <c r="J73" s="19">
        <f t="shared" si="1"/>
        <v>0</v>
      </c>
      <c r="K73" s="19">
        <f t="shared" si="2"/>
        <v>0</v>
      </c>
      <c r="L73" s="19">
        <v>1.018E-2</v>
      </c>
      <c r="M73" s="19">
        <v>8.5699999999999995E-3</v>
      </c>
      <c r="N73" s="19">
        <v>1.043E-2</v>
      </c>
      <c r="O73" s="19">
        <v>1.068E-2</v>
      </c>
      <c r="P73" s="19">
        <v>1.055E-2</v>
      </c>
      <c r="Q73" s="19">
        <v>1.081E-2</v>
      </c>
      <c r="R73" s="19"/>
      <c r="S73" s="19">
        <f t="shared" si="3"/>
        <v>0</v>
      </c>
      <c r="T73" s="19">
        <f t="shared" si="4"/>
        <v>0</v>
      </c>
      <c r="U73" s="19">
        <f t="shared" si="5"/>
        <v>0</v>
      </c>
      <c r="V73" s="19">
        <f t="shared" si="6"/>
        <v>0</v>
      </c>
      <c r="W73" s="19">
        <f t="shared" si="7"/>
        <v>0</v>
      </c>
      <c r="X73" s="21">
        <f t="shared" si="8"/>
        <v>0</v>
      </c>
    </row>
    <row r="74" spans="1:24" ht="13.5" x14ac:dyDescent="0.35">
      <c r="A74" s="18">
        <v>121638</v>
      </c>
      <c r="B74" s="19" t="s">
        <v>522</v>
      </c>
      <c r="C74" s="19">
        <v>0.6</v>
      </c>
      <c r="D74" s="19">
        <v>101</v>
      </c>
      <c r="E74" s="19">
        <v>1634</v>
      </c>
      <c r="F74" s="19">
        <v>0</v>
      </c>
      <c r="G74" s="19">
        <v>0</v>
      </c>
      <c r="H74" s="19">
        <v>0</v>
      </c>
      <c r="I74" s="20">
        <v>0</v>
      </c>
      <c r="J74" s="19">
        <f t="shared" si="1"/>
        <v>0</v>
      </c>
      <c r="K74" s="19">
        <f t="shared" si="2"/>
        <v>0</v>
      </c>
      <c r="L74" s="19">
        <v>9.6600000000000002E-3</v>
      </c>
      <c r="M74" s="19">
        <v>7.92E-3</v>
      </c>
      <c r="N74" s="19">
        <v>9.9100000000000004E-3</v>
      </c>
      <c r="O74" s="19">
        <v>9.4599999999999997E-3</v>
      </c>
      <c r="P74" s="19">
        <v>1.0120000000000001E-2</v>
      </c>
      <c r="Q74" s="19">
        <v>9.7400000000000004E-3</v>
      </c>
      <c r="R74" s="19"/>
      <c r="S74" s="19">
        <f t="shared" si="3"/>
        <v>0</v>
      </c>
      <c r="T74" s="19">
        <f t="shared" si="4"/>
        <v>0</v>
      </c>
      <c r="U74" s="19">
        <f t="shared" si="5"/>
        <v>0</v>
      </c>
      <c r="V74" s="19">
        <f t="shared" si="6"/>
        <v>0</v>
      </c>
      <c r="W74" s="19">
        <f t="shared" si="7"/>
        <v>0</v>
      </c>
      <c r="X74" s="21">
        <f t="shared" si="8"/>
        <v>0</v>
      </c>
    </row>
    <row r="75" spans="1:24" ht="13.5" x14ac:dyDescent="0.35">
      <c r="A75" s="18">
        <v>121587</v>
      </c>
      <c r="B75" s="19" t="s">
        <v>520</v>
      </c>
      <c r="C75" s="19">
        <v>4.16</v>
      </c>
      <c r="D75" s="19">
        <v>101</v>
      </c>
      <c r="E75" s="19">
        <v>1634</v>
      </c>
      <c r="F75" s="19">
        <v>0</v>
      </c>
      <c r="G75" s="19">
        <v>0</v>
      </c>
      <c r="H75" s="19">
        <v>0</v>
      </c>
      <c r="I75" s="20">
        <v>0</v>
      </c>
      <c r="J75" s="19">
        <f t="shared" si="1"/>
        <v>0</v>
      </c>
      <c r="K75" s="19">
        <f t="shared" si="2"/>
        <v>0</v>
      </c>
      <c r="L75" s="19">
        <v>7.8700000000000003E-3</v>
      </c>
      <c r="M75" s="19">
        <v>6.3400000000000001E-3</v>
      </c>
      <c r="N75" s="19">
        <v>7.92E-3</v>
      </c>
      <c r="O75" s="19">
        <v>7.3800000000000003E-3</v>
      </c>
      <c r="P75" s="19">
        <v>8.0199999999999994E-3</v>
      </c>
      <c r="Q75" s="19">
        <v>7.6299999999999996E-3</v>
      </c>
      <c r="R75" s="19"/>
      <c r="S75" s="19">
        <f t="shared" si="3"/>
        <v>0</v>
      </c>
      <c r="T75" s="19">
        <f t="shared" si="4"/>
        <v>0</v>
      </c>
      <c r="U75" s="19">
        <f t="shared" si="5"/>
        <v>0</v>
      </c>
      <c r="V75" s="19">
        <f t="shared" si="6"/>
        <v>0</v>
      </c>
      <c r="W75" s="19">
        <f t="shared" si="7"/>
        <v>0</v>
      </c>
      <c r="X75" s="21">
        <f t="shared" si="8"/>
        <v>0</v>
      </c>
    </row>
    <row r="76" spans="1:24" ht="13.5" x14ac:dyDescent="0.35">
      <c r="A76" s="18">
        <v>999672</v>
      </c>
      <c r="B76" s="19" t="s">
        <v>735</v>
      </c>
      <c r="C76" s="19">
        <v>115</v>
      </c>
      <c r="D76" s="19">
        <v>101</v>
      </c>
      <c r="E76" s="19">
        <v>1630</v>
      </c>
      <c r="F76" s="19">
        <v>0</v>
      </c>
      <c r="G76" s="19">
        <v>0</v>
      </c>
      <c r="H76" s="19">
        <v>0</v>
      </c>
      <c r="I76" s="20">
        <v>0</v>
      </c>
      <c r="J76" s="19">
        <f t="shared" si="1"/>
        <v>0</v>
      </c>
      <c r="K76" s="19">
        <f t="shared" si="2"/>
        <v>0</v>
      </c>
      <c r="L76" s="19">
        <v>7.8700000000000003E-3</v>
      </c>
      <c r="M76" s="19">
        <v>6.3400000000000001E-3</v>
      </c>
      <c r="N76" s="19">
        <v>7.92E-3</v>
      </c>
      <c r="O76" s="19">
        <v>7.3800000000000003E-3</v>
      </c>
      <c r="P76" s="19">
        <v>8.0199999999999994E-3</v>
      </c>
      <c r="Q76" s="19">
        <v>7.6299999999999996E-3</v>
      </c>
      <c r="R76" s="19"/>
      <c r="S76" s="19">
        <f t="shared" si="3"/>
        <v>0</v>
      </c>
      <c r="T76" s="19">
        <f t="shared" si="4"/>
        <v>0</v>
      </c>
      <c r="U76" s="19">
        <f t="shared" si="5"/>
        <v>0</v>
      </c>
      <c r="V76" s="19">
        <f t="shared" si="6"/>
        <v>0</v>
      </c>
      <c r="W76" s="19">
        <f t="shared" si="7"/>
        <v>0</v>
      </c>
      <c r="X76" s="21">
        <f t="shared" si="8"/>
        <v>0</v>
      </c>
    </row>
    <row r="77" spans="1:24" ht="13.5" x14ac:dyDescent="0.35">
      <c r="A77" s="18">
        <v>911271</v>
      </c>
      <c r="B77" s="19" t="s">
        <v>635</v>
      </c>
      <c r="C77" s="19">
        <v>115</v>
      </c>
      <c r="D77" s="19">
        <v>101</v>
      </c>
      <c r="E77" s="19">
        <v>1050</v>
      </c>
      <c r="F77" s="19">
        <v>32.96</v>
      </c>
      <c r="G77" s="19">
        <v>0</v>
      </c>
      <c r="H77" s="19">
        <v>32.96</v>
      </c>
      <c r="I77" s="20">
        <v>32.96</v>
      </c>
      <c r="J77" s="19">
        <f t="shared" si="1"/>
        <v>0</v>
      </c>
      <c r="K77" s="19">
        <f t="shared" si="2"/>
        <v>0</v>
      </c>
      <c r="L77" s="19">
        <v>7.5700000000000003E-3</v>
      </c>
      <c r="M77" s="19">
        <v>6.2500000000000003E-3</v>
      </c>
      <c r="N77" s="19">
        <v>7.9000000000000008E-3</v>
      </c>
      <c r="O77" s="19">
        <v>8.0700000000000008E-3</v>
      </c>
      <c r="P77" s="19">
        <v>7.9299999999999995E-3</v>
      </c>
      <c r="Q77" s="19">
        <v>8.2000000000000007E-3</v>
      </c>
      <c r="R77" s="19"/>
      <c r="S77" s="19">
        <f t="shared" si="3"/>
        <v>0</v>
      </c>
      <c r="T77" s="19">
        <f t="shared" si="4"/>
        <v>0</v>
      </c>
      <c r="U77" s="19">
        <f t="shared" si="5"/>
        <v>0</v>
      </c>
      <c r="V77" s="19">
        <f t="shared" si="6"/>
        <v>0</v>
      </c>
      <c r="W77" s="19">
        <f t="shared" si="7"/>
        <v>0</v>
      </c>
      <c r="X77" s="21">
        <f t="shared" si="8"/>
        <v>0</v>
      </c>
    </row>
    <row r="78" spans="1:24" ht="13.5" x14ac:dyDescent="0.35">
      <c r="A78" s="18">
        <v>121513</v>
      </c>
      <c r="B78" s="19" t="s">
        <v>507</v>
      </c>
      <c r="C78" s="19">
        <v>21</v>
      </c>
      <c r="D78" s="19">
        <v>101</v>
      </c>
      <c r="E78" s="19">
        <v>1633</v>
      </c>
      <c r="F78" s="19">
        <v>0</v>
      </c>
      <c r="G78" s="19">
        <v>0</v>
      </c>
      <c r="H78" s="19">
        <v>0</v>
      </c>
      <c r="I78" s="20">
        <v>0</v>
      </c>
      <c r="J78" s="19">
        <f t="shared" si="1"/>
        <v>0</v>
      </c>
      <c r="K78" s="19">
        <f t="shared" si="2"/>
        <v>0</v>
      </c>
      <c r="L78" s="19">
        <v>6.13E-3</v>
      </c>
      <c r="M78" s="19">
        <v>4.7600000000000003E-3</v>
      </c>
      <c r="N78" s="19">
        <v>6.1900000000000002E-3</v>
      </c>
      <c r="O78" s="19">
        <v>5.4200000000000003E-3</v>
      </c>
      <c r="P78" s="19">
        <v>6.28E-3</v>
      </c>
      <c r="Q78" s="19">
        <v>5.7000000000000002E-3</v>
      </c>
      <c r="R78" s="19"/>
      <c r="S78" s="19">
        <f t="shared" si="3"/>
        <v>0</v>
      </c>
      <c r="T78" s="19">
        <f t="shared" si="4"/>
        <v>0</v>
      </c>
      <c r="U78" s="19">
        <f t="shared" si="5"/>
        <v>0</v>
      </c>
      <c r="V78" s="19">
        <f t="shared" si="6"/>
        <v>0</v>
      </c>
      <c r="W78" s="19">
        <f t="shared" si="7"/>
        <v>0</v>
      </c>
      <c r="X78" s="21">
        <f t="shared" si="8"/>
        <v>0</v>
      </c>
    </row>
    <row r="79" spans="1:24" ht="13.5" x14ac:dyDescent="0.35">
      <c r="A79" s="18">
        <v>121514</v>
      </c>
      <c r="B79" s="19" t="s">
        <v>508</v>
      </c>
      <c r="C79" s="19">
        <v>21</v>
      </c>
      <c r="D79" s="19">
        <v>101</v>
      </c>
      <c r="E79" s="19">
        <v>1633</v>
      </c>
      <c r="F79" s="19">
        <v>0</v>
      </c>
      <c r="G79" s="19">
        <v>0</v>
      </c>
      <c r="H79" s="19">
        <v>0</v>
      </c>
      <c r="I79" s="20">
        <v>0</v>
      </c>
      <c r="J79" s="19">
        <f t="shared" ref="J79:J142" si="9">I79-F79</f>
        <v>0</v>
      </c>
      <c r="K79" s="19">
        <f t="shared" ref="K79:K142" si="10">H79-I79</f>
        <v>0</v>
      </c>
      <c r="L79" s="19">
        <v>6.13E-3</v>
      </c>
      <c r="M79" s="19">
        <v>4.7600000000000003E-3</v>
      </c>
      <c r="N79" s="19">
        <v>6.1900000000000002E-3</v>
      </c>
      <c r="O79" s="19">
        <v>5.4200000000000003E-3</v>
      </c>
      <c r="P79" s="19">
        <v>6.28E-3</v>
      </c>
      <c r="Q79" s="19">
        <v>5.7000000000000002E-3</v>
      </c>
      <c r="R79" s="19"/>
      <c r="S79" s="19">
        <f t="shared" ref="S79:S142" si="11">L79*J79</f>
        <v>0</v>
      </c>
      <c r="T79" s="19">
        <f t="shared" ref="T79:T142" si="12">M79*J79</f>
        <v>0</v>
      </c>
      <c r="U79" s="19">
        <f t="shared" ref="U79:U142" si="13">N79*J79</f>
        <v>0</v>
      </c>
      <c r="V79" s="19">
        <f t="shared" ref="V79:V142" si="14">O79*J79</f>
        <v>0</v>
      </c>
      <c r="W79" s="19">
        <f t="shared" ref="W79:W142" si="15">P79*J79</f>
        <v>0</v>
      </c>
      <c r="X79" s="21">
        <f t="shared" ref="X79:X142" si="16">Q79*J79</f>
        <v>0</v>
      </c>
    </row>
    <row r="80" spans="1:24" ht="13.5" x14ac:dyDescent="0.35">
      <c r="A80" s="18">
        <v>121515</v>
      </c>
      <c r="B80" s="19" t="s">
        <v>509</v>
      </c>
      <c r="C80" s="19">
        <v>21</v>
      </c>
      <c r="D80" s="19">
        <v>101</v>
      </c>
      <c r="E80" s="19">
        <v>1633</v>
      </c>
      <c r="F80" s="19">
        <v>0</v>
      </c>
      <c r="G80" s="19">
        <v>0</v>
      </c>
      <c r="H80" s="19">
        <v>0</v>
      </c>
      <c r="I80" s="20">
        <v>0</v>
      </c>
      <c r="J80" s="19">
        <f t="shared" si="9"/>
        <v>0</v>
      </c>
      <c r="K80" s="19">
        <f t="shared" si="10"/>
        <v>0</v>
      </c>
      <c r="L80" s="19">
        <v>6.13E-3</v>
      </c>
      <c r="M80" s="19">
        <v>4.7600000000000003E-3</v>
      </c>
      <c r="N80" s="19">
        <v>6.1900000000000002E-3</v>
      </c>
      <c r="O80" s="19">
        <v>5.4200000000000003E-3</v>
      </c>
      <c r="P80" s="19">
        <v>6.28E-3</v>
      </c>
      <c r="Q80" s="19">
        <v>5.7000000000000002E-3</v>
      </c>
      <c r="R80" s="19"/>
      <c r="S80" s="19">
        <f t="shared" si="11"/>
        <v>0</v>
      </c>
      <c r="T80" s="19">
        <f t="shared" si="12"/>
        <v>0</v>
      </c>
      <c r="U80" s="19">
        <f t="shared" si="13"/>
        <v>0</v>
      </c>
      <c r="V80" s="19">
        <f t="shared" si="14"/>
        <v>0</v>
      </c>
      <c r="W80" s="19">
        <f t="shared" si="15"/>
        <v>0</v>
      </c>
      <c r="X80" s="21">
        <f t="shared" si="16"/>
        <v>0</v>
      </c>
    </row>
    <row r="81" spans="1:24" ht="13.5" x14ac:dyDescent="0.35">
      <c r="A81" s="18">
        <v>999038</v>
      </c>
      <c r="B81" s="19" t="s">
        <v>733</v>
      </c>
      <c r="C81" s="19">
        <v>345</v>
      </c>
      <c r="D81" s="19">
        <v>101</v>
      </c>
      <c r="E81" s="19">
        <v>1630</v>
      </c>
      <c r="F81" s="19">
        <v>0</v>
      </c>
      <c r="G81" s="19">
        <v>0</v>
      </c>
      <c r="H81" s="19">
        <v>0</v>
      </c>
      <c r="I81" s="20">
        <v>0</v>
      </c>
      <c r="J81" s="19">
        <f t="shared" si="9"/>
        <v>0</v>
      </c>
      <c r="K81" s="19">
        <f t="shared" si="10"/>
        <v>0</v>
      </c>
      <c r="L81" s="19">
        <v>6.1000000000000004E-3</v>
      </c>
      <c r="M81" s="19">
        <v>4.7299999999999998E-3</v>
      </c>
      <c r="N81" s="19">
        <v>6.1500000000000001E-3</v>
      </c>
      <c r="O81" s="19">
        <v>5.3699999999999998E-3</v>
      </c>
      <c r="P81" s="19">
        <v>6.2500000000000003E-3</v>
      </c>
      <c r="Q81" s="19">
        <v>5.6600000000000001E-3</v>
      </c>
      <c r="R81" s="19"/>
      <c r="S81" s="19">
        <f t="shared" si="11"/>
        <v>0</v>
      </c>
      <c r="T81" s="19">
        <f t="shared" si="12"/>
        <v>0</v>
      </c>
      <c r="U81" s="19">
        <f t="shared" si="13"/>
        <v>0</v>
      </c>
      <c r="V81" s="19">
        <f t="shared" si="14"/>
        <v>0</v>
      </c>
      <c r="W81" s="19">
        <f t="shared" si="15"/>
        <v>0</v>
      </c>
      <c r="X81" s="21">
        <f t="shared" si="16"/>
        <v>0</v>
      </c>
    </row>
    <row r="82" spans="1:24" ht="13.5" x14ac:dyDescent="0.35">
      <c r="A82" s="18">
        <v>121517</v>
      </c>
      <c r="B82" s="19" t="s">
        <v>510</v>
      </c>
      <c r="C82" s="19">
        <v>23.5</v>
      </c>
      <c r="D82" s="19">
        <v>101</v>
      </c>
      <c r="E82" s="19">
        <v>1633</v>
      </c>
      <c r="F82" s="19">
        <v>0</v>
      </c>
      <c r="G82" s="19">
        <v>0</v>
      </c>
      <c r="H82" s="19">
        <v>0</v>
      </c>
      <c r="I82" s="20">
        <v>0</v>
      </c>
      <c r="J82" s="19">
        <f t="shared" si="9"/>
        <v>0</v>
      </c>
      <c r="K82" s="19">
        <f t="shared" si="10"/>
        <v>0</v>
      </c>
      <c r="L82" s="19">
        <v>6.0499999999999998E-3</v>
      </c>
      <c r="M82" s="19">
        <v>4.6899999999999997E-3</v>
      </c>
      <c r="N82" s="19">
        <v>6.0899999999999999E-3</v>
      </c>
      <c r="O82" s="19">
        <v>5.3299999999999997E-3</v>
      </c>
      <c r="P82" s="19">
        <v>6.1799999999999997E-3</v>
      </c>
      <c r="Q82" s="19">
        <v>5.6100000000000004E-3</v>
      </c>
      <c r="R82" s="19"/>
      <c r="S82" s="19">
        <f t="shared" si="11"/>
        <v>0</v>
      </c>
      <c r="T82" s="19">
        <f t="shared" si="12"/>
        <v>0</v>
      </c>
      <c r="U82" s="19">
        <f t="shared" si="13"/>
        <v>0</v>
      </c>
      <c r="V82" s="19">
        <f t="shared" si="14"/>
        <v>0</v>
      </c>
      <c r="W82" s="19">
        <f t="shared" si="15"/>
        <v>0</v>
      </c>
      <c r="X82" s="21">
        <f t="shared" si="16"/>
        <v>0</v>
      </c>
    </row>
    <row r="83" spans="1:24" ht="13.5" x14ac:dyDescent="0.35">
      <c r="A83" s="18">
        <v>121518</v>
      </c>
      <c r="B83" s="19" t="s">
        <v>511</v>
      </c>
      <c r="C83" s="19">
        <v>16</v>
      </c>
      <c r="D83" s="19">
        <v>101</v>
      </c>
      <c r="E83" s="19">
        <v>1633</v>
      </c>
      <c r="F83" s="19">
        <v>0</v>
      </c>
      <c r="G83" s="19">
        <v>0</v>
      </c>
      <c r="H83" s="19">
        <v>0</v>
      </c>
      <c r="I83" s="20">
        <v>0</v>
      </c>
      <c r="J83" s="19">
        <f t="shared" si="9"/>
        <v>0</v>
      </c>
      <c r="K83" s="19">
        <f t="shared" si="10"/>
        <v>0</v>
      </c>
      <c r="L83" s="19">
        <v>6.0499999999999998E-3</v>
      </c>
      <c r="M83" s="19">
        <v>4.6899999999999997E-3</v>
      </c>
      <c r="N83" s="19">
        <v>6.0899999999999999E-3</v>
      </c>
      <c r="O83" s="19">
        <v>5.3299999999999997E-3</v>
      </c>
      <c r="P83" s="19">
        <v>6.1799999999999997E-3</v>
      </c>
      <c r="Q83" s="19">
        <v>5.6100000000000004E-3</v>
      </c>
      <c r="R83" s="19"/>
      <c r="S83" s="19">
        <f t="shared" si="11"/>
        <v>0</v>
      </c>
      <c r="T83" s="19">
        <f t="shared" si="12"/>
        <v>0</v>
      </c>
      <c r="U83" s="19">
        <f t="shared" si="13"/>
        <v>0</v>
      </c>
      <c r="V83" s="19">
        <f t="shared" si="14"/>
        <v>0</v>
      </c>
      <c r="W83" s="19">
        <f t="shared" si="15"/>
        <v>0</v>
      </c>
      <c r="X83" s="21">
        <f t="shared" si="16"/>
        <v>0</v>
      </c>
    </row>
    <row r="84" spans="1:24" ht="13.5" x14ac:dyDescent="0.35">
      <c r="A84" s="18">
        <v>121526</v>
      </c>
      <c r="B84" s="19" t="s">
        <v>512</v>
      </c>
      <c r="C84" s="19">
        <v>0.38</v>
      </c>
      <c r="D84" s="19">
        <v>101</v>
      </c>
      <c r="E84" s="19">
        <v>1634</v>
      </c>
      <c r="F84" s="19">
        <v>0</v>
      </c>
      <c r="G84" s="19">
        <v>0</v>
      </c>
      <c r="H84" s="19">
        <v>0</v>
      </c>
      <c r="I84" s="20">
        <v>0</v>
      </c>
      <c r="J84" s="19">
        <f t="shared" si="9"/>
        <v>0</v>
      </c>
      <c r="K84" s="19">
        <f t="shared" si="10"/>
        <v>0</v>
      </c>
      <c r="L84" s="19">
        <v>5.8199999999999997E-3</v>
      </c>
      <c r="M84" s="19">
        <v>4.4900000000000001E-3</v>
      </c>
      <c r="N84" s="19">
        <v>5.79E-3</v>
      </c>
      <c r="O84" s="19">
        <v>5.0400000000000002E-3</v>
      </c>
      <c r="P84" s="19">
        <v>5.8500000000000002E-3</v>
      </c>
      <c r="Q84" s="19">
        <v>5.3E-3</v>
      </c>
      <c r="R84" s="19"/>
      <c r="S84" s="19">
        <f t="shared" si="11"/>
        <v>0</v>
      </c>
      <c r="T84" s="19">
        <f t="shared" si="12"/>
        <v>0</v>
      </c>
      <c r="U84" s="19">
        <f t="shared" si="13"/>
        <v>0</v>
      </c>
      <c r="V84" s="19">
        <f t="shared" si="14"/>
        <v>0</v>
      </c>
      <c r="W84" s="19">
        <f t="shared" si="15"/>
        <v>0</v>
      </c>
      <c r="X84" s="21">
        <f t="shared" si="16"/>
        <v>0</v>
      </c>
    </row>
    <row r="85" spans="1:24" ht="13.5" x14ac:dyDescent="0.35">
      <c r="A85" s="18">
        <v>121536</v>
      </c>
      <c r="B85" s="19" t="s">
        <v>513</v>
      </c>
      <c r="C85" s="19">
        <v>0.42</v>
      </c>
      <c r="D85" s="19">
        <v>101</v>
      </c>
      <c r="E85" s="19">
        <v>1633</v>
      </c>
      <c r="F85" s="19">
        <v>0</v>
      </c>
      <c r="G85" s="19">
        <v>0</v>
      </c>
      <c r="H85" s="19">
        <v>0</v>
      </c>
      <c r="I85" s="20">
        <v>0</v>
      </c>
      <c r="J85" s="19">
        <f t="shared" si="9"/>
        <v>0</v>
      </c>
      <c r="K85" s="19">
        <f t="shared" si="10"/>
        <v>0</v>
      </c>
      <c r="L85" s="19">
        <v>5.8199999999999997E-3</v>
      </c>
      <c r="M85" s="19">
        <v>4.4900000000000001E-3</v>
      </c>
      <c r="N85" s="19">
        <v>5.7800000000000004E-3</v>
      </c>
      <c r="O85" s="19">
        <v>5.0299999999999997E-3</v>
      </c>
      <c r="P85" s="19">
        <v>5.8399999999999997E-3</v>
      </c>
      <c r="Q85" s="19">
        <v>5.3E-3</v>
      </c>
      <c r="R85" s="19"/>
      <c r="S85" s="19">
        <f t="shared" si="11"/>
        <v>0</v>
      </c>
      <c r="T85" s="19">
        <f t="shared" si="12"/>
        <v>0</v>
      </c>
      <c r="U85" s="19">
        <f t="shared" si="13"/>
        <v>0</v>
      </c>
      <c r="V85" s="19">
        <f t="shared" si="14"/>
        <v>0</v>
      </c>
      <c r="W85" s="19">
        <f t="shared" si="15"/>
        <v>0</v>
      </c>
      <c r="X85" s="21">
        <f t="shared" si="16"/>
        <v>0</v>
      </c>
    </row>
    <row r="86" spans="1:24" ht="13.5" x14ac:dyDescent="0.35">
      <c r="A86" s="18">
        <v>919514</v>
      </c>
      <c r="B86" s="19" t="s">
        <v>701</v>
      </c>
      <c r="C86" s="19">
        <v>115</v>
      </c>
      <c r="D86" s="19">
        <v>101</v>
      </c>
      <c r="E86" s="19">
        <v>1630</v>
      </c>
      <c r="F86" s="19">
        <v>0</v>
      </c>
      <c r="G86" s="19">
        <v>0</v>
      </c>
      <c r="H86" s="19">
        <v>0</v>
      </c>
      <c r="I86" s="20">
        <v>0</v>
      </c>
      <c r="J86" s="19">
        <f t="shared" si="9"/>
        <v>0</v>
      </c>
      <c r="K86" s="19">
        <f t="shared" si="10"/>
        <v>0</v>
      </c>
      <c r="L86" s="19">
        <v>5.8199999999999997E-3</v>
      </c>
      <c r="M86" s="19">
        <v>4.4900000000000001E-3</v>
      </c>
      <c r="N86" s="19">
        <v>5.79E-3</v>
      </c>
      <c r="O86" s="19">
        <v>5.0400000000000002E-3</v>
      </c>
      <c r="P86" s="19">
        <v>5.8500000000000002E-3</v>
      </c>
      <c r="Q86" s="19">
        <v>5.3E-3</v>
      </c>
      <c r="R86" s="19"/>
      <c r="S86" s="19">
        <f t="shared" si="11"/>
        <v>0</v>
      </c>
      <c r="T86" s="19">
        <f t="shared" si="12"/>
        <v>0</v>
      </c>
      <c r="U86" s="19">
        <f t="shared" si="13"/>
        <v>0</v>
      </c>
      <c r="V86" s="19">
        <f t="shared" si="14"/>
        <v>0</v>
      </c>
      <c r="W86" s="19">
        <f t="shared" si="15"/>
        <v>0</v>
      </c>
      <c r="X86" s="21">
        <f t="shared" si="16"/>
        <v>0</v>
      </c>
    </row>
    <row r="87" spans="1:24" ht="13.5" x14ac:dyDescent="0.35">
      <c r="A87" s="18">
        <v>999541</v>
      </c>
      <c r="B87" s="19" t="s">
        <v>734</v>
      </c>
      <c r="C87" s="19">
        <v>115</v>
      </c>
      <c r="D87" s="19">
        <v>101</v>
      </c>
      <c r="E87" s="19">
        <v>1630</v>
      </c>
      <c r="F87" s="19">
        <v>0</v>
      </c>
      <c r="G87" s="19">
        <v>0</v>
      </c>
      <c r="H87" s="19">
        <v>0</v>
      </c>
      <c r="I87" s="20">
        <v>0</v>
      </c>
      <c r="J87" s="19">
        <f t="shared" si="9"/>
        <v>0</v>
      </c>
      <c r="K87" s="19">
        <f t="shared" si="10"/>
        <v>0</v>
      </c>
      <c r="L87" s="19">
        <v>5.7099999999999998E-3</v>
      </c>
      <c r="M87" s="19">
        <v>4.4000000000000003E-3</v>
      </c>
      <c r="N87" s="19">
        <v>5.64E-3</v>
      </c>
      <c r="O87" s="19">
        <v>4.8999999999999998E-3</v>
      </c>
      <c r="P87" s="19">
        <v>5.6800000000000002E-3</v>
      </c>
      <c r="Q87" s="19">
        <v>5.1599999999999997E-3</v>
      </c>
      <c r="R87" s="19"/>
      <c r="S87" s="19">
        <f t="shared" si="11"/>
        <v>0</v>
      </c>
      <c r="T87" s="19">
        <f t="shared" si="12"/>
        <v>0</v>
      </c>
      <c r="U87" s="19">
        <f t="shared" si="13"/>
        <v>0</v>
      </c>
      <c r="V87" s="19">
        <f t="shared" si="14"/>
        <v>0</v>
      </c>
      <c r="W87" s="19">
        <f t="shared" si="15"/>
        <v>0</v>
      </c>
      <c r="X87" s="21">
        <f t="shared" si="16"/>
        <v>0</v>
      </c>
    </row>
    <row r="88" spans="1:24" ht="13.5" x14ac:dyDescent="0.35">
      <c r="A88" s="18">
        <v>121559</v>
      </c>
      <c r="B88" s="19" t="s">
        <v>514</v>
      </c>
      <c r="C88" s="19">
        <v>0.6</v>
      </c>
      <c r="D88" s="19">
        <v>101</v>
      </c>
      <c r="E88" s="19">
        <v>1634</v>
      </c>
      <c r="F88" s="19">
        <v>0</v>
      </c>
      <c r="G88" s="19">
        <v>0</v>
      </c>
      <c r="H88" s="19">
        <v>0</v>
      </c>
      <c r="I88" s="20">
        <v>0</v>
      </c>
      <c r="J88" s="19">
        <f t="shared" si="9"/>
        <v>0</v>
      </c>
      <c r="K88" s="19">
        <f t="shared" si="10"/>
        <v>0</v>
      </c>
      <c r="L88" s="19">
        <v>5.5300000000000002E-3</v>
      </c>
      <c r="M88" s="19">
        <v>4.2500000000000003E-3</v>
      </c>
      <c r="N88" s="19">
        <v>5.4099999999999999E-3</v>
      </c>
      <c r="O88" s="19">
        <v>4.6800000000000001E-3</v>
      </c>
      <c r="P88" s="19">
        <v>5.4200000000000003E-3</v>
      </c>
      <c r="Q88" s="19">
        <v>4.9300000000000004E-3</v>
      </c>
      <c r="R88" s="19"/>
      <c r="S88" s="19">
        <f t="shared" si="11"/>
        <v>0</v>
      </c>
      <c r="T88" s="19">
        <f t="shared" si="12"/>
        <v>0</v>
      </c>
      <c r="U88" s="19">
        <f t="shared" si="13"/>
        <v>0</v>
      </c>
      <c r="V88" s="19">
        <f t="shared" si="14"/>
        <v>0</v>
      </c>
      <c r="W88" s="19">
        <f t="shared" si="15"/>
        <v>0</v>
      </c>
      <c r="X88" s="21">
        <f t="shared" si="16"/>
        <v>0</v>
      </c>
    </row>
    <row r="89" spans="1:24" ht="13.5" x14ac:dyDescent="0.35">
      <c r="A89" s="18">
        <v>121560</v>
      </c>
      <c r="B89" s="19" t="s">
        <v>515</v>
      </c>
      <c r="C89" s="19">
        <v>13.8</v>
      </c>
      <c r="D89" s="19">
        <v>101</v>
      </c>
      <c r="E89" s="19">
        <v>1633</v>
      </c>
      <c r="F89" s="19">
        <v>0</v>
      </c>
      <c r="G89" s="19">
        <v>0</v>
      </c>
      <c r="H89" s="19">
        <v>0</v>
      </c>
      <c r="I89" s="20">
        <v>0</v>
      </c>
      <c r="J89" s="19">
        <f t="shared" si="9"/>
        <v>0</v>
      </c>
      <c r="K89" s="19">
        <f t="shared" si="10"/>
        <v>0</v>
      </c>
      <c r="L89" s="19">
        <v>5.5300000000000002E-3</v>
      </c>
      <c r="M89" s="19">
        <v>4.2399999999999998E-3</v>
      </c>
      <c r="N89" s="19">
        <v>5.4000000000000003E-3</v>
      </c>
      <c r="O89" s="19">
        <v>4.6800000000000001E-3</v>
      </c>
      <c r="P89" s="19">
        <v>5.4200000000000003E-3</v>
      </c>
      <c r="Q89" s="19">
        <v>4.9199999999999999E-3</v>
      </c>
      <c r="R89" s="19"/>
      <c r="S89" s="19">
        <f t="shared" si="11"/>
        <v>0</v>
      </c>
      <c r="T89" s="19">
        <f t="shared" si="12"/>
        <v>0</v>
      </c>
      <c r="U89" s="19">
        <f t="shared" si="13"/>
        <v>0</v>
      </c>
      <c r="V89" s="19">
        <f t="shared" si="14"/>
        <v>0</v>
      </c>
      <c r="W89" s="19">
        <f t="shared" si="15"/>
        <v>0</v>
      </c>
      <c r="X89" s="21">
        <f t="shared" si="16"/>
        <v>0</v>
      </c>
    </row>
    <row r="90" spans="1:24" ht="13.5" x14ac:dyDescent="0.35">
      <c r="A90" s="18">
        <v>117029</v>
      </c>
      <c r="B90" s="19" t="s">
        <v>480</v>
      </c>
      <c r="C90" s="19">
        <v>13.8</v>
      </c>
      <c r="D90" s="19">
        <v>101</v>
      </c>
      <c r="E90" s="19">
        <v>1400</v>
      </c>
      <c r="F90" s="19">
        <v>77.459999999999994</v>
      </c>
      <c r="G90" s="19">
        <v>0</v>
      </c>
      <c r="H90" s="19">
        <v>77.459999999999994</v>
      </c>
      <c r="I90" s="20">
        <v>77.459999999999994</v>
      </c>
      <c r="J90" s="19">
        <f t="shared" si="9"/>
        <v>0</v>
      </c>
      <c r="K90" s="19">
        <f t="shared" si="10"/>
        <v>0</v>
      </c>
      <c r="L90" s="19">
        <v>5.3400000000000001E-3</v>
      </c>
      <c r="M90" s="19">
        <v>4.0200000000000001E-3</v>
      </c>
      <c r="N90" s="19">
        <v>5.0899999999999999E-3</v>
      </c>
      <c r="O90" s="19">
        <v>4.1599999999999996E-3</v>
      </c>
      <c r="P90" s="19">
        <v>5.2900000000000004E-3</v>
      </c>
      <c r="Q90" s="19">
        <v>4.4400000000000004E-3</v>
      </c>
      <c r="R90" s="19"/>
      <c r="S90" s="19">
        <f t="shared" si="11"/>
        <v>0</v>
      </c>
      <c r="T90" s="19">
        <f t="shared" si="12"/>
        <v>0</v>
      </c>
      <c r="U90" s="19">
        <f t="shared" si="13"/>
        <v>0</v>
      </c>
      <c r="V90" s="19">
        <f t="shared" si="14"/>
        <v>0</v>
      </c>
      <c r="W90" s="19">
        <f t="shared" si="15"/>
        <v>0</v>
      </c>
      <c r="X90" s="21">
        <f t="shared" si="16"/>
        <v>0</v>
      </c>
    </row>
    <row r="91" spans="1:24" ht="13.5" x14ac:dyDescent="0.35">
      <c r="A91" s="18">
        <v>117030</v>
      </c>
      <c r="B91" s="19" t="s">
        <v>481</v>
      </c>
      <c r="C91" s="19">
        <v>13.8</v>
      </c>
      <c r="D91" s="19">
        <v>101</v>
      </c>
      <c r="E91" s="19">
        <v>1400</v>
      </c>
      <c r="F91" s="19">
        <v>77.459999999999994</v>
      </c>
      <c r="G91" s="19">
        <v>0</v>
      </c>
      <c r="H91" s="19">
        <v>77.459999999999994</v>
      </c>
      <c r="I91" s="20">
        <v>77.459999999999994</v>
      </c>
      <c r="J91" s="19">
        <f t="shared" si="9"/>
        <v>0</v>
      </c>
      <c r="K91" s="19">
        <f t="shared" si="10"/>
        <v>0</v>
      </c>
      <c r="L91" s="19">
        <v>5.3400000000000001E-3</v>
      </c>
      <c r="M91" s="19">
        <v>4.0200000000000001E-3</v>
      </c>
      <c r="N91" s="19">
        <v>5.0899999999999999E-3</v>
      </c>
      <c r="O91" s="19">
        <v>4.1599999999999996E-3</v>
      </c>
      <c r="P91" s="19">
        <v>5.2900000000000004E-3</v>
      </c>
      <c r="Q91" s="19">
        <v>4.4400000000000004E-3</v>
      </c>
      <c r="R91" s="19"/>
      <c r="S91" s="19">
        <f t="shared" si="11"/>
        <v>0</v>
      </c>
      <c r="T91" s="19">
        <f t="shared" si="12"/>
        <v>0</v>
      </c>
      <c r="U91" s="19">
        <f t="shared" si="13"/>
        <v>0</v>
      </c>
      <c r="V91" s="19">
        <f t="shared" si="14"/>
        <v>0</v>
      </c>
      <c r="W91" s="19">
        <f t="shared" si="15"/>
        <v>0</v>
      </c>
      <c r="X91" s="21">
        <f t="shared" si="16"/>
        <v>0</v>
      </c>
    </row>
    <row r="92" spans="1:24" ht="13.5" x14ac:dyDescent="0.35">
      <c r="A92" s="18">
        <v>117031</v>
      </c>
      <c r="B92" s="19" t="s">
        <v>482</v>
      </c>
      <c r="C92" s="19">
        <v>13.8</v>
      </c>
      <c r="D92" s="19">
        <v>101</v>
      </c>
      <c r="E92" s="19">
        <v>1400</v>
      </c>
      <c r="F92" s="19">
        <v>117.42</v>
      </c>
      <c r="G92" s="19">
        <v>0</v>
      </c>
      <c r="H92" s="19">
        <v>117.42</v>
      </c>
      <c r="I92" s="20">
        <v>117.42</v>
      </c>
      <c r="J92" s="19">
        <f t="shared" si="9"/>
        <v>0</v>
      </c>
      <c r="K92" s="19">
        <f t="shared" si="10"/>
        <v>0</v>
      </c>
      <c r="L92" s="19">
        <v>5.3400000000000001E-3</v>
      </c>
      <c r="M92" s="19">
        <v>4.0200000000000001E-3</v>
      </c>
      <c r="N92" s="19">
        <v>5.0899999999999999E-3</v>
      </c>
      <c r="O92" s="19">
        <v>4.1599999999999996E-3</v>
      </c>
      <c r="P92" s="19">
        <v>5.2900000000000004E-3</v>
      </c>
      <c r="Q92" s="19">
        <v>4.4400000000000004E-3</v>
      </c>
      <c r="R92" s="19"/>
      <c r="S92" s="19">
        <f t="shared" si="11"/>
        <v>0</v>
      </c>
      <c r="T92" s="19">
        <f t="shared" si="12"/>
        <v>0</v>
      </c>
      <c r="U92" s="19">
        <f t="shared" si="13"/>
        <v>0</v>
      </c>
      <c r="V92" s="19">
        <f t="shared" si="14"/>
        <v>0</v>
      </c>
      <c r="W92" s="19">
        <f t="shared" si="15"/>
        <v>0</v>
      </c>
      <c r="X92" s="21">
        <f t="shared" si="16"/>
        <v>0</v>
      </c>
    </row>
    <row r="93" spans="1:24" ht="13.5" x14ac:dyDescent="0.35">
      <c r="A93" s="18">
        <v>117032</v>
      </c>
      <c r="B93" s="19" t="s">
        <v>483</v>
      </c>
      <c r="C93" s="19">
        <v>13.8</v>
      </c>
      <c r="D93" s="19">
        <v>101</v>
      </c>
      <c r="E93" s="19">
        <v>1400</v>
      </c>
      <c r="F93" s="19">
        <v>78.17</v>
      </c>
      <c r="G93" s="19">
        <v>0</v>
      </c>
      <c r="H93" s="19">
        <v>78.17</v>
      </c>
      <c r="I93" s="20">
        <v>78.17</v>
      </c>
      <c r="J93" s="19">
        <f t="shared" si="9"/>
        <v>0</v>
      </c>
      <c r="K93" s="19">
        <f t="shared" si="10"/>
        <v>0</v>
      </c>
      <c r="L93" s="19">
        <v>5.3400000000000001E-3</v>
      </c>
      <c r="M93" s="19">
        <v>4.0200000000000001E-3</v>
      </c>
      <c r="N93" s="19">
        <v>5.0899999999999999E-3</v>
      </c>
      <c r="O93" s="19">
        <v>4.1599999999999996E-3</v>
      </c>
      <c r="P93" s="19">
        <v>5.2900000000000004E-3</v>
      </c>
      <c r="Q93" s="19">
        <v>4.4400000000000004E-3</v>
      </c>
      <c r="R93" s="19"/>
      <c r="S93" s="19">
        <f t="shared" si="11"/>
        <v>0</v>
      </c>
      <c r="T93" s="19">
        <f t="shared" si="12"/>
        <v>0</v>
      </c>
      <c r="U93" s="19">
        <f t="shared" si="13"/>
        <v>0</v>
      </c>
      <c r="V93" s="19">
        <f t="shared" si="14"/>
        <v>0</v>
      </c>
      <c r="W93" s="19">
        <f t="shared" si="15"/>
        <v>0</v>
      </c>
      <c r="X93" s="21">
        <f t="shared" si="16"/>
        <v>0</v>
      </c>
    </row>
    <row r="94" spans="1:24" ht="13.5" x14ac:dyDescent="0.35">
      <c r="A94" s="18">
        <v>117033</v>
      </c>
      <c r="B94" s="19" t="s">
        <v>484</v>
      </c>
      <c r="C94" s="19">
        <v>13.8</v>
      </c>
      <c r="D94" s="19">
        <v>101</v>
      </c>
      <c r="E94" s="19">
        <v>1400</v>
      </c>
      <c r="F94" s="19">
        <v>78.17</v>
      </c>
      <c r="G94" s="19">
        <v>0</v>
      </c>
      <c r="H94" s="19">
        <v>78.17</v>
      </c>
      <c r="I94" s="20">
        <v>78.17</v>
      </c>
      <c r="J94" s="19">
        <f t="shared" si="9"/>
        <v>0</v>
      </c>
      <c r="K94" s="19">
        <f t="shared" si="10"/>
        <v>0</v>
      </c>
      <c r="L94" s="19">
        <v>5.3400000000000001E-3</v>
      </c>
      <c r="M94" s="19">
        <v>4.0200000000000001E-3</v>
      </c>
      <c r="N94" s="19">
        <v>5.0899999999999999E-3</v>
      </c>
      <c r="O94" s="19">
        <v>4.1599999999999996E-3</v>
      </c>
      <c r="P94" s="19">
        <v>5.2900000000000004E-3</v>
      </c>
      <c r="Q94" s="19">
        <v>4.4400000000000004E-3</v>
      </c>
      <c r="R94" s="19"/>
      <c r="S94" s="19">
        <f t="shared" si="11"/>
        <v>0</v>
      </c>
      <c r="T94" s="19">
        <f t="shared" si="12"/>
        <v>0</v>
      </c>
      <c r="U94" s="19">
        <f t="shared" si="13"/>
        <v>0</v>
      </c>
      <c r="V94" s="19">
        <f t="shared" si="14"/>
        <v>0</v>
      </c>
      <c r="W94" s="19">
        <f t="shared" si="15"/>
        <v>0</v>
      </c>
      <c r="X94" s="21">
        <f t="shared" si="16"/>
        <v>0</v>
      </c>
    </row>
    <row r="95" spans="1:24" ht="13.5" x14ac:dyDescent="0.35">
      <c r="A95" s="18">
        <v>117034</v>
      </c>
      <c r="B95" s="19" t="s">
        <v>485</v>
      </c>
      <c r="C95" s="19">
        <v>13.8</v>
      </c>
      <c r="D95" s="19">
        <v>101</v>
      </c>
      <c r="E95" s="19">
        <v>1400</v>
      </c>
      <c r="F95" s="19">
        <v>118.49</v>
      </c>
      <c r="G95" s="19">
        <v>0</v>
      </c>
      <c r="H95" s="19">
        <v>118.49</v>
      </c>
      <c r="I95" s="20">
        <v>118.49</v>
      </c>
      <c r="J95" s="19">
        <f t="shared" si="9"/>
        <v>0</v>
      </c>
      <c r="K95" s="19">
        <f t="shared" si="10"/>
        <v>0</v>
      </c>
      <c r="L95" s="19">
        <v>5.3400000000000001E-3</v>
      </c>
      <c r="M95" s="19">
        <v>4.0200000000000001E-3</v>
      </c>
      <c r="N95" s="19">
        <v>5.0899999999999999E-3</v>
      </c>
      <c r="O95" s="19">
        <v>4.1599999999999996E-3</v>
      </c>
      <c r="P95" s="19">
        <v>5.2900000000000004E-3</v>
      </c>
      <c r="Q95" s="19">
        <v>4.4400000000000004E-3</v>
      </c>
      <c r="R95" s="19"/>
      <c r="S95" s="19">
        <f t="shared" si="11"/>
        <v>0</v>
      </c>
      <c r="T95" s="19">
        <f t="shared" si="12"/>
        <v>0</v>
      </c>
      <c r="U95" s="19">
        <f t="shared" si="13"/>
        <v>0</v>
      </c>
      <c r="V95" s="19">
        <f t="shared" si="14"/>
        <v>0</v>
      </c>
      <c r="W95" s="19">
        <f t="shared" si="15"/>
        <v>0</v>
      </c>
      <c r="X95" s="21">
        <f t="shared" si="16"/>
        <v>0</v>
      </c>
    </row>
    <row r="96" spans="1:24" ht="13.5" x14ac:dyDescent="0.35">
      <c r="A96" s="18">
        <v>121570</v>
      </c>
      <c r="B96" s="19" t="s">
        <v>516</v>
      </c>
      <c r="C96" s="19">
        <v>13.2</v>
      </c>
      <c r="D96" s="19">
        <v>101</v>
      </c>
      <c r="E96" s="19">
        <v>1634</v>
      </c>
      <c r="F96" s="19">
        <v>0</v>
      </c>
      <c r="G96" s="19">
        <v>0</v>
      </c>
      <c r="H96" s="19">
        <v>0</v>
      </c>
      <c r="I96" s="20">
        <v>0</v>
      </c>
      <c r="J96" s="19">
        <f t="shared" si="9"/>
        <v>0</v>
      </c>
      <c r="K96" s="19">
        <f t="shared" si="10"/>
        <v>0</v>
      </c>
      <c r="L96" s="19">
        <v>5.3200000000000001E-3</v>
      </c>
      <c r="M96" s="19">
        <v>4.0699999999999998E-3</v>
      </c>
      <c r="N96" s="19">
        <v>5.13E-3</v>
      </c>
      <c r="O96" s="19">
        <v>4.4200000000000003E-3</v>
      </c>
      <c r="P96" s="19">
        <v>5.1200000000000004E-3</v>
      </c>
      <c r="Q96" s="19">
        <v>4.6600000000000001E-3</v>
      </c>
      <c r="R96" s="19"/>
      <c r="S96" s="19">
        <f t="shared" si="11"/>
        <v>0</v>
      </c>
      <c r="T96" s="19">
        <f t="shared" si="12"/>
        <v>0</v>
      </c>
      <c r="U96" s="19">
        <f t="shared" si="13"/>
        <v>0</v>
      </c>
      <c r="V96" s="19">
        <f t="shared" si="14"/>
        <v>0</v>
      </c>
      <c r="W96" s="19">
        <f t="shared" si="15"/>
        <v>0</v>
      </c>
      <c r="X96" s="21">
        <f t="shared" si="16"/>
        <v>0</v>
      </c>
    </row>
    <row r="97" spans="1:24" ht="13.5" x14ac:dyDescent="0.35">
      <c r="A97" s="18">
        <v>121571</v>
      </c>
      <c r="B97" s="19" t="s">
        <v>517</v>
      </c>
      <c r="C97" s="19">
        <v>0.38</v>
      </c>
      <c r="D97" s="19">
        <v>101</v>
      </c>
      <c r="E97" s="19">
        <v>1634</v>
      </c>
      <c r="F97" s="19">
        <v>0</v>
      </c>
      <c r="G97" s="19">
        <v>0</v>
      </c>
      <c r="H97" s="19">
        <v>0</v>
      </c>
      <c r="I97" s="20">
        <v>0</v>
      </c>
      <c r="J97" s="19">
        <f t="shared" si="9"/>
        <v>0</v>
      </c>
      <c r="K97" s="19">
        <f t="shared" si="10"/>
        <v>0</v>
      </c>
      <c r="L97" s="19">
        <v>5.3200000000000001E-3</v>
      </c>
      <c r="M97" s="19">
        <v>4.0699999999999998E-3</v>
      </c>
      <c r="N97" s="19">
        <v>5.13E-3</v>
      </c>
      <c r="O97" s="19">
        <v>4.4200000000000003E-3</v>
      </c>
      <c r="P97" s="19">
        <v>5.1200000000000004E-3</v>
      </c>
      <c r="Q97" s="19">
        <v>4.6600000000000001E-3</v>
      </c>
      <c r="R97" s="19"/>
      <c r="S97" s="19">
        <f t="shared" si="11"/>
        <v>0</v>
      </c>
      <c r="T97" s="19">
        <f t="shared" si="12"/>
        <v>0</v>
      </c>
      <c r="U97" s="19">
        <f t="shared" si="13"/>
        <v>0</v>
      </c>
      <c r="V97" s="19">
        <f t="shared" si="14"/>
        <v>0</v>
      </c>
      <c r="W97" s="19">
        <f t="shared" si="15"/>
        <v>0</v>
      </c>
      <c r="X97" s="21">
        <f t="shared" si="16"/>
        <v>0</v>
      </c>
    </row>
    <row r="98" spans="1:24" ht="13.5" x14ac:dyDescent="0.35">
      <c r="A98" s="18">
        <v>121586</v>
      </c>
      <c r="B98" s="19" t="s">
        <v>519</v>
      </c>
      <c r="C98" s="19">
        <v>4.16</v>
      </c>
      <c r="D98" s="19">
        <v>101</v>
      </c>
      <c r="E98" s="19">
        <v>1634</v>
      </c>
      <c r="F98" s="19">
        <v>0</v>
      </c>
      <c r="G98" s="19">
        <v>0</v>
      </c>
      <c r="H98" s="19">
        <v>0</v>
      </c>
      <c r="I98" s="20">
        <v>0</v>
      </c>
      <c r="J98" s="19">
        <f t="shared" si="9"/>
        <v>0</v>
      </c>
      <c r="K98" s="19">
        <f t="shared" si="10"/>
        <v>0</v>
      </c>
      <c r="L98" s="19">
        <v>5.3200000000000001E-3</v>
      </c>
      <c r="M98" s="19">
        <v>4.0699999999999998E-3</v>
      </c>
      <c r="N98" s="19">
        <v>5.13E-3</v>
      </c>
      <c r="O98" s="19">
        <v>4.4200000000000003E-3</v>
      </c>
      <c r="P98" s="19">
        <v>5.1200000000000004E-3</v>
      </c>
      <c r="Q98" s="19">
        <v>4.6600000000000001E-3</v>
      </c>
      <c r="R98" s="19"/>
      <c r="S98" s="19">
        <f t="shared" si="11"/>
        <v>0</v>
      </c>
      <c r="T98" s="19">
        <f t="shared" si="12"/>
        <v>0</v>
      </c>
      <c r="U98" s="19">
        <f t="shared" si="13"/>
        <v>0</v>
      </c>
      <c r="V98" s="19">
        <f t="shared" si="14"/>
        <v>0</v>
      </c>
      <c r="W98" s="19">
        <f t="shared" si="15"/>
        <v>0</v>
      </c>
      <c r="X98" s="21">
        <f t="shared" si="16"/>
        <v>0</v>
      </c>
    </row>
    <row r="99" spans="1:24" ht="13.5" x14ac:dyDescent="0.35">
      <c r="A99" s="18">
        <v>121788</v>
      </c>
      <c r="B99" s="19" t="s">
        <v>529</v>
      </c>
      <c r="C99" s="19">
        <v>4.16</v>
      </c>
      <c r="D99" s="19">
        <v>101</v>
      </c>
      <c r="E99" s="19">
        <v>1633</v>
      </c>
      <c r="F99" s="19">
        <v>0</v>
      </c>
      <c r="G99" s="19">
        <v>0</v>
      </c>
      <c r="H99" s="19">
        <v>0</v>
      </c>
      <c r="I99" s="20">
        <v>0</v>
      </c>
      <c r="J99" s="19">
        <f t="shared" si="9"/>
        <v>0</v>
      </c>
      <c r="K99" s="19">
        <f t="shared" si="10"/>
        <v>0</v>
      </c>
      <c r="L99" s="19">
        <v>5.2900000000000004E-3</v>
      </c>
      <c r="M99" s="19">
        <v>4.0400000000000002E-3</v>
      </c>
      <c r="N99" s="19">
        <v>5.0899999999999999E-3</v>
      </c>
      <c r="O99" s="19">
        <v>4.3800000000000002E-3</v>
      </c>
      <c r="P99" s="19">
        <v>5.0699999999999999E-3</v>
      </c>
      <c r="Q99" s="19">
        <v>4.62E-3</v>
      </c>
      <c r="R99" s="19"/>
      <c r="S99" s="19">
        <f t="shared" si="11"/>
        <v>0</v>
      </c>
      <c r="T99" s="19">
        <f t="shared" si="12"/>
        <v>0</v>
      </c>
      <c r="U99" s="19">
        <f t="shared" si="13"/>
        <v>0</v>
      </c>
      <c r="V99" s="19">
        <f t="shared" si="14"/>
        <v>0</v>
      </c>
      <c r="W99" s="19">
        <f t="shared" si="15"/>
        <v>0</v>
      </c>
      <c r="X99" s="21">
        <f t="shared" si="16"/>
        <v>0</v>
      </c>
    </row>
    <row r="100" spans="1:24" ht="13.5" x14ac:dyDescent="0.35">
      <c r="A100" s="18">
        <v>121579</v>
      </c>
      <c r="B100" s="19" t="s">
        <v>518</v>
      </c>
      <c r="C100" s="19">
        <v>13.8</v>
      </c>
      <c r="D100" s="19">
        <v>101</v>
      </c>
      <c r="E100" s="19">
        <v>1633</v>
      </c>
      <c r="F100" s="19">
        <v>0</v>
      </c>
      <c r="G100" s="19">
        <v>0</v>
      </c>
      <c r="H100" s="19">
        <v>0</v>
      </c>
      <c r="I100" s="20">
        <v>0</v>
      </c>
      <c r="J100" s="19">
        <f t="shared" si="9"/>
        <v>0</v>
      </c>
      <c r="K100" s="19">
        <f t="shared" si="10"/>
        <v>0</v>
      </c>
      <c r="L100" s="19">
        <v>5.2700000000000004E-3</v>
      </c>
      <c r="M100" s="19">
        <v>4.0299999999999997E-3</v>
      </c>
      <c r="N100" s="19">
        <v>5.0699999999999999E-3</v>
      </c>
      <c r="O100" s="19">
        <v>4.3600000000000002E-3</v>
      </c>
      <c r="P100" s="19">
        <v>5.0499999999999998E-3</v>
      </c>
      <c r="Q100" s="19">
        <v>4.5999999999999999E-3</v>
      </c>
      <c r="R100" s="19"/>
      <c r="S100" s="19">
        <f t="shared" si="11"/>
        <v>0</v>
      </c>
      <c r="T100" s="19">
        <f t="shared" si="12"/>
        <v>0</v>
      </c>
      <c r="U100" s="19">
        <f t="shared" si="13"/>
        <v>0</v>
      </c>
      <c r="V100" s="19">
        <f t="shared" si="14"/>
        <v>0</v>
      </c>
      <c r="W100" s="19">
        <f t="shared" si="15"/>
        <v>0</v>
      </c>
      <c r="X100" s="21">
        <f t="shared" si="16"/>
        <v>0</v>
      </c>
    </row>
    <row r="101" spans="1:24" ht="13.5" x14ac:dyDescent="0.35">
      <c r="A101" s="18">
        <v>121590</v>
      </c>
      <c r="B101" s="19" t="s">
        <v>521</v>
      </c>
      <c r="C101" s="19">
        <v>13.2</v>
      </c>
      <c r="D101" s="19">
        <v>101</v>
      </c>
      <c r="E101" s="19">
        <v>1633</v>
      </c>
      <c r="F101" s="19">
        <v>0</v>
      </c>
      <c r="G101" s="19">
        <v>0</v>
      </c>
      <c r="H101" s="19">
        <v>0</v>
      </c>
      <c r="I101" s="20">
        <v>0</v>
      </c>
      <c r="J101" s="19">
        <f t="shared" si="9"/>
        <v>0</v>
      </c>
      <c r="K101" s="19">
        <f t="shared" si="10"/>
        <v>0</v>
      </c>
      <c r="L101" s="19">
        <v>5.2700000000000004E-3</v>
      </c>
      <c r="M101" s="19">
        <v>4.0299999999999997E-3</v>
      </c>
      <c r="N101" s="19">
        <v>5.0699999999999999E-3</v>
      </c>
      <c r="O101" s="19">
        <v>4.3600000000000002E-3</v>
      </c>
      <c r="P101" s="19">
        <v>5.0499999999999998E-3</v>
      </c>
      <c r="Q101" s="19">
        <v>4.5999999999999999E-3</v>
      </c>
      <c r="R101" s="19"/>
      <c r="S101" s="19">
        <f t="shared" si="11"/>
        <v>0</v>
      </c>
      <c r="T101" s="19">
        <f t="shared" si="12"/>
        <v>0</v>
      </c>
      <c r="U101" s="19">
        <f t="shared" si="13"/>
        <v>0</v>
      </c>
      <c r="V101" s="19">
        <f t="shared" si="14"/>
        <v>0</v>
      </c>
      <c r="W101" s="19">
        <f t="shared" si="15"/>
        <v>0</v>
      </c>
      <c r="X101" s="21">
        <f t="shared" si="16"/>
        <v>0</v>
      </c>
    </row>
    <row r="102" spans="1:24" ht="13.5" x14ac:dyDescent="0.35">
      <c r="A102" s="18">
        <v>121647</v>
      </c>
      <c r="B102" s="19" t="s">
        <v>525</v>
      </c>
      <c r="C102" s="19">
        <v>2.4</v>
      </c>
      <c r="D102" s="19">
        <v>101</v>
      </c>
      <c r="E102" s="19">
        <v>1633</v>
      </c>
      <c r="F102" s="19">
        <v>0</v>
      </c>
      <c r="G102" s="19">
        <v>0</v>
      </c>
      <c r="H102" s="19">
        <v>0</v>
      </c>
      <c r="I102" s="20">
        <v>0</v>
      </c>
      <c r="J102" s="19">
        <f t="shared" si="9"/>
        <v>0</v>
      </c>
      <c r="K102" s="19">
        <f t="shared" si="10"/>
        <v>0</v>
      </c>
      <c r="L102" s="19">
        <v>5.11E-3</v>
      </c>
      <c r="M102" s="19">
        <v>3.8899999999999998E-3</v>
      </c>
      <c r="N102" s="19">
        <v>4.8500000000000001E-3</v>
      </c>
      <c r="O102" s="19">
        <v>4.1700000000000001E-3</v>
      </c>
      <c r="P102" s="19">
        <v>4.81E-3</v>
      </c>
      <c r="Q102" s="19">
        <v>4.3899999999999998E-3</v>
      </c>
      <c r="R102" s="19"/>
      <c r="S102" s="19">
        <f t="shared" si="11"/>
        <v>0</v>
      </c>
      <c r="T102" s="19">
        <f t="shared" si="12"/>
        <v>0</v>
      </c>
      <c r="U102" s="19">
        <f t="shared" si="13"/>
        <v>0</v>
      </c>
      <c r="V102" s="19">
        <f t="shared" si="14"/>
        <v>0</v>
      </c>
      <c r="W102" s="19">
        <f t="shared" si="15"/>
        <v>0</v>
      </c>
      <c r="X102" s="21">
        <f t="shared" si="16"/>
        <v>0</v>
      </c>
    </row>
    <row r="103" spans="1:24" ht="13.5" x14ac:dyDescent="0.35">
      <c r="A103" s="18">
        <v>919849</v>
      </c>
      <c r="B103" s="19" t="s">
        <v>702</v>
      </c>
      <c r="C103" s="19">
        <v>115</v>
      </c>
      <c r="D103" s="19">
        <v>101</v>
      </c>
      <c r="E103" s="19">
        <v>1630</v>
      </c>
      <c r="F103" s="19">
        <v>0</v>
      </c>
      <c r="G103" s="19">
        <v>0</v>
      </c>
      <c r="H103" s="19">
        <v>0</v>
      </c>
      <c r="I103" s="20">
        <v>0</v>
      </c>
      <c r="J103" s="19">
        <f t="shared" si="9"/>
        <v>0</v>
      </c>
      <c r="K103" s="19">
        <f t="shared" si="10"/>
        <v>0</v>
      </c>
      <c r="L103" s="19">
        <v>5.0600000000000003E-3</v>
      </c>
      <c r="M103" s="19">
        <v>3.8400000000000001E-3</v>
      </c>
      <c r="N103" s="19">
        <v>4.8399999999999997E-3</v>
      </c>
      <c r="O103" s="19">
        <v>4.1200000000000004E-3</v>
      </c>
      <c r="P103" s="19">
        <v>4.7999999999999996E-3</v>
      </c>
      <c r="Q103" s="19">
        <v>4.3499999999999997E-3</v>
      </c>
      <c r="R103" s="19"/>
      <c r="S103" s="19">
        <f t="shared" si="11"/>
        <v>0</v>
      </c>
      <c r="T103" s="19">
        <f t="shared" si="12"/>
        <v>0</v>
      </c>
      <c r="U103" s="19">
        <f t="shared" si="13"/>
        <v>0</v>
      </c>
      <c r="V103" s="19">
        <f t="shared" si="14"/>
        <v>0</v>
      </c>
      <c r="W103" s="19">
        <f t="shared" si="15"/>
        <v>0</v>
      </c>
      <c r="X103" s="21">
        <f t="shared" si="16"/>
        <v>0</v>
      </c>
    </row>
    <row r="104" spans="1:24" ht="13.5" x14ac:dyDescent="0.35">
      <c r="A104" s="18">
        <v>121645</v>
      </c>
      <c r="B104" s="19" t="s">
        <v>523</v>
      </c>
      <c r="C104" s="19">
        <v>13.8</v>
      </c>
      <c r="D104" s="19">
        <v>101</v>
      </c>
      <c r="E104" s="19">
        <v>1633</v>
      </c>
      <c r="F104" s="19">
        <v>0</v>
      </c>
      <c r="G104" s="19">
        <v>0</v>
      </c>
      <c r="H104" s="19">
        <v>0</v>
      </c>
      <c r="I104" s="20">
        <v>0</v>
      </c>
      <c r="J104" s="19">
        <f t="shared" si="9"/>
        <v>0</v>
      </c>
      <c r="K104" s="19">
        <f t="shared" si="10"/>
        <v>0</v>
      </c>
      <c r="L104" s="19">
        <v>5.0499999999999998E-3</v>
      </c>
      <c r="M104" s="19">
        <v>3.8400000000000001E-3</v>
      </c>
      <c r="N104" s="19">
        <v>4.7699999999999999E-3</v>
      </c>
      <c r="O104" s="19">
        <v>4.0899999999999999E-3</v>
      </c>
      <c r="P104" s="19">
        <v>4.7099999999999998E-3</v>
      </c>
      <c r="Q104" s="19">
        <v>4.3099999999999996E-3</v>
      </c>
      <c r="R104" s="19"/>
      <c r="S104" s="19">
        <f t="shared" si="11"/>
        <v>0</v>
      </c>
      <c r="T104" s="19">
        <f t="shared" si="12"/>
        <v>0</v>
      </c>
      <c r="U104" s="19">
        <f t="shared" si="13"/>
        <v>0</v>
      </c>
      <c r="V104" s="19">
        <f t="shared" si="14"/>
        <v>0</v>
      </c>
      <c r="W104" s="19">
        <f t="shared" si="15"/>
        <v>0</v>
      </c>
      <c r="X104" s="21">
        <f t="shared" si="16"/>
        <v>0</v>
      </c>
    </row>
    <row r="105" spans="1:24" ht="13.5" x14ac:dyDescent="0.35">
      <c r="A105" s="18">
        <v>121646</v>
      </c>
      <c r="B105" s="19" t="s">
        <v>524</v>
      </c>
      <c r="C105" s="19">
        <v>22</v>
      </c>
      <c r="D105" s="19">
        <v>101</v>
      </c>
      <c r="E105" s="19">
        <v>1633</v>
      </c>
      <c r="F105" s="19">
        <v>0</v>
      </c>
      <c r="G105" s="19">
        <v>0</v>
      </c>
      <c r="H105" s="19">
        <v>0</v>
      </c>
      <c r="I105" s="20">
        <v>0</v>
      </c>
      <c r="J105" s="19">
        <f t="shared" si="9"/>
        <v>0</v>
      </c>
      <c r="K105" s="19">
        <f t="shared" si="10"/>
        <v>0</v>
      </c>
      <c r="L105" s="19">
        <v>5.0499999999999998E-3</v>
      </c>
      <c r="M105" s="19">
        <v>3.8400000000000001E-3</v>
      </c>
      <c r="N105" s="19">
        <v>4.7699999999999999E-3</v>
      </c>
      <c r="O105" s="19">
        <v>4.0899999999999999E-3</v>
      </c>
      <c r="P105" s="19">
        <v>4.7099999999999998E-3</v>
      </c>
      <c r="Q105" s="19">
        <v>4.3099999999999996E-3</v>
      </c>
      <c r="R105" s="19"/>
      <c r="S105" s="19">
        <f t="shared" si="11"/>
        <v>0</v>
      </c>
      <c r="T105" s="19">
        <f t="shared" si="12"/>
        <v>0</v>
      </c>
      <c r="U105" s="19">
        <f t="shared" si="13"/>
        <v>0</v>
      </c>
      <c r="V105" s="19">
        <f t="shared" si="14"/>
        <v>0</v>
      </c>
      <c r="W105" s="19">
        <f t="shared" si="15"/>
        <v>0</v>
      </c>
      <c r="X105" s="21">
        <f t="shared" si="16"/>
        <v>0</v>
      </c>
    </row>
    <row r="106" spans="1:24" ht="13.5" x14ac:dyDescent="0.35">
      <c r="A106" s="18">
        <v>121835</v>
      </c>
      <c r="B106" s="19" t="s">
        <v>530</v>
      </c>
      <c r="C106" s="19">
        <v>13.8</v>
      </c>
      <c r="D106" s="19">
        <v>101</v>
      </c>
      <c r="E106" s="19">
        <v>1634</v>
      </c>
      <c r="F106" s="19">
        <v>0</v>
      </c>
      <c r="G106" s="19">
        <v>0</v>
      </c>
      <c r="H106" s="19">
        <v>0</v>
      </c>
      <c r="I106" s="20">
        <v>0</v>
      </c>
      <c r="J106" s="19">
        <f t="shared" si="9"/>
        <v>0</v>
      </c>
      <c r="K106" s="19">
        <f t="shared" si="10"/>
        <v>0</v>
      </c>
      <c r="L106" s="19">
        <v>5.0499999999999998E-3</v>
      </c>
      <c r="M106" s="19">
        <v>3.8400000000000001E-3</v>
      </c>
      <c r="N106" s="19">
        <v>4.7699999999999999E-3</v>
      </c>
      <c r="O106" s="19">
        <v>4.0899999999999999E-3</v>
      </c>
      <c r="P106" s="19">
        <v>4.7099999999999998E-3</v>
      </c>
      <c r="Q106" s="19">
        <v>4.3099999999999996E-3</v>
      </c>
      <c r="R106" s="19"/>
      <c r="S106" s="19">
        <f t="shared" si="11"/>
        <v>0</v>
      </c>
      <c r="T106" s="19">
        <f t="shared" si="12"/>
        <v>0</v>
      </c>
      <c r="U106" s="19">
        <f t="shared" si="13"/>
        <v>0</v>
      </c>
      <c r="V106" s="19">
        <f t="shared" si="14"/>
        <v>0</v>
      </c>
      <c r="W106" s="19">
        <f t="shared" si="15"/>
        <v>0</v>
      </c>
      <c r="X106" s="21">
        <f t="shared" si="16"/>
        <v>0</v>
      </c>
    </row>
    <row r="107" spans="1:24" ht="13.5" x14ac:dyDescent="0.35">
      <c r="A107" s="18">
        <v>121656</v>
      </c>
      <c r="B107" s="19" t="s">
        <v>526</v>
      </c>
      <c r="C107" s="19">
        <v>24</v>
      </c>
      <c r="D107" s="19">
        <v>101</v>
      </c>
      <c r="E107" s="19">
        <v>1633</v>
      </c>
      <c r="F107" s="19">
        <v>0</v>
      </c>
      <c r="G107" s="19">
        <v>0</v>
      </c>
      <c r="H107" s="19">
        <v>0</v>
      </c>
      <c r="I107" s="20">
        <v>0</v>
      </c>
      <c r="J107" s="19">
        <f t="shared" si="9"/>
        <v>0</v>
      </c>
      <c r="K107" s="19">
        <f t="shared" si="10"/>
        <v>0</v>
      </c>
      <c r="L107" s="19">
        <v>4.3400000000000001E-3</v>
      </c>
      <c r="M107" s="19">
        <v>3.2100000000000002E-3</v>
      </c>
      <c r="N107" s="19">
        <v>3.9500000000000004E-3</v>
      </c>
      <c r="O107" s="19">
        <v>3.2499999999999999E-3</v>
      </c>
      <c r="P107" s="19">
        <v>3.8400000000000001E-3</v>
      </c>
      <c r="Q107" s="19">
        <v>3.4499999999999999E-3</v>
      </c>
      <c r="R107" s="19"/>
      <c r="S107" s="19">
        <f t="shared" si="11"/>
        <v>0</v>
      </c>
      <c r="T107" s="19">
        <f t="shared" si="12"/>
        <v>0</v>
      </c>
      <c r="U107" s="19">
        <f t="shared" si="13"/>
        <v>0</v>
      </c>
      <c r="V107" s="19">
        <f t="shared" si="14"/>
        <v>0</v>
      </c>
      <c r="W107" s="19">
        <f t="shared" si="15"/>
        <v>0</v>
      </c>
      <c r="X107" s="21">
        <f t="shared" si="16"/>
        <v>0</v>
      </c>
    </row>
    <row r="108" spans="1:24" ht="13.5" x14ac:dyDescent="0.35">
      <c r="A108" s="18">
        <v>121657</v>
      </c>
      <c r="B108" s="19" t="s">
        <v>527</v>
      </c>
      <c r="C108" s="19">
        <v>24</v>
      </c>
      <c r="D108" s="19">
        <v>101</v>
      </c>
      <c r="E108" s="19">
        <v>1633</v>
      </c>
      <c r="F108" s="19">
        <v>0</v>
      </c>
      <c r="G108" s="19">
        <v>0</v>
      </c>
      <c r="H108" s="19">
        <v>0</v>
      </c>
      <c r="I108" s="20">
        <v>0</v>
      </c>
      <c r="J108" s="19">
        <f t="shared" si="9"/>
        <v>0</v>
      </c>
      <c r="K108" s="19">
        <f t="shared" si="10"/>
        <v>0</v>
      </c>
      <c r="L108" s="19">
        <v>4.3400000000000001E-3</v>
      </c>
      <c r="M108" s="19">
        <v>3.2100000000000002E-3</v>
      </c>
      <c r="N108" s="19">
        <v>3.9500000000000004E-3</v>
      </c>
      <c r="O108" s="19">
        <v>3.2499999999999999E-3</v>
      </c>
      <c r="P108" s="19">
        <v>3.8400000000000001E-3</v>
      </c>
      <c r="Q108" s="19">
        <v>3.4499999999999999E-3</v>
      </c>
      <c r="R108" s="19"/>
      <c r="S108" s="19">
        <f t="shared" si="11"/>
        <v>0</v>
      </c>
      <c r="T108" s="19">
        <f t="shared" si="12"/>
        <v>0</v>
      </c>
      <c r="U108" s="19">
        <f t="shared" si="13"/>
        <v>0</v>
      </c>
      <c r="V108" s="19">
        <f t="shared" si="14"/>
        <v>0</v>
      </c>
      <c r="W108" s="19">
        <f t="shared" si="15"/>
        <v>0</v>
      </c>
      <c r="X108" s="21">
        <f t="shared" si="16"/>
        <v>0</v>
      </c>
    </row>
    <row r="109" spans="1:24" ht="13.5" x14ac:dyDescent="0.35">
      <c r="A109" s="18">
        <v>913286</v>
      </c>
      <c r="B109" s="19" t="s">
        <v>665</v>
      </c>
      <c r="C109" s="19">
        <v>115</v>
      </c>
      <c r="D109" s="19">
        <v>101</v>
      </c>
      <c r="E109" s="19">
        <v>1100</v>
      </c>
      <c r="F109" s="19">
        <v>0</v>
      </c>
      <c r="G109" s="19">
        <v>0</v>
      </c>
      <c r="H109" s="19">
        <v>0</v>
      </c>
      <c r="I109" s="20">
        <v>0</v>
      </c>
      <c r="J109" s="19">
        <f t="shared" si="9"/>
        <v>0</v>
      </c>
      <c r="K109" s="19">
        <f t="shared" si="10"/>
        <v>0</v>
      </c>
      <c r="L109" s="19">
        <v>4.0400000000000002E-3</v>
      </c>
      <c r="M109" s="19">
        <v>3.2599999999999999E-3</v>
      </c>
      <c r="N109" s="19">
        <v>3.13E-3</v>
      </c>
      <c r="O109" s="19">
        <v>4.7400000000000003E-3</v>
      </c>
      <c r="P109" s="19">
        <v>4.8399999999999997E-3</v>
      </c>
      <c r="Q109" s="19">
        <v>4.4200000000000003E-3</v>
      </c>
      <c r="R109" s="19"/>
      <c r="S109" s="19">
        <f t="shared" si="11"/>
        <v>0</v>
      </c>
      <c r="T109" s="19">
        <f t="shared" si="12"/>
        <v>0</v>
      </c>
      <c r="U109" s="19">
        <f t="shared" si="13"/>
        <v>0</v>
      </c>
      <c r="V109" s="19">
        <f t="shared" si="14"/>
        <v>0</v>
      </c>
      <c r="W109" s="19">
        <f t="shared" si="15"/>
        <v>0</v>
      </c>
      <c r="X109" s="21">
        <f t="shared" si="16"/>
        <v>0</v>
      </c>
    </row>
    <row r="110" spans="1:24" ht="13.5" x14ac:dyDescent="0.35">
      <c r="A110" s="18">
        <v>122043</v>
      </c>
      <c r="B110" s="19" t="s">
        <v>545</v>
      </c>
      <c r="C110" s="19">
        <v>22</v>
      </c>
      <c r="D110" s="19">
        <v>101</v>
      </c>
      <c r="E110" s="19">
        <v>1713</v>
      </c>
      <c r="F110" s="19">
        <v>402</v>
      </c>
      <c r="G110" s="19">
        <v>0</v>
      </c>
      <c r="H110" s="19">
        <v>402</v>
      </c>
      <c r="I110" s="20">
        <v>402</v>
      </c>
      <c r="J110" s="19">
        <f t="shared" si="9"/>
        <v>0</v>
      </c>
      <c r="K110" s="19">
        <f t="shared" si="10"/>
        <v>0</v>
      </c>
      <c r="L110" s="19">
        <v>3.8600000000000001E-3</v>
      </c>
      <c r="M110" s="19">
        <v>2.8E-3</v>
      </c>
      <c r="N110" s="19">
        <v>3.3700000000000002E-3</v>
      </c>
      <c r="O110" s="19">
        <v>2.6800000000000001E-3</v>
      </c>
      <c r="P110" s="19">
        <v>3.2100000000000002E-3</v>
      </c>
      <c r="Q110" s="19">
        <v>2.8600000000000001E-3</v>
      </c>
      <c r="R110" s="19"/>
      <c r="S110" s="19">
        <f t="shared" si="11"/>
        <v>0</v>
      </c>
      <c r="T110" s="19">
        <f t="shared" si="12"/>
        <v>0</v>
      </c>
      <c r="U110" s="19">
        <f t="shared" si="13"/>
        <v>0</v>
      </c>
      <c r="V110" s="19">
        <f t="shared" si="14"/>
        <v>0</v>
      </c>
      <c r="W110" s="19">
        <f t="shared" si="15"/>
        <v>0</v>
      </c>
      <c r="X110" s="21">
        <f t="shared" si="16"/>
        <v>0</v>
      </c>
    </row>
    <row r="111" spans="1:24" ht="13.5" x14ac:dyDescent="0.35">
      <c r="A111" s="18">
        <v>122046</v>
      </c>
      <c r="B111" s="19" t="s">
        <v>547</v>
      </c>
      <c r="C111" s="19">
        <v>13.8</v>
      </c>
      <c r="D111" s="19">
        <v>101</v>
      </c>
      <c r="E111" s="19">
        <v>1713</v>
      </c>
      <c r="F111" s="19">
        <v>46.9</v>
      </c>
      <c r="G111" s="19">
        <v>0</v>
      </c>
      <c r="H111" s="19">
        <v>46.9</v>
      </c>
      <c r="I111" s="20">
        <v>46.9</v>
      </c>
      <c r="J111" s="19">
        <f t="shared" si="9"/>
        <v>0</v>
      </c>
      <c r="K111" s="19">
        <f t="shared" si="10"/>
        <v>0</v>
      </c>
      <c r="L111" s="19">
        <v>3.8600000000000001E-3</v>
      </c>
      <c r="M111" s="19">
        <v>2.8E-3</v>
      </c>
      <c r="N111" s="19">
        <v>3.3700000000000002E-3</v>
      </c>
      <c r="O111" s="19">
        <v>2.6800000000000001E-3</v>
      </c>
      <c r="P111" s="19">
        <v>3.2100000000000002E-3</v>
      </c>
      <c r="Q111" s="19">
        <v>2.8600000000000001E-3</v>
      </c>
      <c r="R111" s="19"/>
      <c r="S111" s="19">
        <f t="shared" si="11"/>
        <v>0</v>
      </c>
      <c r="T111" s="19">
        <f t="shared" si="12"/>
        <v>0</v>
      </c>
      <c r="U111" s="19">
        <f t="shared" si="13"/>
        <v>0</v>
      </c>
      <c r="V111" s="19">
        <f t="shared" si="14"/>
        <v>0</v>
      </c>
      <c r="W111" s="19">
        <f t="shared" si="15"/>
        <v>0</v>
      </c>
      <c r="X111" s="21">
        <f t="shared" si="16"/>
        <v>0</v>
      </c>
    </row>
    <row r="112" spans="1:24" ht="13.5" x14ac:dyDescent="0.35">
      <c r="A112" s="18">
        <v>122047</v>
      </c>
      <c r="B112" s="19" t="s">
        <v>548</v>
      </c>
      <c r="C112" s="19">
        <v>13.8</v>
      </c>
      <c r="D112" s="19">
        <v>101</v>
      </c>
      <c r="E112" s="19">
        <v>1713</v>
      </c>
      <c r="F112" s="19">
        <v>46.9</v>
      </c>
      <c r="G112" s="19">
        <v>0</v>
      </c>
      <c r="H112" s="19">
        <v>46.9</v>
      </c>
      <c r="I112" s="20">
        <v>46.9</v>
      </c>
      <c r="J112" s="19">
        <f t="shared" si="9"/>
        <v>0</v>
      </c>
      <c r="K112" s="19">
        <f t="shared" si="10"/>
        <v>0</v>
      </c>
      <c r="L112" s="19">
        <v>3.8600000000000001E-3</v>
      </c>
      <c r="M112" s="19">
        <v>2.8E-3</v>
      </c>
      <c r="N112" s="19">
        <v>3.3700000000000002E-3</v>
      </c>
      <c r="O112" s="19">
        <v>2.6800000000000001E-3</v>
      </c>
      <c r="P112" s="19">
        <v>3.2100000000000002E-3</v>
      </c>
      <c r="Q112" s="19">
        <v>2.8600000000000001E-3</v>
      </c>
      <c r="R112" s="19"/>
      <c r="S112" s="19">
        <f t="shared" si="11"/>
        <v>0</v>
      </c>
      <c r="T112" s="19">
        <f t="shared" si="12"/>
        <v>0</v>
      </c>
      <c r="U112" s="19">
        <f t="shared" si="13"/>
        <v>0</v>
      </c>
      <c r="V112" s="19">
        <f t="shared" si="14"/>
        <v>0</v>
      </c>
      <c r="W112" s="19">
        <f t="shared" si="15"/>
        <v>0</v>
      </c>
      <c r="X112" s="21">
        <f t="shared" si="16"/>
        <v>0</v>
      </c>
    </row>
    <row r="113" spans="1:24" ht="13.5" x14ac:dyDescent="0.35">
      <c r="A113" s="18">
        <v>122048</v>
      </c>
      <c r="B113" s="19" t="s">
        <v>549</v>
      </c>
      <c r="C113" s="19">
        <v>13.8</v>
      </c>
      <c r="D113" s="19">
        <v>101</v>
      </c>
      <c r="E113" s="19">
        <v>1713</v>
      </c>
      <c r="F113" s="19">
        <v>46.9</v>
      </c>
      <c r="G113" s="19">
        <v>0</v>
      </c>
      <c r="H113" s="19">
        <v>46.9</v>
      </c>
      <c r="I113" s="20">
        <v>46.9</v>
      </c>
      <c r="J113" s="19">
        <f t="shared" si="9"/>
        <v>0</v>
      </c>
      <c r="K113" s="19">
        <f t="shared" si="10"/>
        <v>0</v>
      </c>
      <c r="L113" s="19">
        <v>3.8600000000000001E-3</v>
      </c>
      <c r="M113" s="19">
        <v>2.8E-3</v>
      </c>
      <c r="N113" s="19">
        <v>3.3700000000000002E-3</v>
      </c>
      <c r="O113" s="19">
        <v>2.6800000000000001E-3</v>
      </c>
      <c r="P113" s="19">
        <v>3.2100000000000002E-3</v>
      </c>
      <c r="Q113" s="19">
        <v>2.8600000000000001E-3</v>
      </c>
      <c r="R113" s="19"/>
      <c r="S113" s="19">
        <f t="shared" si="11"/>
        <v>0</v>
      </c>
      <c r="T113" s="19">
        <f t="shared" si="12"/>
        <v>0</v>
      </c>
      <c r="U113" s="19">
        <f t="shared" si="13"/>
        <v>0</v>
      </c>
      <c r="V113" s="19">
        <f t="shared" si="14"/>
        <v>0</v>
      </c>
      <c r="W113" s="19">
        <f t="shared" si="15"/>
        <v>0</v>
      </c>
      <c r="X113" s="21">
        <f t="shared" si="16"/>
        <v>0</v>
      </c>
    </row>
    <row r="114" spans="1:24" ht="13.5" x14ac:dyDescent="0.35">
      <c r="A114" s="18">
        <v>122049</v>
      </c>
      <c r="B114" s="19" t="s">
        <v>550</v>
      </c>
      <c r="C114" s="19">
        <v>13.8</v>
      </c>
      <c r="D114" s="19">
        <v>101</v>
      </c>
      <c r="E114" s="19">
        <v>1713</v>
      </c>
      <c r="F114" s="19">
        <v>46.9</v>
      </c>
      <c r="G114" s="19">
        <v>0</v>
      </c>
      <c r="H114" s="19">
        <v>46.9</v>
      </c>
      <c r="I114" s="20">
        <v>46.9</v>
      </c>
      <c r="J114" s="19">
        <f t="shared" si="9"/>
        <v>0</v>
      </c>
      <c r="K114" s="19">
        <f t="shared" si="10"/>
        <v>0</v>
      </c>
      <c r="L114" s="19">
        <v>3.8600000000000001E-3</v>
      </c>
      <c r="M114" s="19">
        <v>2.8E-3</v>
      </c>
      <c r="N114" s="19">
        <v>3.3700000000000002E-3</v>
      </c>
      <c r="O114" s="19">
        <v>2.6800000000000001E-3</v>
      </c>
      <c r="P114" s="19">
        <v>3.2100000000000002E-3</v>
      </c>
      <c r="Q114" s="19">
        <v>2.8600000000000001E-3</v>
      </c>
      <c r="R114" s="19"/>
      <c r="S114" s="19">
        <f t="shared" si="11"/>
        <v>0</v>
      </c>
      <c r="T114" s="19">
        <f t="shared" si="12"/>
        <v>0</v>
      </c>
      <c r="U114" s="19">
        <f t="shared" si="13"/>
        <v>0</v>
      </c>
      <c r="V114" s="19">
        <f t="shared" si="14"/>
        <v>0</v>
      </c>
      <c r="W114" s="19">
        <f t="shared" si="15"/>
        <v>0</v>
      </c>
      <c r="X114" s="21">
        <f t="shared" si="16"/>
        <v>0</v>
      </c>
    </row>
    <row r="115" spans="1:24" ht="13.5" x14ac:dyDescent="0.35">
      <c r="A115" s="18">
        <v>113404</v>
      </c>
      <c r="B115" s="19" t="s">
        <v>404</v>
      </c>
      <c r="C115" s="19">
        <v>13.8</v>
      </c>
      <c r="D115" s="19">
        <v>101</v>
      </c>
      <c r="E115" s="19">
        <v>1110</v>
      </c>
      <c r="F115" s="19">
        <v>40.94</v>
      </c>
      <c r="G115" s="19">
        <v>0</v>
      </c>
      <c r="H115" s="19">
        <v>40.94</v>
      </c>
      <c r="I115" s="20">
        <v>40.94</v>
      </c>
      <c r="J115" s="19">
        <f t="shared" si="9"/>
        <v>0</v>
      </c>
      <c r="K115" s="19">
        <f t="shared" si="10"/>
        <v>0</v>
      </c>
      <c r="L115" s="19">
        <v>3.8300000000000001E-3</v>
      </c>
      <c r="M115" s="19">
        <v>3.0599999999999998E-3</v>
      </c>
      <c r="N115" s="19">
        <v>2.8900000000000002E-3</v>
      </c>
      <c r="O115" s="19">
        <v>4.3899999999999998E-3</v>
      </c>
      <c r="P115" s="19">
        <v>4.4799999999999996E-3</v>
      </c>
      <c r="Q115" s="19">
        <v>4.0899999999999999E-3</v>
      </c>
      <c r="R115" s="19"/>
      <c r="S115" s="19">
        <f t="shared" si="11"/>
        <v>0</v>
      </c>
      <c r="T115" s="19">
        <f t="shared" si="12"/>
        <v>0</v>
      </c>
      <c r="U115" s="19">
        <f t="shared" si="13"/>
        <v>0</v>
      </c>
      <c r="V115" s="19">
        <f t="shared" si="14"/>
        <v>0</v>
      </c>
      <c r="W115" s="19">
        <f t="shared" si="15"/>
        <v>0</v>
      </c>
      <c r="X115" s="21">
        <f t="shared" si="16"/>
        <v>0</v>
      </c>
    </row>
    <row r="116" spans="1:24" ht="13.5" x14ac:dyDescent="0.35">
      <c r="A116" s="18">
        <v>122030</v>
      </c>
      <c r="B116" s="19" t="s">
        <v>540</v>
      </c>
      <c r="C116" s="19">
        <v>16.5</v>
      </c>
      <c r="D116" s="19">
        <v>101</v>
      </c>
      <c r="E116" s="19">
        <v>1713</v>
      </c>
      <c r="F116" s="19">
        <v>180.65</v>
      </c>
      <c r="G116" s="19">
        <v>0</v>
      </c>
      <c r="H116" s="19">
        <v>180.65</v>
      </c>
      <c r="I116" s="20">
        <v>180.65</v>
      </c>
      <c r="J116" s="19">
        <f t="shared" si="9"/>
        <v>0</v>
      </c>
      <c r="K116" s="19">
        <f t="shared" si="10"/>
        <v>0</v>
      </c>
      <c r="L116" s="19">
        <v>3.8300000000000001E-3</v>
      </c>
      <c r="M116" s="19">
        <v>2.7699999999999999E-3</v>
      </c>
      <c r="N116" s="19">
        <v>3.3300000000000001E-3</v>
      </c>
      <c r="O116" s="19">
        <v>2.64E-3</v>
      </c>
      <c r="P116" s="19">
        <v>3.1700000000000001E-3</v>
      </c>
      <c r="Q116" s="19">
        <v>2.82E-3</v>
      </c>
      <c r="R116" s="19"/>
      <c r="S116" s="19">
        <f t="shared" si="11"/>
        <v>0</v>
      </c>
      <c r="T116" s="19">
        <f t="shared" si="12"/>
        <v>0</v>
      </c>
      <c r="U116" s="19">
        <f t="shared" si="13"/>
        <v>0</v>
      </c>
      <c r="V116" s="19">
        <f t="shared" si="14"/>
        <v>0</v>
      </c>
      <c r="W116" s="19">
        <f t="shared" si="15"/>
        <v>0</v>
      </c>
      <c r="X116" s="21">
        <f t="shared" si="16"/>
        <v>0</v>
      </c>
    </row>
    <row r="117" spans="1:24" ht="13.5" x14ac:dyDescent="0.35">
      <c r="A117" s="18">
        <v>122031</v>
      </c>
      <c r="B117" s="19" t="s">
        <v>541</v>
      </c>
      <c r="C117" s="19">
        <v>16.5</v>
      </c>
      <c r="D117" s="19">
        <v>101</v>
      </c>
      <c r="E117" s="19">
        <v>1713</v>
      </c>
      <c r="F117" s="19">
        <v>0</v>
      </c>
      <c r="G117" s="19">
        <v>0</v>
      </c>
      <c r="H117" s="19">
        <v>0</v>
      </c>
      <c r="I117" s="20">
        <v>0</v>
      </c>
      <c r="J117" s="19">
        <f t="shared" si="9"/>
        <v>0</v>
      </c>
      <c r="K117" s="19">
        <f t="shared" si="10"/>
        <v>0</v>
      </c>
      <c r="L117" s="19">
        <v>3.8300000000000001E-3</v>
      </c>
      <c r="M117" s="19">
        <v>2.7699999999999999E-3</v>
      </c>
      <c r="N117" s="19">
        <v>3.3300000000000001E-3</v>
      </c>
      <c r="O117" s="19">
        <v>2.64E-3</v>
      </c>
      <c r="P117" s="19">
        <v>3.1700000000000001E-3</v>
      </c>
      <c r="Q117" s="19">
        <v>2.82E-3</v>
      </c>
      <c r="R117" s="19"/>
      <c r="S117" s="19">
        <f t="shared" si="11"/>
        <v>0</v>
      </c>
      <c r="T117" s="19">
        <f t="shared" si="12"/>
        <v>0</v>
      </c>
      <c r="U117" s="19">
        <f t="shared" si="13"/>
        <v>0</v>
      </c>
      <c r="V117" s="19">
        <f t="shared" si="14"/>
        <v>0</v>
      </c>
      <c r="W117" s="19">
        <f t="shared" si="15"/>
        <v>0</v>
      </c>
      <c r="X117" s="21">
        <f t="shared" si="16"/>
        <v>0</v>
      </c>
    </row>
    <row r="118" spans="1:24" ht="13.5" x14ac:dyDescent="0.35">
      <c r="A118" s="18">
        <v>122032</v>
      </c>
      <c r="B118" s="19" t="s">
        <v>542</v>
      </c>
      <c r="C118" s="19">
        <v>18</v>
      </c>
      <c r="D118" s="19">
        <v>101</v>
      </c>
      <c r="E118" s="19">
        <v>1713</v>
      </c>
      <c r="F118" s="19">
        <v>121.65</v>
      </c>
      <c r="G118" s="19">
        <v>0</v>
      </c>
      <c r="H118" s="19">
        <v>258.7</v>
      </c>
      <c r="I118" s="20">
        <v>121.65</v>
      </c>
      <c r="J118" s="19">
        <f t="shared" si="9"/>
        <v>0</v>
      </c>
      <c r="K118" s="19">
        <f t="shared" si="10"/>
        <v>137.04999999999998</v>
      </c>
      <c r="L118" s="19">
        <v>3.8300000000000001E-3</v>
      </c>
      <c r="M118" s="19">
        <v>2.7699999999999999E-3</v>
      </c>
      <c r="N118" s="19">
        <v>3.3300000000000001E-3</v>
      </c>
      <c r="O118" s="19">
        <v>2.64E-3</v>
      </c>
      <c r="P118" s="19">
        <v>3.1700000000000001E-3</v>
      </c>
      <c r="Q118" s="19">
        <v>2.82E-3</v>
      </c>
      <c r="R118" s="19"/>
      <c r="S118" s="19">
        <f t="shared" si="11"/>
        <v>0</v>
      </c>
      <c r="T118" s="19">
        <f t="shared" si="12"/>
        <v>0</v>
      </c>
      <c r="U118" s="19">
        <f t="shared" si="13"/>
        <v>0</v>
      </c>
      <c r="V118" s="19">
        <f t="shared" si="14"/>
        <v>0</v>
      </c>
      <c r="W118" s="19">
        <f t="shared" si="15"/>
        <v>0</v>
      </c>
      <c r="X118" s="21">
        <f t="shared" si="16"/>
        <v>0</v>
      </c>
    </row>
    <row r="119" spans="1:24" ht="13.5" x14ac:dyDescent="0.35">
      <c r="A119" s="18">
        <v>123635</v>
      </c>
      <c r="B119" s="19" t="s">
        <v>594</v>
      </c>
      <c r="C119" s="19">
        <v>192</v>
      </c>
      <c r="D119" s="19">
        <v>101</v>
      </c>
      <c r="E119" s="19">
        <v>1830</v>
      </c>
      <c r="F119" s="19">
        <v>0</v>
      </c>
      <c r="G119" s="19">
        <v>0</v>
      </c>
      <c r="H119" s="19">
        <v>0</v>
      </c>
      <c r="I119" s="20">
        <v>0</v>
      </c>
      <c r="J119" s="19">
        <f t="shared" si="9"/>
        <v>0</v>
      </c>
      <c r="K119" s="19">
        <f t="shared" si="10"/>
        <v>0</v>
      </c>
      <c r="L119" s="19">
        <v>3.8E-3</v>
      </c>
      <c r="M119" s="19">
        <v>2.7499999999999998E-3</v>
      </c>
      <c r="N119" s="19">
        <v>3.3E-3</v>
      </c>
      <c r="O119" s="19">
        <v>2.6099999999999999E-3</v>
      </c>
      <c r="P119" s="19">
        <v>3.14E-3</v>
      </c>
      <c r="Q119" s="19">
        <v>2.7899999999999999E-3</v>
      </c>
      <c r="R119" s="19"/>
      <c r="S119" s="19">
        <f t="shared" si="11"/>
        <v>0</v>
      </c>
      <c r="T119" s="19">
        <f t="shared" si="12"/>
        <v>0</v>
      </c>
      <c r="U119" s="19">
        <f t="shared" si="13"/>
        <v>0</v>
      </c>
      <c r="V119" s="19">
        <f t="shared" si="14"/>
        <v>0</v>
      </c>
      <c r="W119" s="19">
        <f t="shared" si="15"/>
        <v>0</v>
      </c>
      <c r="X119" s="21">
        <f t="shared" si="16"/>
        <v>0</v>
      </c>
    </row>
    <row r="120" spans="1:24" ht="13.5" x14ac:dyDescent="0.35">
      <c r="A120" s="18">
        <v>122417</v>
      </c>
      <c r="B120" s="19" t="s">
        <v>556</v>
      </c>
      <c r="C120" s="19">
        <v>13.8</v>
      </c>
      <c r="D120" s="19">
        <v>101</v>
      </c>
      <c r="E120" s="19">
        <v>1734</v>
      </c>
      <c r="F120" s="19">
        <v>0</v>
      </c>
      <c r="G120" s="19">
        <v>0</v>
      </c>
      <c r="H120" s="19">
        <v>0</v>
      </c>
      <c r="I120" s="20">
        <v>0</v>
      </c>
      <c r="J120" s="19">
        <f t="shared" si="9"/>
        <v>0</v>
      </c>
      <c r="K120" s="19">
        <f t="shared" si="10"/>
        <v>0</v>
      </c>
      <c r="L120" s="19">
        <v>3.7799999999999999E-3</v>
      </c>
      <c r="M120" s="19">
        <v>2.7299999999999998E-3</v>
      </c>
      <c r="N120" s="19">
        <v>3.2799999999999999E-3</v>
      </c>
      <c r="O120" s="19">
        <v>2.5899999999999999E-3</v>
      </c>
      <c r="P120" s="19">
        <v>3.1199999999999999E-3</v>
      </c>
      <c r="Q120" s="19">
        <v>2.7699999999999999E-3</v>
      </c>
      <c r="R120" s="19"/>
      <c r="S120" s="19">
        <f t="shared" si="11"/>
        <v>0</v>
      </c>
      <c r="T120" s="19">
        <f t="shared" si="12"/>
        <v>0</v>
      </c>
      <c r="U120" s="19">
        <f t="shared" si="13"/>
        <v>0</v>
      </c>
      <c r="V120" s="19">
        <f t="shared" si="14"/>
        <v>0</v>
      </c>
      <c r="W120" s="19">
        <f t="shared" si="15"/>
        <v>0</v>
      </c>
      <c r="X120" s="21">
        <f t="shared" si="16"/>
        <v>0</v>
      </c>
    </row>
    <row r="121" spans="1:24" ht="13.5" x14ac:dyDescent="0.35">
      <c r="A121" s="18">
        <v>122041</v>
      </c>
      <c r="B121" s="19" t="s">
        <v>543</v>
      </c>
      <c r="C121" s="19">
        <v>13.8</v>
      </c>
      <c r="D121" s="19">
        <v>101</v>
      </c>
      <c r="E121" s="19">
        <v>1713</v>
      </c>
      <c r="F121" s="19">
        <v>0</v>
      </c>
      <c r="G121" s="19">
        <v>0</v>
      </c>
      <c r="H121" s="19">
        <v>0</v>
      </c>
      <c r="I121" s="20">
        <v>0</v>
      </c>
      <c r="J121" s="19">
        <f t="shared" si="9"/>
        <v>0</v>
      </c>
      <c r="K121" s="19">
        <f t="shared" si="10"/>
        <v>0</v>
      </c>
      <c r="L121" s="19">
        <v>3.7699999999999999E-3</v>
      </c>
      <c r="M121" s="19">
        <v>2.7200000000000002E-3</v>
      </c>
      <c r="N121" s="19">
        <v>3.2599999999999999E-3</v>
      </c>
      <c r="O121" s="19">
        <v>2.5699999999999998E-3</v>
      </c>
      <c r="P121" s="19">
        <v>3.0999999999999999E-3</v>
      </c>
      <c r="Q121" s="19">
        <v>2.7499999999999998E-3</v>
      </c>
      <c r="R121" s="19"/>
      <c r="S121" s="19">
        <f t="shared" si="11"/>
        <v>0</v>
      </c>
      <c r="T121" s="19">
        <f t="shared" si="12"/>
        <v>0</v>
      </c>
      <c r="U121" s="19">
        <f t="shared" si="13"/>
        <v>0</v>
      </c>
      <c r="V121" s="19">
        <f t="shared" si="14"/>
        <v>0</v>
      </c>
      <c r="W121" s="19">
        <f t="shared" si="15"/>
        <v>0</v>
      </c>
      <c r="X121" s="21">
        <f t="shared" si="16"/>
        <v>0</v>
      </c>
    </row>
    <row r="122" spans="1:24" ht="13.5" x14ac:dyDescent="0.35">
      <c r="A122" s="18">
        <v>122042</v>
      </c>
      <c r="B122" s="19" t="s">
        <v>544</v>
      </c>
      <c r="C122" s="19">
        <v>22</v>
      </c>
      <c r="D122" s="19">
        <v>101</v>
      </c>
      <c r="E122" s="19">
        <v>1713</v>
      </c>
      <c r="F122" s="19">
        <v>231</v>
      </c>
      <c r="G122" s="19">
        <v>0</v>
      </c>
      <c r="H122" s="19">
        <v>231.71</v>
      </c>
      <c r="I122" s="20">
        <v>231</v>
      </c>
      <c r="J122" s="19">
        <f t="shared" si="9"/>
        <v>0</v>
      </c>
      <c r="K122" s="19">
        <f t="shared" si="10"/>
        <v>0.71000000000000796</v>
      </c>
      <c r="L122" s="19">
        <v>3.7699999999999999E-3</v>
      </c>
      <c r="M122" s="19">
        <v>2.7200000000000002E-3</v>
      </c>
      <c r="N122" s="19">
        <v>3.2599999999999999E-3</v>
      </c>
      <c r="O122" s="19">
        <v>2.5699999999999998E-3</v>
      </c>
      <c r="P122" s="19">
        <v>3.0999999999999999E-3</v>
      </c>
      <c r="Q122" s="19">
        <v>2.7499999999999998E-3</v>
      </c>
      <c r="R122" s="19"/>
      <c r="S122" s="19">
        <f t="shared" si="11"/>
        <v>0</v>
      </c>
      <c r="T122" s="19">
        <f t="shared" si="12"/>
        <v>0</v>
      </c>
      <c r="U122" s="19">
        <f t="shared" si="13"/>
        <v>0</v>
      </c>
      <c r="V122" s="19">
        <f t="shared" si="14"/>
        <v>0</v>
      </c>
      <c r="W122" s="19">
        <f t="shared" si="15"/>
        <v>0</v>
      </c>
      <c r="X122" s="21">
        <f t="shared" si="16"/>
        <v>0</v>
      </c>
    </row>
    <row r="123" spans="1:24" ht="13.5" x14ac:dyDescent="0.35">
      <c r="A123" s="18">
        <v>122044</v>
      </c>
      <c r="B123" s="19" t="s">
        <v>546</v>
      </c>
      <c r="C123" s="19">
        <v>13.2</v>
      </c>
      <c r="D123" s="19">
        <v>101</v>
      </c>
      <c r="E123" s="19">
        <v>1713</v>
      </c>
      <c r="F123" s="19">
        <v>0</v>
      </c>
      <c r="G123" s="19">
        <v>0</v>
      </c>
      <c r="H123" s="19">
        <v>0</v>
      </c>
      <c r="I123" s="20">
        <v>0</v>
      </c>
      <c r="J123" s="19">
        <f t="shared" si="9"/>
        <v>0</v>
      </c>
      <c r="K123" s="19">
        <f t="shared" si="10"/>
        <v>0</v>
      </c>
      <c r="L123" s="19">
        <v>3.7699999999999999E-3</v>
      </c>
      <c r="M123" s="19">
        <v>2.7200000000000002E-3</v>
      </c>
      <c r="N123" s="19">
        <v>3.2599999999999999E-3</v>
      </c>
      <c r="O123" s="19">
        <v>2.5699999999999998E-3</v>
      </c>
      <c r="P123" s="19">
        <v>3.0999999999999999E-3</v>
      </c>
      <c r="Q123" s="19">
        <v>2.7499999999999998E-3</v>
      </c>
      <c r="R123" s="19"/>
      <c r="S123" s="19">
        <f t="shared" si="11"/>
        <v>0</v>
      </c>
      <c r="T123" s="19">
        <f t="shared" si="12"/>
        <v>0</v>
      </c>
      <c r="U123" s="19">
        <f t="shared" si="13"/>
        <v>0</v>
      </c>
      <c r="V123" s="19">
        <f t="shared" si="14"/>
        <v>0</v>
      </c>
      <c r="W123" s="19">
        <f t="shared" si="15"/>
        <v>0</v>
      </c>
      <c r="X123" s="21">
        <f t="shared" si="16"/>
        <v>0</v>
      </c>
    </row>
    <row r="124" spans="1:24" ht="13.5" x14ac:dyDescent="0.35">
      <c r="A124" s="18">
        <v>123653</v>
      </c>
      <c r="B124" s="19" t="s">
        <v>600</v>
      </c>
      <c r="C124" s="19">
        <v>22</v>
      </c>
      <c r="D124" s="19">
        <v>101</v>
      </c>
      <c r="E124" s="19">
        <v>1823</v>
      </c>
      <c r="F124" s="19">
        <v>466</v>
      </c>
      <c r="G124" s="19">
        <v>0</v>
      </c>
      <c r="H124" s="19">
        <v>466</v>
      </c>
      <c r="I124" s="20">
        <v>466</v>
      </c>
      <c r="J124" s="19">
        <f t="shared" si="9"/>
        <v>0</v>
      </c>
      <c r="K124" s="19">
        <f t="shared" si="10"/>
        <v>0</v>
      </c>
      <c r="L124" s="19">
        <v>3.7599999999999999E-3</v>
      </c>
      <c r="M124" s="19">
        <v>2.7200000000000002E-3</v>
      </c>
      <c r="N124" s="19">
        <v>3.2599999999999999E-3</v>
      </c>
      <c r="O124" s="19">
        <v>2.5699999999999998E-3</v>
      </c>
      <c r="P124" s="19">
        <v>3.0999999999999999E-3</v>
      </c>
      <c r="Q124" s="19">
        <v>2.7499999999999998E-3</v>
      </c>
      <c r="R124" s="19"/>
      <c r="S124" s="19">
        <f t="shared" si="11"/>
        <v>0</v>
      </c>
      <c r="T124" s="19">
        <f t="shared" si="12"/>
        <v>0</v>
      </c>
      <c r="U124" s="19">
        <f t="shared" si="13"/>
        <v>0</v>
      </c>
      <c r="V124" s="19">
        <f t="shared" si="14"/>
        <v>0</v>
      </c>
      <c r="W124" s="19">
        <f t="shared" si="15"/>
        <v>0</v>
      </c>
      <c r="X124" s="21">
        <f t="shared" si="16"/>
        <v>0</v>
      </c>
    </row>
    <row r="125" spans="1:24" ht="13.5" x14ac:dyDescent="0.35">
      <c r="A125" s="18">
        <v>123655</v>
      </c>
      <c r="B125" s="19" t="s">
        <v>601</v>
      </c>
      <c r="C125" s="19">
        <v>13.8</v>
      </c>
      <c r="D125" s="19">
        <v>101</v>
      </c>
      <c r="E125" s="19">
        <v>1823</v>
      </c>
      <c r="F125" s="19">
        <v>43.2</v>
      </c>
      <c r="G125" s="19">
        <v>0</v>
      </c>
      <c r="H125" s="19">
        <v>43.2</v>
      </c>
      <c r="I125" s="20">
        <v>43.2</v>
      </c>
      <c r="J125" s="19">
        <f t="shared" si="9"/>
        <v>0</v>
      </c>
      <c r="K125" s="19">
        <f t="shared" si="10"/>
        <v>0</v>
      </c>
      <c r="L125" s="19">
        <v>3.7599999999999999E-3</v>
      </c>
      <c r="M125" s="19">
        <v>2.7200000000000002E-3</v>
      </c>
      <c r="N125" s="19">
        <v>3.2599999999999999E-3</v>
      </c>
      <c r="O125" s="19">
        <v>2.5699999999999998E-3</v>
      </c>
      <c r="P125" s="19">
        <v>3.0999999999999999E-3</v>
      </c>
      <c r="Q125" s="19">
        <v>2.7499999999999998E-3</v>
      </c>
      <c r="R125" s="19"/>
      <c r="S125" s="19">
        <f t="shared" si="11"/>
        <v>0</v>
      </c>
      <c r="T125" s="19">
        <f t="shared" si="12"/>
        <v>0</v>
      </c>
      <c r="U125" s="19">
        <f t="shared" si="13"/>
        <v>0</v>
      </c>
      <c r="V125" s="19">
        <f t="shared" si="14"/>
        <v>0</v>
      </c>
      <c r="W125" s="19">
        <f t="shared" si="15"/>
        <v>0</v>
      </c>
      <c r="X125" s="21">
        <f t="shared" si="16"/>
        <v>0</v>
      </c>
    </row>
    <row r="126" spans="1:24" ht="13.5" x14ac:dyDescent="0.35">
      <c r="A126" s="18">
        <v>123656</v>
      </c>
      <c r="B126" s="19" t="s">
        <v>602</v>
      </c>
      <c r="C126" s="19">
        <v>13.8</v>
      </c>
      <c r="D126" s="19">
        <v>101</v>
      </c>
      <c r="E126" s="19">
        <v>1823</v>
      </c>
      <c r="F126" s="19">
        <v>0</v>
      </c>
      <c r="G126" s="19">
        <v>0</v>
      </c>
      <c r="H126" s="19">
        <v>0</v>
      </c>
      <c r="I126" s="20">
        <v>0</v>
      </c>
      <c r="J126" s="19">
        <f t="shared" si="9"/>
        <v>0</v>
      </c>
      <c r="K126" s="19">
        <f t="shared" si="10"/>
        <v>0</v>
      </c>
      <c r="L126" s="19">
        <v>3.7599999999999999E-3</v>
      </c>
      <c r="M126" s="19">
        <v>2.7200000000000002E-3</v>
      </c>
      <c r="N126" s="19">
        <v>3.2599999999999999E-3</v>
      </c>
      <c r="O126" s="19">
        <v>2.5699999999999998E-3</v>
      </c>
      <c r="P126" s="19">
        <v>3.0999999999999999E-3</v>
      </c>
      <c r="Q126" s="19">
        <v>2.7499999999999998E-3</v>
      </c>
      <c r="R126" s="19"/>
      <c r="S126" s="19">
        <f t="shared" si="11"/>
        <v>0</v>
      </c>
      <c r="T126" s="19">
        <f t="shared" si="12"/>
        <v>0</v>
      </c>
      <c r="U126" s="19">
        <f t="shared" si="13"/>
        <v>0</v>
      </c>
      <c r="V126" s="19">
        <f t="shared" si="14"/>
        <v>0</v>
      </c>
      <c r="W126" s="19">
        <f t="shared" si="15"/>
        <v>0</v>
      </c>
      <c r="X126" s="21">
        <f t="shared" si="16"/>
        <v>0</v>
      </c>
    </row>
    <row r="127" spans="1:24" ht="13.5" x14ac:dyDescent="0.35">
      <c r="A127" s="18">
        <v>123128</v>
      </c>
      <c r="B127" s="19" t="s">
        <v>588</v>
      </c>
      <c r="C127" s="19">
        <v>13.8</v>
      </c>
      <c r="D127" s="19">
        <v>101</v>
      </c>
      <c r="E127" s="19">
        <v>1804</v>
      </c>
      <c r="F127" s="19">
        <v>0</v>
      </c>
      <c r="G127" s="19">
        <v>0</v>
      </c>
      <c r="H127" s="19">
        <v>0</v>
      </c>
      <c r="I127" s="20">
        <v>0</v>
      </c>
      <c r="J127" s="19">
        <f t="shared" si="9"/>
        <v>0</v>
      </c>
      <c r="K127" s="19">
        <f t="shared" si="10"/>
        <v>0</v>
      </c>
      <c r="L127" s="19">
        <v>3.7499999999999999E-3</v>
      </c>
      <c r="M127" s="19">
        <v>2.7100000000000002E-3</v>
      </c>
      <c r="N127" s="19">
        <v>3.2399999999999998E-3</v>
      </c>
      <c r="O127" s="19">
        <v>2.5600000000000002E-3</v>
      </c>
      <c r="P127" s="19">
        <v>3.0799999999999998E-3</v>
      </c>
      <c r="Q127" s="19">
        <v>2.7399999999999998E-3</v>
      </c>
      <c r="R127" s="19"/>
      <c r="S127" s="19">
        <f t="shared" si="11"/>
        <v>0</v>
      </c>
      <c r="T127" s="19">
        <f t="shared" si="12"/>
        <v>0</v>
      </c>
      <c r="U127" s="19">
        <f t="shared" si="13"/>
        <v>0</v>
      </c>
      <c r="V127" s="19">
        <f t="shared" si="14"/>
        <v>0</v>
      </c>
      <c r="W127" s="19">
        <f t="shared" si="15"/>
        <v>0</v>
      </c>
      <c r="X127" s="21">
        <f t="shared" si="16"/>
        <v>0</v>
      </c>
    </row>
    <row r="128" spans="1:24" ht="13.5" x14ac:dyDescent="0.35">
      <c r="A128" s="18">
        <v>123129</v>
      </c>
      <c r="B128" s="19" t="s">
        <v>589</v>
      </c>
      <c r="C128" s="19">
        <v>13.8</v>
      </c>
      <c r="D128" s="19">
        <v>101</v>
      </c>
      <c r="E128" s="19">
        <v>1804</v>
      </c>
      <c r="F128" s="19">
        <v>0</v>
      </c>
      <c r="G128" s="19">
        <v>0</v>
      </c>
      <c r="H128" s="19">
        <v>0</v>
      </c>
      <c r="I128" s="20">
        <v>0</v>
      </c>
      <c r="J128" s="19">
        <f t="shared" si="9"/>
        <v>0</v>
      </c>
      <c r="K128" s="19">
        <f t="shared" si="10"/>
        <v>0</v>
      </c>
      <c r="L128" s="19">
        <v>3.7499999999999999E-3</v>
      </c>
      <c r="M128" s="19">
        <v>2.7100000000000002E-3</v>
      </c>
      <c r="N128" s="19">
        <v>3.2399999999999998E-3</v>
      </c>
      <c r="O128" s="19">
        <v>2.5600000000000002E-3</v>
      </c>
      <c r="P128" s="19">
        <v>3.0799999999999998E-3</v>
      </c>
      <c r="Q128" s="19">
        <v>2.7399999999999998E-3</v>
      </c>
      <c r="R128" s="19"/>
      <c r="S128" s="19">
        <f t="shared" si="11"/>
        <v>0</v>
      </c>
      <c r="T128" s="19">
        <f t="shared" si="12"/>
        <v>0</v>
      </c>
      <c r="U128" s="19">
        <f t="shared" si="13"/>
        <v>0</v>
      </c>
      <c r="V128" s="19">
        <f t="shared" si="14"/>
        <v>0</v>
      </c>
      <c r="W128" s="19">
        <f t="shared" si="15"/>
        <v>0</v>
      </c>
      <c r="X128" s="21">
        <f t="shared" si="16"/>
        <v>0</v>
      </c>
    </row>
    <row r="129" spans="1:24" ht="13.5" x14ac:dyDescent="0.35">
      <c r="A129" s="18">
        <v>122448</v>
      </c>
      <c r="B129" s="19" t="s">
        <v>557</v>
      </c>
      <c r="C129" s="19">
        <v>13.8</v>
      </c>
      <c r="D129" s="19">
        <v>101</v>
      </c>
      <c r="E129" s="19">
        <v>1733</v>
      </c>
      <c r="F129" s="19">
        <v>47.29</v>
      </c>
      <c r="G129" s="19">
        <v>0</v>
      </c>
      <c r="H129" s="19">
        <v>47.29</v>
      </c>
      <c r="I129" s="20">
        <v>47.29</v>
      </c>
      <c r="J129" s="19">
        <f t="shared" si="9"/>
        <v>0</v>
      </c>
      <c r="K129" s="19">
        <f t="shared" si="10"/>
        <v>0</v>
      </c>
      <c r="L129" s="19">
        <v>3.7299999999999998E-3</v>
      </c>
      <c r="M129" s="19">
        <v>2.6900000000000001E-3</v>
      </c>
      <c r="N129" s="19">
        <v>3.2200000000000002E-3</v>
      </c>
      <c r="O129" s="19">
        <v>2.5400000000000002E-3</v>
      </c>
      <c r="P129" s="19">
        <v>3.0599999999999998E-3</v>
      </c>
      <c r="Q129" s="19">
        <v>2.7200000000000002E-3</v>
      </c>
      <c r="R129" s="19"/>
      <c r="S129" s="19">
        <f t="shared" si="11"/>
        <v>0</v>
      </c>
      <c r="T129" s="19">
        <f t="shared" si="12"/>
        <v>0</v>
      </c>
      <c r="U129" s="19">
        <f t="shared" si="13"/>
        <v>0</v>
      </c>
      <c r="V129" s="19">
        <f t="shared" si="14"/>
        <v>0</v>
      </c>
      <c r="W129" s="19">
        <f t="shared" si="15"/>
        <v>0</v>
      </c>
      <c r="X129" s="21">
        <f t="shared" si="16"/>
        <v>0</v>
      </c>
    </row>
    <row r="130" spans="1:24" ht="13.5" x14ac:dyDescent="0.35">
      <c r="A130" s="18">
        <v>122449</v>
      </c>
      <c r="B130" s="19" t="s">
        <v>558</v>
      </c>
      <c r="C130" s="19">
        <v>13.8</v>
      </c>
      <c r="D130" s="19">
        <v>101</v>
      </c>
      <c r="E130" s="19">
        <v>1733</v>
      </c>
      <c r="F130" s="19">
        <v>47.29</v>
      </c>
      <c r="G130" s="19">
        <v>0</v>
      </c>
      <c r="H130" s="19">
        <v>47.29</v>
      </c>
      <c r="I130" s="20">
        <v>47.29</v>
      </c>
      <c r="J130" s="19">
        <f t="shared" si="9"/>
        <v>0</v>
      </c>
      <c r="K130" s="19">
        <f t="shared" si="10"/>
        <v>0</v>
      </c>
      <c r="L130" s="19">
        <v>3.7299999999999998E-3</v>
      </c>
      <c r="M130" s="19">
        <v>2.6900000000000001E-3</v>
      </c>
      <c r="N130" s="19">
        <v>3.2200000000000002E-3</v>
      </c>
      <c r="O130" s="19">
        <v>2.5400000000000002E-3</v>
      </c>
      <c r="P130" s="19">
        <v>3.0599999999999998E-3</v>
      </c>
      <c r="Q130" s="19">
        <v>2.7200000000000002E-3</v>
      </c>
      <c r="R130" s="19"/>
      <c r="S130" s="19">
        <f t="shared" si="11"/>
        <v>0</v>
      </c>
      <c r="T130" s="19">
        <f t="shared" si="12"/>
        <v>0</v>
      </c>
      <c r="U130" s="19">
        <f t="shared" si="13"/>
        <v>0</v>
      </c>
      <c r="V130" s="19">
        <f t="shared" si="14"/>
        <v>0</v>
      </c>
      <c r="W130" s="19">
        <f t="shared" si="15"/>
        <v>0</v>
      </c>
      <c r="X130" s="21">
        <f t="shared" si="16"/>
        <v>0</v>
      </c>
    </row>
    <row r="131" spans="1:24" ht="13.5" x14ac:dyDescent="0.35">
      <c r="A131" s="18">
        <v>122450</v>
      </c>
      <c r="B131" s="19" t="s">
        <v>559</v>
      </c>
      <c r="C131" s="19">
        <v>13.8</v>
      </c>
      <c r="D131" s="19">
        <v>101</v>
      </c>
      <c r="E131" s="19">
        <v>1733</v>
      </c>
      <c r="F131" s="19">
        <v>47.29</v>
      </c>
      <c r="G131" s="19">
        <v>0</v>
      </c>
      <c r="H131" s="19">
        <v>47.29</v>
      </c>
      <c r="I131" s="20">
        <v>47.29</v>
      </c>
      <c r="J131" s="19">
        <f t="shared" si="9"/>
        <v>0</v>
      </c>
      <c r="K131" s="19">
        <f t="shared" si="10"/>
        <v>0</v>
      </c>
      <c r="L131" s="19">
        <v>3.7299999999999998E-3</v>
      </c>
      <c r="M131" s="19">
        <v>2.6900000000000001E-3</v>
      </c>
      <c r="N131" s="19">
        <v>3.2200000000000002E-3</v>
      </c>
      <c r="O131" s="19">
        <v>2.5400000000000002E-3</v>
      </c>
      <c r="P131" s="19">
        <v>3.0599999999999998E-3</v>
      </c>
      <c r="Q131" s="19">
        <v>2.7200000000000002E-3</v>
      </c>
      <c r="R131" s="19"/>
      <c r="S131" s="19">
        <f t="shared" si="11"/>
        <v>0</v>
      </c>
      <c r="T131" s="19">
        <f t="shared" si="12"/>
        <v>0</v>
      </c>
      <c r="U131" s="19">
        <f t="shared" si="13"/>
        <v>0</v>
      </c>
      <c r="V131" s="19">
        <f t="shared" si="14"/>
        <v>0</v>
      </c>
      <c r="W131" s="19">
        <f t="shared" si="15"/>
        <v>0</v>
      </c>
      <c r="X131" s="21">
        <f t="shared" si="16"/>
        <v>0</v>
      </c>
    </row>
    <row r="132" spans="1:24" ht="13.5" x14ac:dyDescent="0.35">
      <c r="A132" s="18">
        <v>122451</v>
      </c>
      <c r="B132" s="19" t="s">
        <v>560</v>
      </c>
      <c r="C132" s="19">
        <v>13.8</v>
      </c>
      <c r="D132" s="19">
        <v>101</v>
      </c>
      <c r="E132" s="19">
        <v>1733</v>
      </c>
      <c r="F132" s="19">
        <v>47.29</v>
      </c>
      <c r="G132" s="19">
        <v>0</v>
      </c>
      <c r="H132" s="19">
        <v>47.29</v>
      </c>
      <c r="I132" s="20">
        <v>47.29</v>
      </c>
      <c r="J132" s="19">
        <f t="shared" si="9"/>
        <v>0</v>
      </c>
      <c r="K132" s="19">
        <f t="shared" si="10"/>
        <v>0</v>
      </c>
      <c r="L132" s="19">
        <v>3.7299999999999998E-3</v>
      </c>
      <c r="M132" s="19">
        <v>2.6900000000000001E-3</v>
      </c>
      <c r="N132" s="19">
        <v>3.2200000000000002E-3</v>
      </c>
      <c r="O132" s="19">
        <v>2.5400000000000002E-3</v>
      </c>
      <c r="P132" s="19">
        <v>3.0599999999999998E-3</v>
      </c>
      <c r="Q132" s="19">
        <v>2.7200000000000002E-3</v>
      </c>
      <c r="R132" s="19"/>
      <c r="S132" s="19">
        <f t="shared" si="11"/>
        <v>0</v>
      </c>
      <c r="T132" s="19">
        <f t="shared" si="12"/>
        <v>0</v>
      </c>
      <c r="U132" s="19">
        <f t="shared" si="13"/>
        <v>0</v>
      </c>
      <c r="V132" s="19">
        <f t="shared" si="14"/>
        <v>0</v>
      </c>
      <c r="W132" s="19">
        <f t="shared" si="15"/>
        <v>0</v>
      </c>
      <c r="X132" s="21">
        <f t="shared" si="16"/>
        <v>0</v>
      </c>
    </row>
    <row r="133" spans="1:24" ht="13.5" x14ac:dyDescent="0.35">
      <c r="A133" s="18">
        <v>122452</v>
      </c>
      <c r="B133" s="19" t="s">
        <v>561</v>
      </c>
      <c r="C133" s="19">
        <v>13.8</v>
      </c>
      <c r="D133" s="19">
        <v>101</v>
      </c>
      <c r="E133" s="19">
        <v>1733</v>
      </c>
      <c r="F133" s="19">
        <v>47.29</v>
      </c>
      <c r="G133" s="19">
        <v>0</v>
      </c>
      <c r="H133" s="19">
        <v>47.29</v>
      </c>
      <c r="I133" s="20">
        <v>47.29</v>
      </c>
      <c r="J133" s="19">
        <f t="shared" si="9"/>
        <v>0</v>
      </c>
      <c r="K133" s="19">
        <f t="shared" si="10"/>
        <v>0</v>
      </c>
      <c r="L133" s="19">
        <v>3.7299999999999998E-3</v>
      </c>
      <c r="M133" s="19">
        <v>2.6900000000000001E-3</v>
      </c>
      <c r="N133" s="19">
        <v>3.2200000000000002E-3</v>
      </c>
      <c r="O133" s="19">
        <v>2.5400000000000002E-3</v>
      </c>
      <c r="P133" s="19">
        <v>3.0599999999999998E-3</v>
      </c>
      <c r="Q133" s="19">
        <v>2.7200000000000002E-3</v>
      </c>
      <c r="R133" s="19"/>
      <c r="S133" s="19">
        <f t="shared" si="11"/>
        <v>0</v>
      </c>
      <c r="T133" s="19">
        <f t="shared" si="12"/>
        <v>0</v>
      </c>
      <c r="U133" s="19">
        <f t="shared" si="13"/>
        <v>0</v>
      </c>
      <c r="V133" s="19">
        <f t="shared" si="14"/>
        <v>0</v>
      </c>
      <c r="W133" s="19">
        <f t="shared" si="15"/>
        <v>0</v>
      </c>
      <c r="X133" s="21">
        <f t="shared" si="16"/>
        <v>0</v>
      </c>
    </row>
    <row r="134" spans="1:24" ht="13.5" x14ac:dyDescent="0.35">
      <c r="A134" s="18">
        <v>122453</v>
      </c>
      <c r="B134" s="19" t="s">
        <v>562</v>
      </c>
      <c r="C134" s="19">
        <v>13.8</v>
      </c>
      <c r="D134" s="19">
        <v>101</v>
      </c>
      <c r="E134" s="19">
        <v>1733</v>
      </c>
      <c r="F134" s="19">
        <v>47.28</v>
      </c>
      <c r="G134" s="19">
        <v>0</v>
      </c>
      <c r="H134" s="19">
        <v>47.28</v>
      </c>
      <c r="I134" s="20">
        <v>47.28</v>
      </c>
      <c r="J134" s="19">
        <f t="shared" si="9"/>
        <v>0</v>
      </c>
      <c r="K134" s="19">
        <f t="shared" si="10"/>
        <v>0</v>
      </c>
      <c r="L134" s="19">
        <v>3.7299999999999998E-3</v>
      </c>
      <c r="M134" s="19">
        <v>2.6900000000000001E-3</v>
      </c>
      <c r="N134" s="19">
        <v>3.2200000000000002E-3</v>
      </c>
      <c r="O134" s="19">
        <v>2.5400000000000002E-3</v>
      </c>
      <c r="P134" s="19">
        <v>3.0599999999999998E-3</v>
      </c>
      <c r="Q134" s="19">
        <v>2.7200000000000002E-3</v>
      </c>
      <c r="R134" s="19"/>
      <c r="S134" s="19">
        <f t="shared" si="11"/>
        <v>0</v>
      </c>
      <c r="T134" s="19">
        <f t="shared" si="12"/>
        <v>0</v>
      </c>
      <c r="U134" s="19">
        <f t="shared" si="13"/>
        <v>0</v>
      </c>
      <c r="V134" s="19">
        <f t="shared" si="14"/>
        <v>0</v>
      </c>
      <c r="W134" s="19">
        <f t="shared" si="15"/>
        <v>0</v>
      </c>
      <c r="X134" s="21">
        <f t="shared" si="16"/>
        <v>0</v>
      </c>
    </row>
    <row r="135" spans="1:24" ht="13.5" x14ac:dyDescent="0.35">
      <c r="A135" s="18">
        <v>122454</v>
      </c>
      <c r="B135" s="19" t="s">
        <v>563</v>
      </c>
      <c r="C135" s="19">
        <v>13.8</v>
      </c>
      <c r="D135" s="19">
        <v>101</v>
      </c>
      <c r="E135" s="19">
        <v>1733</v>
      </c>
      <c r="F135" s="19">
        <v>47.28</v>
      </c>
      <c r="G135" s="19">
        <v>0</v>
      </c>
      <c r="H135" s="19">
        <v>47.28</v>
      </c>
      <c r="I135" s="20">
        <v>47.28</v>
      </c>
      <c r="J135" s="19">
        <f t="shared" si="9"/>
        <v>0</v>
      </c>
      <c r="K135" s="19">
        <f t="shared" si="10"/>
        <v>0</v>
      </c>
      <c r="L135" s="19">
        <v>3.7299999999999998E-3</v>
      </c>
      <c r="M135" s="19">
        <v>2.6900000000000001E-3</v>
      </c>
      <c r="N135" s="19">
        <v>3.2200000000000002E-3</v>
      </c>
      <c r="O135" s="19">
        <v>2.5400000000000002E-3</v>
      </c>
      <c r="P135" s="19">
        <v>3.0599999999999998E-3</v>
      </c>
      <c r="Q135" s="19">
        <v>2.7200000000000002E-3</v>
      </c>
      <c r="R135" s="19"/>
      <c r="S135" s="19">
        <f t="shared" si="11"/>
        <v>0</v>
      </c>
      <c r="T135" s="19">
        <f t="shared" si="12"/>
        <v>0</v>
      </c>
      <c r="U135" s="19">
        <f t="shared" si="13"/>
        <v>0</v>
      </c>
      <c r="V135" s="19">
        <f t="shared" si="14"/>
        <v>0</v>
      </c>
      <c r="W135" s="19">
        <f t="shared" si="15"/>
        <v>0</v>
      </c>
      <c r="X135" s="21">
        <f t="shared" si="16"/>
        <v>0</v>
      </c>
    </row>
    <row r="136" spans="1:24" ht="13.5" x14ac:dyDescent="0.35">
      <c r="A136" s="18">
        <v>122542</v>
      </c>
      <c r="B136" s="19" t="s">
        <v>573</v>
      </c>
      <c r="C136" s="19">
        <v>13.8</v>
      </c>
      <c r="D136" s="19">
        <v>101</v>
      </c>
      <c r="E136" s="19">
        <v>1733</v>
      </c>
      <c r="F136" s="19">
        <v>77.5</v>
      </c>
      <c r="G136" s="19">
        <v>0</v>
      </c>
      <c r="H136" s="19">
        <v>77.5</v>
      </c>
      <c r="I136" s="20">
        <v>77.5</v>
      </c>
      <c r="J136" s="19">
        <f t="shared" si="9"/>
        <v>0</v>
      </c>
      <c r="K136" s="19">
        <f t="shared" si="10"/>
        <v>0</v>
      </c>
      <c r="L136" s="19">
        <v>3.7299999999999998E-3</v>
      </c>
      <c r="M136" s="19">
        <v>2.6900000000000001E-3</v>
      </c>
      <c r="N136" s="19">
        <v>3.2200000000000002E-3</v>
      </c>
      <c r="O136" s="19">
        <v>2.5400000000000002E-3</v>
      </c>
      <c r="P136" s="19">
        <v>3.0599999999999998E-3</v>
      </c>
      <c r="Q136" s="19">
        <v>2.7200000000000002E-3</v>
      </c>
      <c r="R136" s="19"/>
      <c r="S136" s="19">
        <f t="shared" si="11"/>
        <v>0</v>
      </c>
      <c r="T136" s="19">
        <f t="shared" si="12"/>
        <v>0</v>
      </c>
      <c r="U136" s="19">
        <f t="shared" si="13"/>
        <v>0</v>
      </c>
      <c r="V136" s="19">
        <f t="shared" si="14"/>
        <v>0</v>
      </c>
      <c r="W136" s="19">
        <f t="shared" si="15"/>
        <v>0</v>
      </c>
      <c r="X136" s="21">
        <f t="shared" si="16"/>
        <v>0</v>
      </c>
    </row>
    <row r="137" spans="1:24" ht="13.5" x14ac:dyDescent="0.35">
      <c r="A137" s="18">
        <v>920515</v>
      </c>
      <c r="B137" s="19" t="s">
        <v>708</v>
      </c>
      <c r="C137" s="19">
        <v>69</v>
      </c>
      <c r="D137" s="19">
        <v>101</v>
      </c>
      <c r="E137" s="19">
        <v>1670</v>
      </c>
      <c r="F137" s="19">
        <v>0</v>
      </c>
      <c r="G137" s="19">
        <v>0</v>
      </c>
      <c r="H137" s="19">
        <v>0</v>
      </c>
      <c r="I137" s="20">
        <v>0</v>
      </c>
      <c r="J137" s="19">
        <f t="shared" si="9"/>
        <v>0</v>
      </c>
      <c r="K137" s="19">
        <f t="shared" si="10"/>
        <v>0</v>
      </c>
      <c r="L137" s="19">
        <v>3.7100000000000002E-3</v>
      </c>
      <c r="M137" s="19">
        <v>2.6700000000000001E-3</v>
      </c>
      <c r="N137" s="19">
        <v>3.1900000000000001E-3</v>
      </c>
      <c r="O137" s="19">
        <v>2.5100000000000001E-3</v>
      </c>
      <c r="P137" s="19">
        <v>3.0300000000000001E-3</v>
      </c>
      <c r="Q137" s="19">
        <v>2.6900000000000001E-3</v>
      </c>
      <c r="R137" s="19"/>
      <c r="S137" s="19">
        <f t="shared" si="11"/>
        <v>0</v>
      </c>
      <c r="T137" s="19">
        <f t="shared" si="12"/>
        <v>0</v>
      </c>
      <c r="U137" s="19">
        <f t="shared" si="13"/>
        <v>0</v>
      </c>
      <c r="V137" s="19">
        <f t="shared" si="14"/>
        <v>0</v>
      </c>
      <c r="W137" s="19">
        <f t="shared" si="15"/>
        <v>0</v>
      </c>
      <c r="X137" s="21">
        <f t="shared" si="16"/>
        <v>0</v>
      </c>
    </row>
    <row r="138" spans="1:24" ht="13.5" x14ac:dyDescent="0.35">
      <c r="A138" s="18">
        <v>122272</v>
      </c>
      <c r="B138" s="19" t="s">
        <v>555</v>
      </c>
      <c r="C138" s="19">
        <v>13.8</v>
      </c>
      <c r="D138" s="19">
        <v>101</v>
      </c>
      <c r="E138" s="19">
        <v>1692</v>
      </c>
      <c r="F138" s="19">
        <v>0</v>
      </c>
      <c r="G138" s="19">
        <v>0</v>
      </c>
      <c r="H138" s="19">
        <v>0</v>
      </c>
      <c r="I138" s="20">
        <v>0</v>
      </c>
      <c r="J138" s="19">
        <f t="shared" si="9"/>
        <v>0</v>
      </c>
      <c r="K138" s="19">
        <f t="shared" si="10"/>
        <v>0</v>
      </c>
      <c r="L138" s="19">
        <v>3.6900000000000001E-3</v>
      </c>
      <c r="M138" s="19">
        <v>2.66E-3</v>
      </c>
      <c r="N138" s="19">
        <v>3.1800000000000001E-3</v>
      </c>
      <c r="O138" s="19">
        <v>2.49E-3</v>
      </c>
      <c r="P138" s="19">
        <v>3.0100000000000001E-3</v>
      </c>
      <c r="Q138" s="19">
        <v>2.6700000000000001E-3</v>
      </c>
      <c r="R138" s="19"/>
      <c r="S138" s="19">
        <f t="shared" si="11"/>
        <v>0</v>
      </c>
      <c r="T138" s="19">
        <f t="shared" si="12"/>
        <v>0</v>
      </c>
      <c r="U138" s="19">
        <f t="shared" si="13"/>
        <v>0</v>
      </c>
      <c r="V138" s="19">
        <f t="shared" si="14"/>
        <v>0</v>
      </c>
      <c r="W138" s="19">
        <f t="shared" si="15"/>
        <v>0</v>
      </c>
      <c r="X138" s="21">
        <f t="shared" si="16"/>
        <v>0</v>
      </c>
    </row>
    <row r="139" spans="1:24" ht="13.5" x14ac:dyDescent="0.35">
      <c r="A139" s="18">
        <v>122469</v>
      </c>
      <c r="B139" s="19" t="s">
        <v>564</v>
      </c>
      <c r="C139" s="19">
        <v>13.8</v>
      </c>
      <c r="D139" s="19">
        <v>101</v>
      </c>
      <c r="E139" s="19">
        <v>1733</v>
      </c>
      <c r="F139" s="19">
        <v>0</v>
      </c>
      <c r="G139" s="19">
        <v>0</v>
      </c>
      <c r="H139" s="19">
        <v>0</v>
      </c>
      <c r="I139" s="20">
        <v>0</v>
      </c>
      <c r="J139" s="19">
        <f t="shared" si="9"/>
        <v>0</v>
      </c>
      <c r="K139" s="19">
        <f t="shared" si="10"/>
        <v>0</v>
      </c>
      <c r="L139" s="19">
        <v>3.6700000000000001E-3</v>
      </c>
      <c r="M139" s="19">
        <v>2.64E-3</v>
      </c>
      <c r="N139" s="19">
        <v>3.15E-3</v>
      </c>
      <c r="O139" s="19">
        <v>2.47E-3</v>
      </c>
      <c r="P139" s="19">
        <v>2.98E-3</v>
      </c>
      <c r="Q139" s="19">
        <v>2.65E-3</v>
      </c>
      <c r="R139" s="19"/>
      <c r="S139" s="19">
        <f t="shared" si="11"/>
        <v>0</v>
      </c>
      <c r="T139" s="19">
        <f t="shared" si="12"/>
        <v>0</v>
      </c>
      <c r="U139" s="19">
        <f t="shared" si="13"/>
        <v>0</v>
      </c>
      <c r="V139" s="19">
        <f t="shared" si="14"/>
        <v>0</v>
      </c>
      <c r="W139" s="19">
        <f t="shared" si="15"/>
        <v>0</v>
      </c>
      <c r="X139" s="21">
        <f t="shared" si="16"/>
        <v>0</v>
      </c>
    </row>
    <row r="140" spans="1:24" ht="13.5" x14ac:dyDescent="0.35">
      <c r="A140" s="18">
        <v>122476</v>
      </c>
      <c r="B140" s="19" t="s">
        <v>569</v>
      </c>
      <c r="C140" s="19">
        <v>13.8</v>
      </c>
      <c r="D140" s="19">
        <v>101</v>
      </c>
      <c r="E140" s="19">
        <v>1733</v>
      </c>
      <c r="F140" s="19">
        <v>93.8</v>
      </c>
      <c r="G140" s="19">
        <v>0</v>
      </c>
      <c r="H140" s="19">
        <v>93.8</v>
      </c>
      <c r="I140" s="20">
        <v>93.8</v>
      </c>
      <c r="J140" s="19">
        <f t="shared" si="9"/>
        <v>0</v>
      </c>
      <c r="K140" s="19">
        <f t="shared" si="10"/>
        <v>0</v>
      </c>
      <c r="L140" s="19">
        <v>3.6700000000000001E-3</v>
      </c>
      <c r="M140" s="19">
        <v>2.64E-3</v>
      </c>
      <c r="N140" s="19">
        <v>3.15E-3</v>
      </c>
      <c r="O140" s="19">
        <v>2.47E-3</v>
      </c>
      <c r="P140" s="19">
        <v>2.98E-3</v>
      </c>
      <c r="Q140" s="19">
        <v>2.65E-3</v>
      </c>
      <c r="R140" s="19"/>
      <c r="S140" s="19">
        <f t="shared" si="11"/>
        <v>0</v>
      </c>
      <c r="T140" s="19">
        <f t="shared" si="12"/>
        <v>0</v>
      </c>
      <c r="U140" s="19">
        <f t="shared" si="13"/>
        <v>0</v>
      </c>
      <c r="V140" s="19">
        <f t="shared" si="14"/>
        <v>0</v>
      </c>
      <c r="W140" s="19">
        <f t="shared" si="15"/>
        <v>0</v>
      </c>
      <c r="X140" s="21">
        <f t="shared" si="16"/>
        <v>0</v>
      </c>
    </row>
    <row r="141" spans="1:24" ht="13.5" x14ac:dyDescent="0.35">
      <c r="A141" s="18">
        <v>122477</v>
      </c>
      <c r="B141" s="19" t="s">
        <v>570</v>
      </c>
      <c r="C141" s="19">
        <v>13.8</v>
      </c>
      <c r="D141" s="19">
        <v>101</v>
      </c>
      <c r="E141" s="19">
        <v>1733</v>
      </c>
      <c r="F141" s="19">
        <v>93.8</v>
      </c>
      <c r="G141" s="19">
        <v>0</v>
      </c>
      <c r="H141" s="19">
        <v>93.8</v>
      </c>
      <c r="I141" s="20">
        <v>93.8</v>
      </c>
      <c r="J141" s="19">
        <f t="shared" si="9"/>
        <v>0</v>
      </c>
      <c r="K141" s="19">
        <f t="shared" si="10"/>
        <v>0</v>
      </c>
      <c r="L141" s="19">
        <v>3.6700000000000001E-3</v>
      </c>
      <c r="M141" s="19">
        <v>2.64E-3</v>
      </c>
      <c r="N141" s="19">
        <v>3.15E-3</v>
      </c>
      <c r="O141" s="19">
        <v>2.47E-3</v>
      </c>
      <c r="P141" s="19">
        <v>2.98E-3</v>
      </c>
      <c r="Q141" s="19">
        <v>2.65E-3</v>
      </c>
      <c r="R141" s="19"/>
      <c r="S141" s="19">
        <f t="shared" si="11"/>
        <v>0</v>
      </c>
      <c r="T141" s="19">
        <f t="shared" si="12"/>
        <v>0</v>
      </c>
      <c r="U141" s="19">
        <f t="shared" si="13"/>
        <v>0</v>
      </c>
      <c r="V141" s="19">
        <f t="shared" si="14"/>
        <v>0</v>
      </c>
      <c r="W141" s="19">
        <f t="shared" si="15"/>
        <v>0</v>
      </c>
      <c r="X141" s="21">
        <f t="shared" si="16"/>
        <v>0</v>
      </c>
    </row>
    <row r="142" spans="1:24" ht="13.5" x14ac:dyDescent="0.35">
      <c r="A142" s="18">
        <v>920821</v>
      </c>
      <c r="B142" s="19" t="s">
        <v>709</v>
      </c>
      <c r="C142" s="19">
        <v>115</v>
      </c>
      <c r="D142" s="19">
        <v>101</v>
      </c>
      <c r="E142" s="19">
        <v>1730</v>
      </c>
      <c r="F142" s="19">
        <v>0</v>
      </c>
      <c r="G142" s="19">
        <v>0</v>
      </c>
      <c r="H142" s="19">
        <v>0</v>
      </c>
      <c r="I142" s="20">
        <v>0</v>
      </c>
      <c r="J142" s="19">
        <f t="shared" si="9"/>
        <v>0</v>
      </c>
      <c r="K142" s="19">
        <f t="shared" si="10"/>
        <v>0</v>
      </c>
      <c r="L142" s="19">
        <v>3.6700000000000001E-3</v>
      </c>
      <c r="M142" s="19">
        <v>2.64E-3</v>
      </c>
      <c r="N142" s="19">
        <v>3.15E-3</v>
      </c>
      <c r="O142" s="19">
        <v>2.47E-3</v>
      </c>
      <c r="P142" s="19">
        <v>2.98E-3</v>
      </c>
      <c r="Q142" s="19">
        <v>2.65E-3</v>
      </c>
      <c r="R142" s="19"/>
      <c r="S142" s="19">
        <f t="shared" si="11"/>
        <v>0</v>
      </c>
      <c r="T142" s="19">
        <f t="shared" si="12"/>
        <v>0</v>
      </c>
      <c r="U142" s="19">
        <f t="shared" si="13"/>
        <v>0</v>
      </c>
      <c r="V142" s="19">
        <f t="shared" si="14"/>
        <v>0</v>
      </c>
      <c r="W142" s="19">
        <f t="shared" si="15"/>
        <v>0</v>
      </c>
      <c r="X142" s="21">
        <f t="shared" si="16"/>
        <v>0</v>
      </c>
    </row>
    <row r="143" spans="1:24" ht="13.5" x14ac:dyDescent="0.35">
      <c r="A143" s="18">
        <v>923312</v>
      </c>
      <c r="B143" s="19" t="s">
        <v>712</v>
      </c>
      <c r="C143" s="19">
        <v>115</v>
      </c>
      <c r="D143" s="19">
        <v>101</v>
      </c>
      <c r="E143" s="19">
        <v>1800</v>
      </c>
      <c r="F143" s="19">
        <v>0</v>
      </c>
      <c r="G143" s="19">
        <v>0</v>
      </c>
      <c r="H143" s="19">
        <v>0</v>
      </c>
      <c r="I143" s="20">
        <v>0</v>
      </c>
      <c r="J143" s="19">
        <f t="shared" ref="J143:J206" si="17">I143-F143</f>
        <v>0</v>
      </c>
      <c r="K143" s="19">
        <f t="shared" ref="K143:K206" si="18">H143-I143</f>
        <v>0</v>
      </c>
      <c r="L143" s="19">
        <v>3.65E-3</v>
      </c>
      <c r="M143" s="19">
        <v>2.6199999999999999E-3</v>
      </c>
      <c r="N143" s="19">
        <v>3.13E-3</v>
      </c>
      <c r="O143" s="19">
        <v>2.4499999999999999E-3</v>
      </c>
      <c r="P143" s="19">
        <v>2.96E-3</v>
      </c>
      <c r="Q143" s="19">
        <v>2.63E-3</v>
      </c>
      <c r="R143" s="19"/>
      <c r="S143" s="19">
        <f t="shared" ref="S143:S206" si="19">L143*J143</f>
        <v>0</v>
      </c>
      <c r="T143" s="19">
        <f t="shared" ref="T143:T206" si="20">M143*J143</f>
        <v>0</v>
      </c>
      <c r="U143" s="19">
        <f t="shared" ref="U143:U206" si="21">N143*J143</f>
        <v>0</v>
      </c>
      <c r="V143" s="19">
        <f t="shared" ref="V143:V206" si="22">O143*J143</f>
        <v>0</v>
      </c>
      <c r="W143" s="19">
        <f t="shared" ref="W143:W206" si="23">P143*J143</f>
        <v>0</v>
      </c>
      <c r="X143" s="21">
        <f t="shared" ref="X143:X206" si="24">Q143*J143</f>
        <v>0</v>
      </c>
    </row>
    <row r="144" spans="1:24" ht="13.5" x14ac:dyDescent="0.35">
      <c r="A144" s="18">
        <v>122481</v>
      </c>
      <c r="B144" s="19" t="s">
        <v>571</v>
      </c>
      <c r="C144" s="19">
        <v>21</v>
      </c>
      <c r="D144" s="19">
        <v>101</v>
      </c>
      <c r="E144" s="19">
        <v>1733</v>
      </c>
      <c r="F144" s="19">
        <v>0</v>
      </c>
      <c r="G144" s="19">
        <v>0</v>
      </c>
      <c r="H144" s="19">
        <v>0</v>
      </c>
      <c r="I144" s="20">
        <v>0</v>
      </c>
      <c r="J144" s="19">
        <f t="shared" si="17"/>
        <v>0</v>
      </c>
      <c r="K144" s="19">
        <f t="shared" si="18"/>
        <v>0</v>
      </c>
      <c r="L144" s="19">
        <v>3.64E-3</v>
      </c>
      <c r="M144" s="19">
        <v>2.6199999999999999E-3</v>
      </c>
      <c r="N144" s="19">
        <v>3.1199999999999999E-3</v>
      </c>
      <c r="O144" s="19">
        <v>2.4399999999999999E-3</v>
      </c>
      <c r="P144" s="19">
        <v>2.9499999999999999E-3</v>
      </c>
      <c r="Q144" s="19">
        <v>2.6199999999999999E-3</v>
      </c>
      <c r="R144" s="19"/>
      <c r="S144" s="19">
        <f t="shared" si="19"/>
        <v>0</v>
      </c>
      <c r="T144" s="19">
        <f t="shared" si="20"/>
        <v>0</v>
      </c>
      <c r="U144" s="19">
        <f t="shared" si="21"/>
        <v>0</v>
      </c>
      <c r="V144" s="19">
        <f t="shared" si="22"/>
        <v>0</v>
      </c>
      <c r="W144" s="19">
        <f t="shared" si="23"/>
        <v>0</v>
      </c>
      <c r="X144" s="21">
        <f t="shared" si="24"/>
        <v>0</v>
      </c>
    </row>
    <row r="145" spans="1:24" ht="13.5" x14ac:dyDescent="0.35">
      <c r="A145" s="18">
        <v>122482</v>
      </c>
      <c r="B145" s="19" t="s">
        <v>572</v>
      </c>
      <c r="C145" s="19">
        <v>21</v>
      </c>
      <c r="D145" s="19">
        <v>101</v>
      </c>
      <c r="E145" s="19">
        <v>1733</v>
      </c>
      <c r="F145" s="19">
        <v>0</v>
      </c>
      <c r="G145" s="19">
        <v>0</v>
      </c>
      <c r="H145" s="19">
        <v>0</v>
      </c>
      <c r="I145" s="20">
        <v>0</v>
      </c>
      <c r="J145" s="19">
        <f t="shared" si="17"/>
        <v>0</v>
      </c>
      <c r="K145" s="19">
        <f t="shared" si="18"/>
        <v>0</v>
      </c>
      <c r="L145" s="19">
        <v>3.64E-3</v>
      </c>
      <c r="M145" s="19">
        <v>2.6199999999999999E-3</v>
      </c>
      <c r="N145" s="19">
        <v>3.1199999999999999E-3</v>
      </c>
      <c r="O145" s="19">
        <v>2.4399999999999999E-3</v>
      </c>
      <c r="P145" s="19">
        <v>2.9499999999999999E-3</v>
      </c>
      <c r="Q145" s="19">
        <v>2.6199999999999999E-3</v>
      </c>
      <c r="R145" s="19"/>
      <c r="S145" s="19">
        <f t="shared" si="19"/>
        <v>0</v>
      </c>
      <c r="T145" s="19">
        <f t="shared" si="20"/>
        <v>0</v>
      </c>
      <c r="U145" s="19">
        <f t="shared" si="21"/>
        <v>0</v>
      </c>
      <c r="V145" s="19">
        <f t="shared" si="22"/>
        <v>0</v>
      </c>
      <c r="W145" s="19">
        <f t="shared" si="23"/>
        <v>0</v>
      </c>
      <c r="X145" s="21">
        <f t="shared" si="24"/>
        <v>0</v>
      </c>
    </row>
    <row r="146" spans="1:24" ht="13.5" x14ac:dyDescent="0.35">
      <c r="A146" s="18">
        <v>923136</v>
      </c>
      <c r="B146" s="19" t="s">
        <v>710</v>
      </c>
      <c r="C146" s="19">
        <v>13.8</v>
      </c>
      <c r="D146" s="19">
        <v>101</v>
      </c>
      <c r="E146" s="19">
        <v>1802</v>
      </c>
      <c r="F146" s="19">
        <v>6.53</v>
      </c>
      <c r="G146" s="19">
        <v>0</v>
      </c>
      <c r="H146" s="19">
        <v>6.53</v>
      </c>
      <c r="I146" s="20">
        <v>6.53</v>
      </c>
      <c r="J146" s="19">
        <f t="shared" si="17"/>
        <v>0</v>
      </c>
      <c r="K146" s="19">
        <f t="shared" si="18"/>
        <v>0</v>
      </c>
      <c r="L146" s="19">
        <v>3.64E-3</v>
      </c>
      <c r="M146" s="19">
        <v>2.6099999999999999E-3</v>
      </c>
      <c r="N146" s="19">
        <v>3.1199999999999999E-3</v>
      </c>
      <c r="O146" s="19">
        <v>2.4399999999999999E-3</v>
      </c>
      <c r="P146" s="19">
        <v>2.9499999999999999E-3</v>
      </c>
      <c r="Q146" s="19">
        <v>2.6099999999999999E-3</v>
      </c>
      <c r="R146" s="19"/>
      <c r="S146" s="19">
        <f t="shared" si="19"/>
        <v>0</v>
      </c>
      <c r="T146" s="19">
        <f t="shared" si="20"/>
        <v>0</v>
      </c>
      <c r="U146" s="19">
        <f t="shared" si="21"/>
        <v>0</v>
      </c>
      <c r="V146" s="19">
        <f t="shared" si="22"/>
        <v>0</v>
      </c>
      <c r="W146" s="19">
        <f t="shared" si="23"/>
        <v>0</v>
      </c>
      <c r="X146" s="21">
        <f t="shared" si="24"/>
        <v>0</v>
      </c>
    </row>
    <row r="147" spans="1:24" ht="13.5" x14ac:dyDescent="0.35">
      <c r="A147" s="18">
        <v>923313</v>
      </c>
      <c r="B147" s="19" t="s">
        <v>713</v>
      </c>
      <c r="C147" s="19">
        <v>115</v>
      </c>
      <c r="D147" s="19">
        <v>101</v>
      </c>
      <c r="E147" s="19">
        <v>1800</v>
      </c>
      <c r="F147" s="19">
        <v>0</v>
      </c>
      <c r="G147" s="19">
        <v>0</v>
      </c>
      <c r="H147" s="19">
        <v>0</v>
      </c>
      <c r="I147" s="20">
        <v>0</v>
      </c>
      <c r="J147" s="19">
        <f t="shared" si="17"/>
        <v>0</v>
      </c>
      <c r="K147" s="19">
        <f t="shared" si="18"/>
        <v>0</v>
      </c>
      <c r="L147" s="19">
        <v>3.64E-3</v>
      </c>
      <c r="M147" s="19">
        <v>2.6099999999999999E-3</v>
      </c>
      <c r="N147" s="19">
        <v>3.1199999999999999E-3</v>
      </c>
      <c r="O147" s="19">
        <v>2.4399999999999999E-3</v>
      </c>
      <c r="P147" s="19">
        <v>2.9499999999999999E-3</v>
      </c>
      <c r="Q147" s="19">
        <v>2.6099999999999999E-3</v>
      </c>
      <c r="R147" s="19"/>
      <c r="S147" s="19">
        <f t="shared" si="19"/>
        <v>0</v>
      </c>
      <c r="T147" s="19">
        <f t="shared" si="20"/>
        <v>0</v>
      </c>
      <c r="U147" s="19">
        <f t="shared" si="21"/>
        <v>0</v>
      </c>
      <c r="V147" s="19">
        <f t="shared" si="22"/>
        <v>0</v>
      </c>
      <c r="W147" s="19">
        <f t="shared" si="23"/>
        <v>0</v>
      </c>
      <c r="X147" s="21">
        <f t="shared" si="24"/>
        <v>0</v>
      </c>
    </row>
    <row r="148" spans="1:24" ht="13.5" x14ac:dyDescent="0.35">
      <c r="A148" s="18">
        <v>122470</v>
      </c>
      <c r="B148" s="19" t="s">
        <v>565</v>
      </c>
      <c r="C148" s="19">
        <v>13.8</v>
      </c>
      <c r="D148" s="19">
        <v>101</v>
      </c>
      <c r="E148" s="19">
        <v>1733</v>
      </c>
      <c r="F148" s="19">
        <v>33.119999999999997</v>
      </c>
      <c r="G148" s="19">
        <v>0</v>
      </c>
      <c r="H148" s="19">
        <v>33.119999999999997</v>
      </c>
      <c r="I148" s="20">
        <v>33.119999999999997</v>
      </c>
      <c r="J148" s="19">
        <f t="shared" si="17"/>
        <v>0</v>
      </c>
      <c r="K148" s="19">
        <f t="shared" si="18"/>
        <v>0</v>
      </c>
      <c r="L148" s="19">
        <v>3.63E-3</v>
      </c>
      <c r="M148" s="19">
        <v>2.5999999999999999E-3</v>
      </c>
      <c r="N148" s="19">
        <v>3.0999999999999999E-3</v>
      </c>
      <c r="O148" s="19">
        <v>2.4199999999999998E-3</v>
      </c>
      <c r="P148" s="19">
        <v>2.9299999999999999E-3</v>
      </c>
      <c r="Q148" s="19">
        <v>2.5999999999999999E-3</v>
      </c>
      <c r="R148" s="19"/>
      <c r="S148" s="19">
        <f t="shared" si="19"/>
        <v>0</v>
      </c>
      <c r="T148" s="19">
        <f t="shared" si="20"/>
        <v>0</v>
      </c>
      <c r="U148" s="19">
        <f t="shared" si="21"/>
        <v>0</v>
      </c>
      <c r="V148" s="19">
        <f t="shared" si="22"/>
        <v>0</v>
      </c>
      <c r="W148" s="19">
        <f t="shared" si="23"/>
        <v>0</v>
      </c>
      <c r="X148" s="21">
        <f t="shared" si="24"/>
        <v>0</v>
      </c>
    </row>
    <row r="149" spans="1:24" ht="13.5" x14ac:dyDescent="0.35">
      <c r="A149" s="18">
        <v>122471</v>
      </c>
      <c r="B149" s="19" t="s">
        <v>566</v>
      </c>
      <c r="C149" s="19">
        <v>13.8</v>
      </c>
      <c r="D149" s="19">
        <v>101</v>
      </c>
      <c r="E149" s="19">
        <v>1733</v>
      </c>
      <c r="F149" s="19">
        <v>33.119999999999997</v>
      </c>
      <c r="G149" s="19">
        <v>0</v>
      </c>
      <c r="H149" s="19">
        <v>33.119999999999997</v>
      </c>
      <c r="I149" s="20">
        <v>33.119999999999997</v>
      </c>
      <c r="J149" s="19">
        <f t="shared" si="17"/>
        <v>0</v>
      </c>
      <c r="K149" s="19">
        <f t="shared" si="18"/>
        <v>0</v>
      </c>
      <c r="L149" s="19">
        <v>3.63E-3</v>
      </c>
      <c r="M149" s="19">
        <v>2.5999999999999999E-3</v>
      </c>
      <c r="N149" s="19">
        <v>3.0999999999999999E-3</v>
      </c>
      <c r="O149" s="19">
        <v>2.4199999999999998E-3</v>
      </c>
      <c r="P149" s="19">
        <v>2.9299999999999999E-3</v>
      </c>
      <c r="Q149" s="19">
        <v>2.5999999999999999E-3</v>
      </c>
      <c r="R149" s="19"/>
      <c r="S149" s="19">
        <f t="shared" si="19"/>
        <v>0</v>
      </c>
      <c r="T149" s="19">
        <f t="shared" si="20"/>
        <v>0</v>
      </c>
      <c r="U149" s="19">
        <f t="shared" si="21"/>
        <v>0</v>
      </c>
      <c r="V149" s="19">
        <f t="shared" si="22"/>
        <v>0</v>
      </c>
      <c r="W149" s="19">
        <f t="shared" si="23"/>
        <v>0</v>
      </c>
      <c r="X149" s="21">
        <f t="shared" si="24"/>
        <v>0</v>
      </c>
    </row>
    <row r="150" spans="1:24" ht="13.5" x14ac:dyDescent="0.35">
      <c r="A150" s="18">
        <v>122472</v>
      </c>
      <c r="B150" s="19" t="s">
        <v>567</v>
      </c>
      <c r="C150" s="19">
        <v>13.8</v>
      </c>
      <c r="D150" s="19">
        <v>101</v>
      </c>
      <c r="E150" s="19">
        <v>1733</v>
      </c>
      <c r="F150" s="19">
        <v>33.119999999999997</v>
      </c>
      <c r="G150" s="19">
        <v>0</v>
      </c>
      <c r="H150" s="19">
        <v>33.119999999999997</v>
      </c>
      <c r="I150" s="20">
        <v>33.119999999999997</v>
      </c>
      <c r="J150" s="19">
        <f t="shared" si="17"/>
        <v>0</v>
      </c>
      <c r="K150" s="19">
        <f t="shared" si="18"/>
        <v>0</v>
      </c>
      <c r="L150" s="19">
        <v>3.63E-3</v>
      </c>
      <c r="M150" s="19">
        <v>2.5999999999999999E-3</v>
      </c>
      <c r="N150" s="19">
        <v>3.0999999999999999E-3</v>
      </c>
      <c r="O150" s="19">
        <v>2.4199999999999998E-3</v>
      </c>
      <c r="P150" s="19">
        <v>2.9299999999999999E-3</v>
      </c>
      <c r="Q150" s="19">
        <v>2.5999999999999999E-3</v>
      </c>
      <c r="R150" s="19"/>
      <c r="S150" s="19">
        <f t="shared" si="19"/>
        <v>0</v>
      </c>
      <c r="T150" s="19">
        <f t="shared" si="20"/>
        <v>0</v>
      </c>
      <c r="U150" s="19">
        <f t="shared" si="21"/>
        <v>0</v>
      </c>
      <c r="V150" s="19">
        <f t="shared" si="22"/>
        <v>0</v>
      </c>
      <c r="W150" s="19">
        <f t="shared" si="23"/>
        <v>0</v>
      </c>
      <c r="X150" s="21">
        <f t="shared" si="24"/>
        <v>0</v>
      </c>
    </row>
    <row r="151" spans="1:24" ht="13.5" x14ac:dyDescent="0.35">
      <c r="A151" s="18">
        <v>122473</v>
      </c>
      <c r="B151" s="19" t="s">
        <v>568</v>
      </c>
      <c r="C151" s="19">
        <v>13.8</v>
      </c>
      <c r="D151" s="19">
        <v>101</v>
      </c>
      <c r="E151" s="19">
        <v>1733</v>
      </c>
      <c r="F151" s="19">
        <v>33.119999999999997</v>
      </c>
      <c r="G151" s="19">
        <v>0</v>
      </c>
      <c r="H151" s="19">
        <v>33.119999999999997</v>
      </c>
      <c r="I151" s="20">
        <v>33.119999999999997</v>
      </c>
      <c r="J151" s="19">
        <f t="shared" si="17"/>
        <v>0</v>
      </c>
      <c r="K151" s="19">
        <f t="shared" si="18"/>
        <v>0</v>
      </c>
      <c r="L151" s="19">
        <v>3.63E-3</v>
      </c>
      <c r="M151" s="19">
        <v>2.5999999999999999E-3</v>
      </c>
      <c r="N151" s="19">
        <v>3.0999999999999999E-3</v>
      </c>
      <c r="O151" s="19">
        <v>2.4199999999999998E-3</v>
      </c>
      <c r="P151" s="19">
        <v>2.9299999999999999E-3</v>
      </c>
      <c r="Q151" s="19">
        <v>2.5999999999999999E-3</v>
      </c>
      <c r="R151" s="19"/>
      <c r="S151" s="19">
        <f t="shared" si="19"/>
        <v>0</v>
      </c>
      <c r="T151" s="19">
        <f t="shared" si="20"/>
        <v>0</v>
      </c>
      <c r="U151" s="19">
        <f t="shared" si="21"/>
        <v>0</v>
      </c>
      <c r="V151" s="19">
        <f t="shared" si="22"/>
        <v>0</v>
      </c>
      <c r="W151" s="19">
        <f t="shared" si="23"/>
        <v>0</v>
      </c>
      <c r="X151" s="21">
        <f t="shared" si="24"/>
        <v>0</v>
      </c>
    </row>
    <row r="152" spans="1:24" ht="13.5" x14ac:dyDescent="0.35">
      <c r="A152" s="18">
        <v>123642</v>
      </c>
      <c r="B152" s="19" t="s">
        <v>596</v>
      </c>
      <c r="C152" s="19">
        <v>13.8</v>
      </c>
      <c r="D152" s="19">
        <v>101</v>
      </c>
      <c r="E152" s="19">
        <v>1803</v>
      </c>
      <c r="F152" s="19">
        <v>0</v>
      </c>
      <c r="G152" s="19">
        <v>0</v>
      </c>
      <c r="H152" s="19">
        <v>0</v>
      </c>
      <c r="I152" s="20">
        <v>0</v>
      </c>
      <c r="J152" s="19">
        <f t="shared" si="17"/>
        <v>0</v>
      </c>
      <c r="K152" s="19">
        <f t="shared" si="18"/>
        <v>0</v>
      </c>
      <c r="L152" s="19">
        <v>3.63E-3</v>
      </c>
      <c r="M152" s="19">
        <v>2.6099999999999999E-3</v>
      </c>
      <c r="N152" s="19">
        <v>3.1099999999999999E-3</v>
      </c>
      <c r="O152" s="19">
        <v>2.4299999999999999E-3</v>
      </c>
      <c r="P152" s="19">
        <v>2.9399999999999999E-3</v>
      </c>
      <c r="Q152" s="19">
        <v>2.6099999999999999E-3</v>
      </c>
      <c r="R152" s="19"/>
      <c r="S152" s="19">
        <f t="shared" si="19"/>
        <v>0</v>
      </c>
      <c r="T152" s="19">
        <f t="shared" si="20"/>
        <v>0</v>
      </c>
      <c r="U152" s="19">
        <f t="shared" si="21"/>
        <v>0</v>
      </c>
      <c r="V152" s="19">
        <f t="shared" si="22"/>
        <v>0</v>
      </c>
      <c r="W152" s="19">
        <f t="shared" si="23"/>
        <v>0</v>
      </c>
      <c r="X152" s="21">
        <f t="shared" si="24"/>
        <v>0</v>
      </c>
    </row>
    <row r="153" spans="1:24" ht="13.5" x14ac:dyDescent="0.35">
      <c r="A153" s="18">
        <v>123643</v>
      </c>
      <c r="B153" s="19" t="s">
        <v>597</v>
      </c>
      <c r="C153" s="19">
        <v>13.8</v>
      </c>
      <c r="D153" s="19">
        <v>101</v>
      </c>
      <c r="E153" s="19">
        <v>1803</v>
      </c>
      <c r="F153" s="19">
        <v>59.65</v>
      </c>
      <c r="G153" s="19">
        <v>0</v>
      </c>
      <c r="H153" s="19">
        <v>59.65</v>
      </c>
      <c r="I153" s="20">
        <v>59.65</v>
      </c>
      <c r="J153" s="19">
        <f t="shared" si="17"/>
        <v>0</v>
      </c>
      <c r="K153" s="19">
        <f t="shared" si="18"/>
        <v>0</v>
      </c>
      <c r="L153" s="19">
        <v>3.63E-3</v>
      </c>
      <c r="M153" s="19">
        <v>2.6099999999999999E-3</v>
      </c>
      <c r="N153" s="19">
        <v>3.1099999999999999E-3</v>
      </c>
      <c r="O153" s="19">
        <v>2.4299999999999999E-3</v>
      </c>
      <c r="P153" s="19">
        <v>2.9399999999999999E-3</v>
      </c>
      <c r="Q153" s="19">
        <v>2.6099999999999999E-3</v>
      </c>
      <c r="R153" s="19"/>
      <c r="S153" s="19">
        <f t="shared" si="19"/>
        <v>0</v>
      </c>
      <c r="T153" s="19">
        <f t="shared" si="20"/>
        <v>0</v>
      </c>
      <c r="U153" s="19">
        <f t="shared" si="21"/>
        <v>0</v>
      </c>
      <c r="V153" s="19">
        <f t="shared" si="22"/>
        <v>0</v>
      </c>
      <c r="W153" s="19">
        <f t="shared" si="23"/>
        <v>0</v>
      </c>
      <c r="X153" s="21">
        <f t="shared" si="24"/>
        <v>0</v>
      </c>
    </row>
    <row r="154" spans="1:24" ht="13.5" x14ac:dyDescent="0.35">
      <c r="A154" s="18">
        <v>919389</v>
      </c>
      <c r="B154" s="19" t="s">
        <v>700</v>
      </c>
      <c r="C154" s="19">
        <v>345</v>
      </c>
      <c r="D154" s="19">
        <v>101</v>
      </c>
      <c r="E154" s="19">
        <v>1730</v>
      </c>
      <c r="F154" s="19">
        <v>300</v>
      </c>
      <c r="G154" s="19">
        <v>0</v>
      </c>
      <c r="H154" s="19">
        <v>300</v>
      </c>
      <c r="I154" s="20">
        <v>300</v>
      </c>
      <c r="J154" s="19">
        <f t="shared" si="17"/>
        <v>0</v>
      </c>
      <c r="K154" s="19">
        <f t="shared" si="18"/>
        <v>0</v>
      </c>
      <c r="L154" s="19">
        <v>3.63E-3</v>
      </c>
      <c r="M154" s="19">
        <v>2.6099999999999999E-3</v>
      </c>
      <c r="N154" s="19">
        <v>3.1099999999999999E-3</v>
      </c>
      <c r="O154" s="19">
        <v>2.4299999999999999E-3</v>
      </c>
      <c r="P154" s="19">
        <v>2.9399999999999999E-3</v>
      </c>
      <c r="Q154" s="19">
        <v>2.6099999999999999E-3</v>
      </c>
      <c r="R154" s="19"/>
      <c r="S154" s="19">
        <f t="shared" si="19"/>
        <v>0</v>
      </c>
      <c r="T154" s="19">
        <f t="shared" si="20"/>
        <v>0</v>
      </c>
      <c r="U154" s="19">
        <f t="shared" si="21"/>
        <v>0</v>
      </c>
      <c r="V154" s="19">
        <f t="shared" si="22"/>
        <v>0</v>
      </c>
      <c r="W154" s="19">
        <f t="shared" si="23"/>
        <v>0</v>
      </c>
      <c r="X154" s="21">
        <f t="shared" si="24"/>
        <v>0</v>
      </c>
    </row>
    <row r="155" spans="1:24" ht="13.5" x14ac:dyDescent="0.35">
      <c r="A155" s="18">
        <v>923144</v>
      </c>
      <c r="B155" s="19" t="s">
        <v>711</v>
      </c>
      <c r="C155" s="19">
        <v>13.8</v>
      </c>
      <c r="D155" s="19">
        <v>101</v>
      </c>
      <c r="E155" s="19">
        <v>1812</v>
      </c>
      <c r="F155" s="19">
        <v>0</v>
      </c>
      <c r="G155" s="19">
        <v>0</v>
      </c>
      <c r="H155" s="19">
        <v>0</v>
      </c>
      <c r="I155" s="20">
        <v>0</v>
      </c>
      <c r="J155" s="19">
        <f t="shared" si="17"/>
        <v>0</v>
      </c>
      <c r="K155" s="19">
        <f t="shared" si="18"/>
        <v>0</v>
      </c>
      <c r="L155" s="19">
        <v>3.63E-3</v>
      </c>
      <c r="M155" s="19">
        <v>2.5999999999999999E-3</v>
      </c>
      <c r="N155" s="19">
        <v>3.0999999999999999E-3</v>
      </c>
      <c r="O155" s="19">
        <v>2.4199999999999998E-3</v>
      </c>
      <c r="P155" s="19">
        <v>2.9299999999999999E-3</v>
      </c>
      <c r="Q155" s="19">
        <v>2.5999999999999999E-3</v>
      </c>
      <c r="R155" s="19"/>
      <c r="S155" s="19">
        <f t="shared" si="19"/>
        <v>0</v>
      </c>
      <c r="T155" s="19">
        <f t="shared" si="20"/>
        <v>0</v>
      </c>
      <c r="U155" s="19">
        <f t="shared" si="21"/>
        <v>0</v>
      </c>
      <c r="V155" s="19">
        <f t="shared" si="22"/>
        <v>0</v>
      </c>
      <c r="W155" s="19">
        <f t="shared" si="23"/>
        <v>0</v>
      </c>
      <c r="X155" s="21">
        <f t="shared" si="24"/>
        <v>0</v>
      </c>
    </row>
    <row r="156" spans="1:24" ht="13.5" x14ac:dyDescent="0.35">
      <c r="A156" s="18">
        <v>123149</v>
      </c>
      <c r="B156" s="19" t="s">
        <v>591</v>
      </c>
      <c r="C156" s="19">
        <v>13.8</v>
      </c>
      <c r="D156" s="19">
        <v>101</v>
      </c>
      <c r="E156" s="19">
        <v>1804</v>
      </c>
      <c r="F156" s="19">
        <v>0</v>
      </c>
      <c r="G156" s="19">
        <v>0</v>
      </c>
      <c r="H156" s="19">
        <v>0</v>
      </c>
      <c r="I156" s="20">
        <v>0</v>
      </c>
      <c r="J156" s="19">
        <f t="shared" si="17"/>
        <v>0</v>
      </c>
      <c r="K156" s="19">
        <f t="shared" si="18"/>
        <v>0</v>
      </c>
      <c r="L156" s="19">
        <v>3.62E-3</v>
      </c>
      <c r="M156" s="19">
        <v>2.5899999999999999E-3</v>
      </c>
      <c r="N156" s="19">
        <v>3.0899999999999999E-3</v>
      </c>
      <c r="O156" s="19">
        <v>2.4099999999999998E-3</v>
      </c>
      <c r="P156" s="19">
        <v>2.9199999999999999E-3</v>
      </c>
      <c r="Q156" s="19">
        <v>2.5899999999999999E-3</v>
      </c>
      <c r="R156" s="19"/>
      <c r="S156" s="19">
        <f t="shared" si="19"/>
        <v>0</v>
      </c>
      <c r="T156" s="19">
        <f t="shared" si="20"/>
        <v>0</v>
      </c>
      <c r="U156" s="19">
        <f t="shared" si="21"/>
        <v>0</v>
      </c>
      <c r="V156" s="19">
        <f t="shared" si="22"/>
        <v>0</v>
      </c>
      <c r="W156" s="19">
        <f t="shared" si="23"/>
        <v>0</v>
      </c>
      <c r="X156" s="21">
        <f t="shared" si="24"/>
        <v>0</v>
      </c>
    </row>
    <row r="157" spans="1:24" ht="13.5" x14ac:dyDescent="0.35">
      <c r="A157" s="18">
        <v>123147</v>
      </c>
      <c r="B157" s="19" t="s">
        <v>590</v>
      </c>
      <c r="C157" s="19">
        <v>4.16</v>
      </c>
      <c r="D157" s="19">
        <v>101</v>
      </c>
      <c r="E157" s="19">
        <v>1804</v>
      </c>
      <c r="F157" s="19">
        <v>0</v>
      </c>
      <c r="G157" s="19">
        <v>0</v>
      </c>
      <c r="H157" s="19">
        <v>0</v>
      </c>
      <c r="I157" s="20">
        <v>0</v>
      </c>
      <c r="J157" s="19">
        <f t="shared" si="17"/>
        <v>0</v>
      </c>
      <c r="K157" s="19">
        <f t="shared" si="18"/>
        <v>0</v>
      </c>
      <c r="L157" s="19">
        <v>3.6099999999999999E-3</v>
      </c>
      <c r="M157" s="19">
        <v>2.5899999999999999E-3</v>
      </c>
      <c r="N157" s="19">
        <v>3.0799999999999998E-3</v>
      </c>
      <c r="O157" s="19">
        <v>2.3999999999999998E-3</v>
      </c>
      <c r="P157" s="19">
        <v>2.9099999999999998E-3</v>
      </c>
      <c r="Q157" s="19">
        <v>2.5799999999999998E-3</v>
      </c>
      <c r="R157" s="19"/>
      <c r="S157" s="19">
        <f t="shared" si="19"/>
        <v>0</v>
      </c>
      <c r="T157" s="19">
        <f t="shared" si="20"/>
        <v>0</v>
      </c>
      <c r="U157" s="19">
        <f t="shared" si="21"/>
        <v>0</v>
      </c>
      <c r="V157" s="19">
        <f t="shared" si="22"/>
        <v>0</v>
      </c>
      <c r="W157" s="19">
        <f t="shared" si="23"/>
        <v>0</v>
      </c>
      <c r="X157" s="21">
        <f t="shared" si="24"/>
        <v>0</v>
      </c>
    </row>
    <row r="158" spans="1:24" ht="13.5" x14ac:dyDescent="0.35">
      <c r="A158" s="18">
        <v>123628</v>
      </c>
      <c r="B158" s="19" t="s">
        <v>592</v>
      </c>
      <c r="C158" s="19">
        <v>25</v>
      </c>
      <c r="D158" s="19">
        <v>101</v>
      </c>
      <c r="E158" s="19">
        <v>1803</v>
      </c>
      <c r="F158" s="19">
        <v>315.72000000000003</v>
      </c>
      <c r="G158" s="19">
        <v>0</v>
      </c>
      <c r="H158" s="19">
        <v>315.72000000000003</v>
      </c>
      <c r="I158" s="20">
        <v>315.72000000000003</v>
      </c>
      <c r="J158" s="19">
        <f t="shared" si="17"/>
        <v>0</v>
      </c>
      <c r="K158" s="19">
        <f t="shared" si="18"/>
        <v>0</v>
      </c>
      <c r="L158" s="19">
        <v>3.6099999999999999E-3</v>
      </c>
      <c r="M158" s="19">
        <v>2.5899999999999999E-3</v>
      </c>
      <c r="N158" s="19">
        <v>3.0799999999999998E-3</v>
      </c>
      <c r="O158" s="19">
        <v>2.4099999999999998E-3</v>
      </c>
      <c r="P158" s="19">
        <v>2.9099999999999998E-3</v>
      </c>
      <c r="Q158" s="19">
        <v>2.5799999999999998E-3</v>
      </c>
      <c r="R158" s="19"/>
      <c r="S158" s="19">
        <f t="shared" si="19"/>
        <v>0</v>
      </c>
      <c r="T158" s="19">
        <f t="shared" si="20"/>
        <v>0</v>
      </c>
      <c r="U158" s="19">
        <f t="shared" si="21"/>
        <v>0</v>
      </c>
      <c r="V158" s="19">
        <f t="shared" si="22"/>
        <v>0</v>
      </c>
      <c r="W158" s="19">
        <f t="shared" si="23"/>
        <v>0</v>
      </c>
      <c r="X158" s="21">
        <f t="shared" si="24"/>
        <v>0</v>
      </c>
    </row>
    <row r="159" spans="1:24" ht="13.5" x14ac:dyDescent="0.35">
      <c r="A159" s="18">
        <v>123629</v>
      </c>
      <c r="B159" s="19" t="s">
        <v>593</v>
      </c>
      <c r="C159" s="19">
        <v>18</v>
      </c>
      <c r="D159" s="19">
        <v>101</v>
      </c>
      <c r="E159" s="19">
        <v>1803</v>
      </c>
      <c r="F159" s="19">
        <v>168.58</v>
      </c>
      <c r="G159" s="19">
        <v>0</v>
      </c>
      <c r="H159" s="19">
        <v>168.58</v>
      </c>
      <c r="I159" s="20">
        <v>168.58</v>
      </c>
      <c r="J159" s="19">
        <f t="shared" si="17"/>
        <v>0</v>
      </c>
      <c r="K159" s="19">
        <f t="shared" si="18"/>
        <v>0</v>
      </c>
      <c r="L159" s="19">
        <v>3.6099999999999999E-3</v>
      </c>
      <c r="M159" s="19">
        <v>2.5899999999999999E-3</v>
      </c>
      <c r="N159" s="19">
        <v>3.0799999999999998E-3</v>
      </c>
      <c r="O159" s="19">
        <v>2.4099999999999998E-3</v>
      </c>
      <c r="P159" s="19">
        <v>2.9099999999999998E-3</v>
      </c>
      <c r="Q159" s="19">
        <v>2.5799999999999998E-3</v>
      </c>
      <c r="R159" s="19"/>
      <c r="S159" s="19">
        <f t="shared" si="19"/>
        <v>0</v>
      </c>
      <c r="T159" s="19">
        <f t="shared" si="20"/>
        <v>0</v>
      </c>
      <c r="U159" s="19">
        <f t="shared" si="21"/>
        <v>0</v>
      </c>
      <c r="V159" s="19">
        <f t="shared" si="22"/>
        <v>0</v>
      </c>
      <c r="W159" s="19">
        <f t="shared" si="23"/>
        <v>0</v>
      </c>
      <c r="X159" s="21">
        <f t="shared" si="24"/>
        <v>0</v>
      </c>
    </row>
    <row r="160" spans="1:24" ht="13.5" x14ac:dyDescent="0.35">
      <c r="A160" s="18">
        <v>123641</v>
      </c>
      <c r="B160" s="19" t="s">
        <v>595</v>
      </c>
      <c r="C160" s="19">
        <v>16</v>
      </c>
      <c r="D160" s="19">
        <v>101</v>
      </c>
      <c r="E160" s="19">
        <v>1803</v>
      </c>
      <c r="F160" s="19">
        <v>152.80000000000001</v>
      </c>
      <c r="G160" s="19">
        <v>0</v>
      </c>
      <c r="H160" s="19">
        <v>152.80000000000001</v>
      </c>
      <c r="I160" s="20">
        <v>152.80000000000001</v>
      </c>
      <c r="J160" s="19">
        <f t="shared" si="17"/>
        <v>0</v>
      </c>
      <c r="K160" s="19">
        <f t="shared" si="18"/>
        <v>0</v>
      </c>
      <c r="L160" s="19">
        <v>3.6099999999999999E-3</v>
      </c>
      <c r="M160" s="19">
        <v>2.5899999999999999E-3</v>
      </c>
      <c r="N160" s="19">
        <v>3.0799999999999998E-3</v>
      </c>
      <c r="O160" s="19">
        <v>2.4099999999999998E-3</v>
      </c>
      <c r="P160" s="19">
        <v>2.9099999999999998E-3</v>
      </c>
      <c r="Q160" s="19">
        <v>2.5799999999999998E-3</v>
      </c>
      <c r="R160" s="19"/>
      <c r="S160" s="19">
        <f t="shared" si="19"/>
        <v>0</v>
      </c>
      <c r="T160" s="19">
        <f t="shared" si="20"/>
        <v>0</v>
      </c>
      <c r="U160" s="19">
        <f t="shared" si="21"/>
        <v>0</v>
      </c>
      <c r="V160" s="19">
        <f t="shared" si="22"/>
        <v>0</v>
      </c>
      <c r="W160" s="19">
        <f t="shared" si="23"/>
        <v>0</v>
      </c>
      <c r="X160" s="21">
        <f t="shared" si="24"/>
        <v>0</v>
      </c>
    </row>
    <row r="161" spans="1:24" ht="13.5" x14ac:dyDescent="0.35">
      <c r="A161" s="18">
        <v>123644</v>
      </c>
      <c r="B161" s="19" t="s">
        <v>598</v>
      </c>
      <c r="C161" s="19">
        <v>16</v>
      </c>
      <c r="D161" s="19">
        <v>101</v>
      </c>
      <c r="E161" s="19">
        <v>1803</v>
      </c>
      <c r="F161" s="19">
        <v>165.6</v>
      </c>
      <c r="G161" s="19">
        <v>0</v>
      </c>
      <c r="H161" s="19">
        <v>165.6</v>
      </c>
      <c r="I161" s="20">
        <v>165.6</v>
      </c>
      <c r="J161" s="19">
        <f t="shared" si="17"/>
        <v>0</v>
      </c>
      <c r="K161" s="19">
        <f t="shared" si="18"/>
        <v>0</v>
      </c>
      <c r="L161" s="19">
        <v>3.6099999999999999E-3</v>
      </c>
      <c r="M161" s="19">
        <v>2.5899999999999999E-3</v>
      </c>
      <c r="N161" s="19">
        <v>3.0799999999999998E-3</v>
      </c>
      <c r="O161" s="19">
        <v>2.4099999999999998E-3</v>
      </c>
      <c r="P161" s="19">
        <v>2.9099999999999998E-3</v>
      </c>
      <c r="Q161" s="19">
        <v>2.5799999999999998E-3</v>
      </c>
      <c r="R161" s="19"/>
      <c r="S161" s="19">
        <f t="shared" si="19"/>
        <v>0</v>
      </c>
      <c r="T161" s="19">
        <f t="shared" si="20"/>
        <v>0</v>
      </c>
      <c r="U161" s="19">
        <f t="shared" si="21"/>
        <v>0</v>
      </c>
      <c r="V161" s="19">
        <f t="shared" si="22"/>
        <v>0</v>
      </c>
      <c r="W161" s="19">
        <f t="shared" si="23"/>
        <v>0</v>
      </c>
      <c r="X161" s="21">
        <f t="shared" si="24"/>
        <v>0</v>
      </c>
    </row>
    <row r="162" spans="1:24" ht="13.5" x14ac:dyDescent="0.35">
      <c r="A162" s="18">
        <v>123645</v>
      </c>
      <c r="B162" s="19" t="s">
        <v>599</v>
      </c>
      <c r="C162" s="19">
        <v>16</v>
      </c>
      <c r="D162" s="19">
        <v>101</v>
      </c>
      <c r="E162" s="19">
        <v>1803</v>
      </c>
      <c r="F162" s="19">
        <v>165.6</v>
      </c>
      <c r="G162" s="19">
        <v>0</v>
      </c>
      <c r="H162" s="19">
        <v>165.6</v>
      </c>
      <c r="I162" s="20">
        <v>165.6</v>
      </c>
      <c r="J162" s="19">
        <f t="shared" si="17"/>
        <v>0</v>
      </c>
      <c r="K162" s="19">
        <f t="shared" si="18"/>
        <v>0</v>
      </c>
      <c r="L162" s="19">
        <v>3.6099999999999999E-3</v>
      </c>
      <c r="M162" s="19">
        <v>2.5899999999999999E-3</v>
      </c>
      <c r="N162" s="19">
        <v>3.0799999999999998E-3</v>
      </c>
      <c r="O162" s="19">
        <v>2.4099999999999998E-3</v>
      </c>
      <c r="P162" s="19">
        <v>2.9099999999999998E-3</v>
      </c>
      <c r="Q162" s="19">
        <v>2.5799999999999998E-3</v>
      </c>
      <c r="R162" s="19"/>
      <c r="S162" s="19">
        <f t="shared" si="19"/>
        <v>0</v>
      </c>
      <c r="T162" s="19">
        <f t="shared" si="20"/>
        <v>0</v>
      </c>
      <c r="U162" s="19">
        <f t="shared" si="21"/>
        <v>0</v>
      </c>
      <c r="V162" s="19">
        <f t="shared" si="22"/>
        <v>0</v>
      </c>
      <c r="W162" s="19">
        <f t="shared" si="23"/>
        <v>0</v>
      </c>
      <c r="X162" s="21">
        <f t="shared" si="24"/>
        <v>0</v>
      </c>
    </row>
    <row r="163" spans="1:24" ht="13.5" x14ac:dyDescent="0.35">
      <c r="A163" s="18">
        <v>923414</v>
      </c>
      <c r="B163" s="19" t="s">
        <v>714</v>
      </c>
      <c r="C163" s="19">
        <v>115</v>
      </c>
      <c r="D163" s="19">
        <v>101</v>
      </c>
      <c r="E163" s="19">
        <v>1800</v>
      </c>
      <c r="F163" s="19">
        <v>0</v>
      </c>
      <c r="G163" s="19">
        <v>0</v>
      </c>
      <c r="H163" s="19">
        <v>0</v>
      </c>
      <c r="I163" s="20">
        <v>0</v>
      </c>
      <c r="J163" s="19">
        <f t="shared" si="17"/>
        <v>0</v>
      </c>
      <c r="K163" s="19">
        <f t="shared" si="18"/>
        <v>0</v>
      </c>
      <c r="L163" s="19">
        <v>3.6099999999999999E-3</v>
      </c>
      <c r="M163" s="19">
        <v>2.5899999999999999E-3</v>
      </c>
      <c r="N163" s="19">
        <v>3.0799999999999998E-3</v>
      </c>
      <c r="O163" s="19">
        <v>2.3999999999999998E-3</v>
      </c>
      <c r="P163" s="19">
        <v>2.9099999999999998E-3</v>
      </c>
      <c r="Q163" s="19">
        <v>2.5799999999999998E-3</v>
      </c>
      <c r="R163" s="19"/>
      <c r="S163" s="19">
        <f t="shared" si="19"/>
        <v>0</v>
      </c>
      <c r="T163" s="19">
        <f t="shared" si="20"/>
        <v>0</v>
      </c>
      <c r="U163" s="19">
        <f t="shared" si="21"/>
        <v>0</v>
      </c>
      <c r="V163" s="19">
        <f t="shared" si="22"/>
        <v>0</v>
      </c>
      <c r="W163" s="19">
        <f t="shared" si="23"/>
        <v>0</v>
      </c>
      <c r="X163" s="21">
        <f t="shared" si="24"/>
        <v>0</v>
      </c>
    </row>
    <row r="164" spans="1:24" ht="13.5" x14ac:dyDescent="0.35">
      <c r="A164" s="18">
        <v>122583</v>
      </c>
      <c r="B164" s="19" t="s">
        <v>574</v>
      </c>
      <c r="C164" s="19">
        <v>13.8</v>
      </c>
      <c r="D164" s="19">
        <v>101</v>
      </c>
      <c r="E164" s="19">
        <v>1733</v>
      </c>
      <c r="F164" s="19">
        <v>97.91</v>
      </c>
      <c r="G164" s="19">
        <v>0</v>
      </c>
      <c r="H164" s="19">
        <v>97.91</v>
      </c>
      <c r="I164" s="20">
        <v>97.91</v>
      </c>
      <c r="J164" s="19">
        <f t="shared" si="17"/>
        <v>0</v>
      </c>
      <c r="K164" s="19">
        <f t="shared" si="18"/>
        <v>0</v>
      </c>
      <c r="L164" s="19">
        <v>3.5899999999999999E-3</v>
      </c>
      <c r="M164" s="19">
        <v>2.5699999999999998E-3</v>
      </c>
      <c r="N164" s="19">
        <v>3.0599999999999998E-3</v>
      </c>
      <c r="O164" s="19">
        <v>2.3800000000000002E-3</v>
      </c>
      <c r="P164" s="19">
        <v>2.8900000000000002E-3</v>
      </c>
      <c r="Q164" s="19">
        <v>2.5600000000000002E-3</v>
      </c>
      <c r="R164" s="19"/>
      <c r="S164" s="19">
        <f t="shared" si="19"/>
        <v>0</v>
      </c>
      <c r="T164" s="19">
        <f t="shared" si="20"/>
        <v>0</v>
      </c>
      <c r="U164" s="19">
        <f t="shared" si="21"/>
        <v>0</v>
      </c>
      <c r="V164" s="19">
        <f t="shared" si="22"/>
        <v>0</v>
      </c>
      <c r="W164" s="19">
        <f t="shared" si="23"/>
        <v>0</v>
      </c>
      <c r="X164" s="21">
        <f t="shared" si="24"/>
        <v>0</v>
      </c>
    </row>
    <row r="165" spans="1:24" ht="13.5" x14ac:dyDescent="0.35">
      <c r="A165" s="18">
        <v>122586</v>
      </c>
      <c r="B165" s="19" t="s">
        <v>575</v>
      </c>
      <c r="C165" s="19">
        <v>18</v>
      </c>
      <c r="D165" s="19">
        <v>101</v>
      </c>
      <c r="E165" s="19">
        <v>1733</v>
      </c>
      <c r="F165" s="19">
        <v>248.66</v>
      </c>
      <c r="G165" s="19">
        <v>0</v>
      </c>
      <c r="H165" s="19">
        <v>248.66</v>
      </c>
      <c r="I165" s="20">
        <v>248.66</v>
      </c>
      <c r="J165" s="19">
        <f t="shared" si="17"/>
        <v>0</v>
      </c>
      <c r="K165" s="19">
        <f t="shared" si="18"/>
        <v>0</v>
      </c>
      <c r="L165" s="19">
        <v>3.5899999999999999E-3</v>
      </c>
      <c r="M165" s="19">
        <v>2.5699999999999998E-3</v>
      </c>
      <c r="N165" s="19">
        <v>3.0599999999999998E-3</v>
      </c>
      <c r="O165" s="19">
        <v>2.3800000000000002E-3</v>
      </c>
      <c r="P165" s="19">
        <v>2.8900000000000002E-3</v>
      </c>
      <c r="Q165" s="19">
        <v>2.5600000000000002E-3</v>
      </c>
      <c r="R165" s="19"/>
      <c r="S165" s="19">
        <f t="shared" si="19"/>
        <v>0</v>
      </c>
      <c r="T165" s="19">
        <f t="shared" si="20"/>
        <v>0</v>
      </c>
      <c r="U165" s="19">
        <f t="shared" si="21"/>
        <v>0</v>
      </c>
      <c r="V165" s="19">
        <f t="shared" si="22"/>
        <v>0</v>
      </c>
      <c r="W165" s="19">
        <f t="shared" si="23"/>
        <v>0</v>
      </c>
      <c r="X165" s="21">
        <f t="shared" si="24"/>
        <v>0</v>
      </c>
    </row>
    <row r="166" spans="1:24" ht="13.5" x14ac:dyDescent="0.35">
      <c r="A166" s="18">
        <v>122587</v>
      </c>
      <c r="B166" s="19" t="s">
        <v>576</v>
      </c>
      <c r="C166" s="19">
        <v>18</v>
      </c>
      <c r="D166" s="19">
        <v>101</v>
      </c>
      <c r="E166" s="19">
        <v>1733</v>
      </c>
      <c r="F166" s="19">
        <v>250.92</v>
      </c>
      <c r="G166" s="19">
        <v>0</v>
      </c>
      <c r="H166" s="19">
        <v>250.92</v>
      </c>
      <c r="I166" s="20">
        <v>250.92</v>
      </c>
      <c r="J166" s="19">
        <f t="shared" si="17"/>
        <v>0</v>
      </c>
      <c r="K166" s="19">
        <f t="shared" si="18"/>
        <v>0</v>
      </c>
      <c r="L166" s="19">
        <v>3.5899999999999999E-3</v>
      </c>
      <c r="M166" s="19">
        <v>2.5699999999999998E-3</v>
      </c>
      <c r="N166" s="19">
        <v>3.0599999999999998E-3</v>
      </c>
      <c r="O166" s="19">
        <v>2.3800000000000002E-3</v>
      </c>
      <c r="P166" s="19">
        <v>2.8900000000000002E-3</v>
      </c>
      <c r="Q166" s="19">
        <v>2.5600000000000002E-3</v>
      </c>
      <c r="R166" s="19"/>
      <c r="S166" s="19">
        <f t="shared" si="19"/>
        <v>0</v>
      </c>
      <c r="T166" s="19">
        <f t="shared" si="20"/>
        <v>0</v>
      </c>
      <c r="U166" s="19">
        <f t="shared" si="21"/>
        <v>0</v>
      </c>
      <c r="V166" s="19">
        <f t="shared" si="22"/>
        <v>0</v>
      </c>
      <c r="W166" s="19">
        <f t="shared" si="23"/>
        <v>0</v>
      </c>
      <c r="X166" s="21">
        <f t="shared" si="24"/>
        <v>0</v>
      </c>
    </row>
    <row r="167" spans="1:24" ht="13.5" x14ac:dyDescent="0.35">
      <c r="A167" s="18">
        <v>122588</v>
      </c>
      <c r="B167" s="19" t="s">
        <v>577</v>
      </c>
      <c r="C167" s="19">
        <v>18</v>
      </c>
      <c r="D167" s="19">
        <v>101</v>
      </c>
      <c r="E167" s="19">
        <v>1733</v>
      </c>
      <c r="F167" s="19">
        <v>250.92</v>
      </c>
      <c r="G167" s="19">
        <v>0</v>
      </c>
      <c r="H167" s="19">
        <v>250.92</v>
      </c>
      <c r="I167" s="20">
        <v>250.92</v>
      </c>
      <c r="J167" s="19">
        <f t="shared" si="17"/>
        <v>0</v>
      </c>
      <c r="K167" s="19">
        <f t="shared" si="18"/>
        <v>0</v>
      </c>
      <c r="L167" s="19">
        <v>3.5899999999999999E-3</v>
      </c>
      <c r="M167" s="19">
        <v>2.5699999999999998E-3</v>
      </c>
      <c r="N167" s="19">
        <v>3.0599999999999998E-3</v>
      </c>
      <c r="O167" s="19">
        <v>2.3800000000000002E-3</v>
      </c>
      <c r="P167" s="19">
        <v>2.8900000000000002E-3</v>
      </c>
      <c r="Q167" s="19">
        <v>2.5600000000000002E-3</v>
      </c>
      <c r="R167" s="19"/>
      <c r="S167" s="19">
        <f t="shared" si="19"/>
        <v>0</v>
      </c>
      <c r="T167" s="19">
        <f t="shared" si="20"/>
        <v>0</v>
      </c>
      <c r="U167" s="19">
        <f t="shared" si="21"/>
        <v>0</v>
      </c>
      <c r="V167" s="19">
        <f t="shared" si="22"/>
        <v>0</v>
      </c>
      <c r="W167" s="19">
        <f t="shared" si="23"/>
        <v>0</v>
      </c>
      <c r="X167" s="21">
        <f t="shared" si="24"/>
        <v>0</v>
      </c>
    </row>
    <row r="168" spans="1:24" ht="13.5" x14ac:dyDescent="0.35">
      <c r="A168" s="18">
        <v>122889</v>
      </c>
      <c r="B168" s="19" t="s">
        <v>584</v>
      </c>
      <c r="C168" s="19">
        <v>14.6</v>
      </c>
      <c r="D168" s="19">
        <v>101</v>
      </c>
      <c r="E168" s="19">
        <v>1752</v>
      </c>
      <c r="F168" s="19">
        <v>0</v>
      </c>
      <c r="G168" s="19">
        <v>0</v>
      </c>
      <c r="H168" s="19">
        <v>0</v>
      </c>
      <c r="I168" s="20">
        <v>0</v>
      </c>
      <c r="J168" s="19">
        <f t="shared" si="17"/>
        <v>0</v>
      </c>
      <c r="K168" s="19">
        <f t="shared" si="18"/>
        <v>0</v>
      </c>
      <c r="L168" s="19">
        <v>3.5899999999999999E-3</v>
      </c>
      <c r="M168" s="19">
        <v>2.5699999999999998E-3</v>
      </c>
      <c r="N168" s="19">
        <v>3.0599999999999998E-3</v>
      </c>
      <c r="O168" s="19">
        <v>2.3800000000000002E-3</v>
      </c>
      <c r="P168" s="19">
        <v>2.8900000000000002E-3</v>
      </c>
      <c r="Q168" s="19">
        <v>2.5600000000000002E-3</v>
      </c>
      <c r="R168" s="19"/>
      <c r="S168" s="19">
        <f t="shared" si="19"/>
        <v>0</v>
      </c>
      <c r="T168" s="19">
        <f t="shared" si="20"/>
        <v>0</v>
      </c>
      <c r="U168" s="19">
        <f t="shared" si="21"/>
        <v>0</v>
      </c>
      <c r="V168" s="19">
        <f t="shared" si="22"/>
        <v>0</v>
      </c>
      <c r="W168" s="19">
        <f t="shared" si="23"/>
        <v>0</v>
      </c>
      <c r="X168" s="21">
        <f t="shared" si="24"/>
        <v>0</v>
      </c>
    </row>
    <row r="169" spans="1:24" ht="13.5" x14ac:dyDescent="0.35">
      <c r="A169" s="18">
        <v>122890</v>
      </c>
      <c r="B169" s="19" t="s">
        <v>585</v>
      </c>
      <c r="C169" s="19">
        <v>14.6</v>
      </c>
      <c r="D169" s="19">
        <v>101</v>
      </c>
      <c r="E169" s="19">
        <v>1752</v>
      </c>
      <c r="F169" s="19">
        <v>0</v>
      </c>
      <c r="G169" s="19">
        <v>0</v>
      </c>
      <c r="H169" s="19">
        <v>0</v>
      </c>
      <c r="I169" s="20">
        <v>0</v>
      </c>
      <c r="J169" s="19">
        <f t="shared" si="17"/>
        <v>0</v>
      </c>
      <c r="K169" s="19">
        <f t="shared" si="18"/>
        <v>0</v>
      </c>
      <c r="L169" s="19">
        <v>3.5899999999999999E-3</v>
      </c>
      <c r="M169" s="19">
        <v>2.5699999999999998E-3</v>
      </c>
      <c r="N169" s="19">
        <v>3.0599999999999998E-3</v>
      </c>
      <c r="O169" s="19">
        <v>2.3800000000000002E-3</v>
      </c>
      <c r="P169" s="19">
        <v>2.8900000000000002E-3</v>
      </c>
      <c r="Q169" s="19">
        <v>2.5600000000000002E-3</v>
      </c>
      <c r="R169" s="19"/>
      <c r="S169" s="19">
        <f t="shared" si="19"/>
        <v>0</v>
      </c>
      <c r="T169" s="19">
        <f t="shared" si="20"/>
        <v>0</v>
      </c>
      <c r="U169" s="19">
        <f t="shared" si="21"/>
        <v>0</v>
      </c>
      <c r="V169" s="19">
        <f t="shared" si="22"/>
        <v>0</v>
      </c>
      <c r="W169" s="19">
        <f t="shared" si="23"/>
        <v>0</v>
      </c>
      <c r="X169" s="21">
        <f t="shared" si="24"/>
        <v>0</v>
      </c>
    </row>
    <row r="170" spans="1:24" ht="13.5" x14ac:dyDescent="0.35">
      <c r="A170" s="18">
        <v>122911</v>
      </c>
      <c r="B170" s="19" t="s">
        <v>586</v>
      </c>
      <c r="C170" s="19">
        <v>13.8</v>
      </c>
      <c r="D170" s="19">
        <v>101</v>
      </c>
      <c r="E170" s="19">
        <v>1753</v>
      </c>
      <c r="F170" s="19">
        <v>0</v>
      </c>
      <c r="G170" s="19">
        <v>0</v>
      </c>
      <c r="H170" s="19">
        <v>0</v>
      </c>
      <c r="I170" s="20">
        <v>0</v>
      </c>
      <c r="J170" s="19">
        <f t="shared" si="17"/>
        <v>0</v>
      </c>
      <c r="K170" s="19">
        <f t="shared" si="18"/>
        <v>0</v>
      </c>
      <c r="L170" s="19">
        <v>3.5899999999999999E-3</v>
      </c>
      <c r="M170" s="19">
        <v>2.5699999999999998E-3</v>
      </c>
      <c r="N170" s="19">
        <v>3.0599999999999998E-3</v>
      </c>
      <c r="O170" s="19">
        <v>2.3800000000000002E-3</v>
      </c>
      <c r="P170" s="19">
        <v>2.8900000000000002E-3</v>
      </c>
      <c r="Q170" s="19">
        <v>2.5600000000000002E-3</v>
      </c>
      <c r="R170" s="19"/>
      <c r="S170" s="19">
        <f t="shared" si="19"/>
        <v>0</v>
      </c>
      <c r="T170" s="19">
        <f t="shared" si="20"/>
        <v>0</v>
      </c>
      <c r="U170" s="19">
        <f t="shared" si="21"/>
        <v>0</v>
      </c>
      <c r="V170" s="19">
        <f t="shared" si="22"/>
        <v>0</v>
      </c>
      <c r="W170" s="19">
        <f t="shared" si="23"/>
        <v>0</v>
      </c>
      <c r="X170" s="21">
        <f t="shared" si="24"/>
        <v>0</v>
      </c>
    </row>
    <row r="171" spans="1:24" ht="13.5" x14ac:dyDescent="0.35">
      <c r="A171" s="18">
        <v>122933</v>
      </c>
      <c r="B171" s="19" t="s">
        <v>587</v>
      </c>
      <c r="C171" s="19">
        <v>13.8</v>
      </c>
      <c r="D171" s="19">
        <v>101</v>
      </c>
      <c r="E171" s="19">
        <v>1753</v>
      </c>
      <c r="F171" s="19">
        <v>0</v>
      </c>
      <c r="G171" s="19">
        <v>0</v>
      </c>
      <c r="H171" s="19">
        <v>0</v>
      </c>
      <c r="I171" s="20">
        <v>0</v>
      </c>
      <c r="J171" s="19">
        <f t="shared" si="17"/>
        <v>0</v>
      </c>
      <c r="K171" s="19">
        <f t="shared" si="18"/>
        <v>0</v>
      </c>
      <c r="L171" s="19">
        <v>3.5899999999999999E-3</v>
      </c>
      <c r="M171" s="19">
        <v>2.5699999999999998E-3</v>
      </c>
      <c r="N171" s="19">
        <v>3.0599999999999998E-3</v>
      </c>
      <c r="O171" s="19">
        <v>2.3800000000000002E-3</v>
      </c>
      <c r="P171" s="19">
        <v>2.8900000000000002E-3</v>
      </c>
      <c r="Q171" s="19">
        <v>2.5600000000000002E-3</v>
      </c>
      <c r="R171" s="19"/>
      <c r="S171" s="19">
        <f t="shared" si="19"/>
        <v>0</v>
      </c>
      <c r="T171" s="19">
        <f t="shared" si="20"/>
        <v>0</v>
      </c>
      <c r="U171" s="19">
        <f t="shared" si="21"/>
        <v>0</v>
      </c>
      <c r="V171" s="19">
        <f t="shared" si="22"/>
        <v>0</v>
      </c>
      <c r="W171" s="19">
        <f t="shared" si="23"/>
        <v>0</v>
      </c>
      <c r="X171" s="21">
        <f t="shared" si="24"/>
        <v>0</v>
      </c>
    </row>
    <row r="172" spans="1:24" ht="13.5" x14ac:dyDescent="0.35">
      <c r="A172" s="18">
        <v>122625</v>
      </c>
      <c r="B172" s="19" t="s">
        <v>578</v>
      </c>
      <c r="C172" s="19">
        <v>6.6</v>
      </c>
      <c r="D172" s="19">
        <v>101</v>
      </c>
      <c r="E172" s="19">
        <v>1733</v>
      </c>
      <c r="F172" s="19">
        <v>21.67</v>
      </c>
      <c r="G172" s="19">
        <v>0</v>
      </c>
      <c r="H172" s="19">
        <v>21.67</v>
      </c>
      <c r="I172" s="20">
        <v>21.67</v>
      </c>
      <c r="J172" s="19">
        <f t="shared" si="17"/>
        <v>0</v>
      </c>
      <c r="K172" s="19">
        <f t="shared" si="18"/>
        <v>0</v>
      </c>
      <c r="L172" s="19">
        <v>3.5799999999999998E-3</v>
      </c>
      <c r="M172" s="19">
        <v>2.5600000000000002E-3</v>
      </c>
      <c r="N172" s="19">
        <v>3.0500000000000002E-3</v>
      </c>
      <c r="O172" s="19">
        <v>2.3700000000000001E-3</v>
      </c>
      <c r="P172" s="19">
        <v>2.8700000000000002E-3</v>
      </c>
      <c r="Q172" s="19">
        <v>2.5400000000000002E-3</v>
      </c>
      <c r="R172" s="19"/>
      <c r="S172" s="19">
        <f t="shared" si="19"/>
        <v>0</v>
      </c>
      <c r="T172" s="19">
        <f t="shared" si="20"/>
        <v>0</v>
      </c>
      <c r="U172" s="19">
        <f t="shared" si="21"/>
        <v>0</v>
      </c>
      <c r="V172" s="19">
        <f t="shared" si="22"/>
        <v>0</v>
      </c>
      <c r="W172" s="19">
        <f t="shared" si="23"/>
        <v>0</v>
      </c>
      <c r="X172" s="21">
        <f t="shared" si="24"/>
        <v>0</v>
      </c>
    </row>
    <row r="173" spans="1:24" ht="13.5" x14ac:dyDescent="0.35">
      <c r="A173" s="18">
        <v>121931</v>
      </c>
      <c r="B173" s="19" t="s">
        <v>535</v>
      </c>
      <c r="C173" s="19">
        <v>23</v>
      </c>
      <c r="D173" s="19">
        <v>101</v>
      </c>
      <c r="E173" s="19">
        <v>1672</v>
      </c>
      <c r="F173" s="19">
        <v>0</v>
      </c>
      <c r="G173" s="19">
        <v>0</v>
      </c>
      <c r="H173" s="19">
        <v>0</v>
      </c>
      <c r="I173" s="20">
        <v>0</v>
      </c>
      <c r="J173" s="19">
        <f t="shared" si="17"/>
        <v>0</v>
      </c>
      <c r="K173" s="19">
        <f t="shared" si="18"/>
        <v>0</v>
      </c>
      <c r="L173" s="19">
        <v>3.5400000000000002E-3</v>
      </c>
      <c r="M173" s="19">
        <v>2.5200000000000001E-3</v>
      </c>
      <c r="N173" s="19">
        <v>2.99E-3</v>
      </c>
      <c r="O173" s="19">
        <v>2.2799999999999999E-3</v>
      </c>
      <c r="P173" s="19">
        <v>2.7899999999999999E-3</v>
      </c>
      <c r="Q173" s="19">
        <v>2.4599999999999999E-3</v>
      </c>
      <c r="R173" s="19"/>
      <c r="S173" s="19">
        <f t="shared" si="19"/>
        <v>0</v>
      </c>
      <c r="T173" s="19">
        <f t="shared" si="20"/>
        <v>0</v>
      </c>
      <c r="U173" s="19">
        <f t="shared" si="21"/>
        <v>0</v>
      </c>
      <c r="V173" s="19">
        <f t="shared" si="22"/>
        <v>0</v>
      </c>
      <c r="W173" s="19">
        <f t="shared" si="23"/>
        <v>0</v>
      </c>
      <c r="X173" s="21">
        <f t="shared" si="24"/>
        <v>0</v>
      </c>
    </row>
    <row r="174" spans="1:24" ht="13.5" x14ac:dyDescent="0.35">
      <c r="A174" s="18">
        <v>121943</v>
      </c>
      <c r="B174" s="19" t="s">
        <v>536</v>
      </c>
      <c r="C174" s="19">
        <v>11.5</v>
      </c>
      <c r="D174" s="19">
        <v>101</v>
      </c>
      <c r="E174" s="19">
        <v>1673</v>
      </c>
      <c r="F174" s="19">
        <v>0</v>
      </c>
      <c r="G174" s="19">
        <v>0</v>
      </c>
      <c r="H174" s="19">
        <v>0</v>
      </c>
      <c r="I174" s="20">
        <v>0</v>
      </c>
      <c r="J174" s="19">
        <f t="shared" si="17"/>
        <v>0</v>
      </c>
      <c r="K174" s="19">
        <f t="shared" si="18"/>
        <v>0</v>
      </c>
      <c r="L174" s="19">
        <v>3.5400000000000002E-3</v>
      </c>
      <c r="M174" s="19">
        <v>2.5200000000000001E-3</v>
      </c>
      <c r="N174" s="19">
        <v>2.99E-3</v>
      </c>
      <c r="O174" s="19">
        <v>2.2799999999999999E-3</v>
      </c>
      <c r="P174" s="19">
        <v>2.7899999999999999E-3</v>
      </c>
      <c r="Q174" s="19">
        <v>2.4599999999999999E-3</v>
      </c>
      <c r="R174" s="19"/>
      <c r="S174" s="19">
        <f t="shared" si="19"/>
        <v>0</v>
      </c>
      <c r="T174" s="19">
        <f t="shared" si="20"/>
        <v>0</v>
      </c>
      <c r="U174" s="19">
        <f t="shared" si="21"/>
        <v>0</v>
      </c>
      <c r="V174" s="19">
        <f t="shared" si="22"/>
        <v>0</v>
      </c>
      <c r="W174" s="19">
        <f t="shared" si="23"/>
        <v>0</v>
      </c>
      <c r="X174" s="21">
        <f t="shared" si="24"/>
        <v>0</v>
      </c>
    </row>
    <row r="175" spans="1:24" ht="13.5" x14ac:dyDescent="0.35">
      <c r="A175" s="18">
        <v>121944</v>
      </c>
      <c r="B175" s="19" t="s">
        <v>537</v>
      </c>
      <c r="C175" s="19">
        <v>11.5</v>
      </c>
      <c r="D175" s="19">
        <v>101</v>
      </c>
      <c r="E175" s="19">
        <v>1673</v>
      </c>
      <c r="F175" s="19">
        <v>29.7</v>
      </c>
      <c r="G175" s="19">
        <v>0</v>
      </c>
      <c r="H175" s="19">
        <v>29.7</v>
      </c>
      <c r="I175" s="20">
        <v>29.7</v>
      </c>
      <c r="J175" s="19">
        <f t="shared" si="17"/>
        <v>0</v>
      </c>
      <c r="K175" s="19">
        <f t="shared" si="18"/>
        <v>0</v>
      </c>
      <c r="L175" s="19">
        <v>3.5400000000000002E-3</v>
      </c>
      <c r="M175" s="19">
        <v>2.5200000000000001E-3</v>
      </c>
      <c r="N175" s="19">
        <v>2.99E-3</v>
      </c>
      <c r="O175" s="19">
        <v>2.2799999999999999E-3</v>
      </c>
      <c r="P175" s="19">
        <v>2.7899999999999999E-3</v>
      </c>
      <c r="Q175" s="19">
        <v>2.4599999999999999E-3</v>
      </c>
      <c r="R175" s="19"/>
      <c r="S175" s="19">
        <f t="shared" si="19"/>
        <v>0</v>
      </c>
      <c r="T175" s="19">
        <f t="shared" si="20"/>
        <v>0</v>
      </c>
      <c r="U175" s="19">
        <f t="shared" si="21"/>
        <v>0</v>
      </c>
      <c r="V175" s="19">
        <f t="shared" si="22"/>
        <v>0</v>
      </c>
      <c r="W175" s="19">
        <f t="shared" si="23"/>
        <v>0</v>
      </c>
      <c r="X175" s="21">
        <f t="shared" si="24"/>
        <v>0</v>
      </c>
    </row>
    <row r="176" spans="1:24" ht="13.5" x14ac:dyDescent="0.35">
      <c r="A176" s="18">
        <v>122173</v>
      </c>
      <c r="B176" s="19" t="s">
        <v>552</v>
      </c>
      <c r="C176" s="19">
        <v>13.2</v>
      </c>
      <c r="D176" s="19">
        <v>101</v>
      </c>
      <c r="E176" s="19">
        <v>1692</v>
      </c>
      <c r="F176" s="19">
        <v>0</v>
      </c>
      <c r="G176" s="19">
        <v>0</v>
      </c>
      <c r="H176" s="19">
        <v>0</v>
      </c>
      <c r="I176" s="20">
        <v>0</v>
      </c>
      <c r="J176" s="19">
        <f t="shared" si="17"/>
        <v>0</v>
      </c>
      <c r="K176" s="19">
        <f t="shared" si="18"/>
        <v>0</v>
      </c>
      <c r="L176" s="19">
        <v>3.5400000000000002E-3</v>
      </c>
      <c r="M176" s="19">
        <v>2.5300000000000001E-3</v>
      </c>
      <c r="N176" s="19">
        <v>2.99E-3</v>
      </c>
      <c r="O176" s="19">
        <v>2.31E-3</v>
      </c>
      <c r="P176" s="19">
        <v>2.81E-3</v>
      </c>
      <c r="Q176" s="19">
        <v>2.49E-3</v>
      </c>
      <c r="R176" s="19"/>
      <c r="S176" s="19">
        <f t="shared" si="19"/>
        <v>0</v>
      </c>
      <c r="T176" s="19">
        <f t="shared" si="20"/>
        <v>0</v>
      </c>
      <c r="U176" s="19">
        <f t="shared" si="21"/>
        <v>0</v>
      </c>
      <c r="V176" s="19">
        <f t="shared" si="22"/>
        <v>0</v>
      </c>
      <c r="W176" s="19">
        <f t="shared" si="23"/>
        <v>0</v>
      </c>
      <c r="X176" s="21">
        <f t="shared" si="24"/>
        <v>0</v>
      </c>
    </row>
    <row r="177" spans="1:24" ht="13.5" x14ac:dyDescent="0.35">
      <c r="A177" s="18">
        <v>122648</v>
      </c>
      <c r="B177" s="19" t="s">
        <v>579</v>
      </c>
      <c r="C177" s="19">
        <v>1.1499999999999999</v>
      </c>
      <c r="D177" s="19">
        <v>101</v>
      </c>
      <c r="E177" s="19">
        <v>1734</v>
      </c>
      <c r="F177" s="19">
        <v>0</v>
      </c>
      <c r="G177" s="19">
        <v>0</v>
      </c>
      <c r="H177" s="19">
        <v>0</v>
      </c>
      <c r="I177" s="20">
        <v>0</v>
      </c>
      <c r="J177" s="19">
        <f t="shared" si="17"/>
        <v>0</v>
      </c>
      <c r="K177" s="19">
        <f t="shared" si="18"/>
        <v>0</v>
      </c>
      <c r="L177" s="19">
        <v>3.5400000000000002E-3</v>
      </c>
      <c r="M177" s="19">
        <v>2.5300000000000001E-3</v>
      </c>
      <c r="N177" s="19">
        <v>3.0000000000000001E-3</v>
      </c>
      <c r="O177" s="19">
        <v>2.33E-3</v>
      </c>
      <c r="P177" s="19">
        <v>2.8300000000000001E-3</v>
      </c>
      <c r="Q177" s="19">
        <v>2.5000000000000001E-3</v>
      </c>
      <c r="R177" s="19"/>
      <c r="S177" s="19">
        <f t="shared" si="19"/>
        <v>0</v>
      </c>
      <c r="T177" s="19">
        <f t="shared" si="20"/>
        <v>0</v>
      </c>
      <c r="U177" s="19">
        <f t="shared" si="21"/>
        <v>0</v>
      </c>
      <c r="V177" s="19">
        <f t="shared" si="22"/>
        <v>0</v>
      </c>
      <c r="W177" s="19">
        <f t="shared" si="23"/>
        <v>0</v>
      </c>
      <c r="X177" s="21">
        <f t="shared" si="24"/>
        <v>0</v>
      </c>
    </row>
    <row r="178" spans="1:24" ht="13.5" x14ac:dyDescent="0.35">
      <c r="A178" s="18">
        <v>122657</v>
      </c>
      <c r="B178" s="19" t="s">
        <v>580</v>
      </c>
      <c r="C178" s="19">
        <v>13.8</v>
      </c>
      <c r="D178" s="19">
        <v>101</v>
      </c>
      <c r="E178" s="19">
        <v>1732</v>
      </c>
      <c r="F178" s="19">
        <v>29.35</v>
      </c>
      <c r="G178" s="19">
        <v>0</v>
      </c>
      <c r="H178" s="19">
        <v>29.35</v>
      </c>
      <c r="I178" s="20">
        <v>29.35</v>
      </c>
      <c r="J178" s="19">
        <f t="shared" si="17"/>
        <v>0</v>
      </c>
      <c r="K178" s="19">
        <f t="shared" si="18"/>
        <v>0</v>
      </c>
      <c r="L178" s="19">
        <v>3.5400000000000002E-3</v>
      </c>
      <c r="M178" s="19">
        <v>2.5300000000000001E-3</v>
      </c>
      <c r="N178" s="19">
        <v>3.0000000000000001E-3</v>
      </c>
      <c r="O178" s="19">
        <v>2.33E-3</v>
      </c>
      <c r="P178" s="19">
        <v>2.8300000000000001E-3</v>
      </c>
      <c r="Q178" s="19">
        <v>2.5000000000000001E-3</v>
      </c>
      <c r="R178" s="19"/>
      <c r="S178" s="19">
        <f t="shared" si="19"/>
        <v>0</v>
      </c>
      <c r="T178" s="19">
        <f t="shared" si="20"/>
        <v>0</v>
      </c>
      <c r="U178" s="19">
        <f t="shared" si="21"/>
        <v>0</v>
      </c>
      <c r="V178" s="19">
        <f t="shared" si="22"/>
        <v>0</v>
      </c>
      <c r="W178" s="19">
        <f t="shared" si="23"/>
        <v>0</v>
      </c>
      <c r="X178" s="21">
        <f t="shared" si="24"/>
        <v>0</v>
      </c>
    </row>
    <row r="179" spans="1:24" ht="13.5" x14ac:dyDescent="0.35">
      <c r="A179" s="18">
        <v>122660</v>
      </c>
      <c r="B179" s="19" t="s">
        <v>581</v>
      </c>
      <c r="C179" s="19">
        <v>13.8</v>
      </c>
      <c r="D179" s="19">
        <v>101</v>
      </c>
      <c r="E179" s="19">
        <v>1734</v>
      </c>
      <c r="F179" s="19">
        <v>12.02</v>
      </c>
      <c r="G179" s="19">
        <v>0</v>
      </c>
      <c r="H179" s="19">
        <v>12.02</v>
      </c>
      <c r="I179" s="20">
        <v>12.02</v>
      </c>
      <c r="J179" s="19">
        <f t="shared" si="17"/>
        <v>0</v>
      </c>
      <c r="K179" s="19">
        <f t="shared" si="18"/>
        <v>0</v>
      </c>
      <c r="L179" s="19">
        <v>3.5400000000000002E-3</v>
      </c>
      <c r="M179" s="19">
        <v>2.5300000000000001E-3</v>
      </c>
      <c r="N179" s="19">
        <v>3.0000000000000001E-3</v>
      </c>
      <c r="O179" s="19">
        <v>2.33E-3</v>
      </c>
      <c r="P179" s="19">
        <v>2.8300000000000001E-3</v>
      </c>
      <c r="Q179" s="19">
        <v>2.5000000000000001E-3</v>
      </c>
      <c r="R179" s="19"/>
      <c r="S179" s="19">
        <f t="shared" si="19"/>
        <v>0</v>
      </c>
      <c r="T179" s="19">
        <f t="shared" si="20"/>
        <v>0</v>
      </c>
      <c r="U179" s="19">
        <f t="shared" si="21"/>
        <v>0</v>
      </c>
      <c r="V179" s="19">
        <f t="shared" si="22"/>
        <v>0</v>
      </c>
      <c r="W179" s="19">
        <f t="shared" si="23"/>
        <v>0</v>
      </c>
      <c r="X179" s="21">
        <f t="shared" si="24"/>
        <v>0</v>
      </c>
    </row>
    <row r="180" spans="1:24" ht="13.5" x14ac:dyDescent="0.35">
      <c r="A180" s="18">
        <v>113142</v>
      </c>
      <c r="B180" s="19" t="s">
        <v>398</v>
      </c>
      <c r="C180" s="19">
        <v>0.48</v>
      </c>
      <c r="D180" s="19">
        <v>101</v>
      </c>
      <c r="E180" s="19">
        <v>1100</v>
      </c>
      <c r="F180" s="19">
        <v>0</v>
      </c>
      <c r="G180" s="19">
        <v>0</v>
      </c>
      <c r="H180" s="19">
        <v>0</v>
      </c>
      <c r="I180" s="20">
        <v>0</v>
      </c>
      <c r="J180" s="19">
        <f t="shared" si="17"/>
        <v>0</v>
      </c>
      <c r="K180" s="19">
        <f t="shared" si="18"/>
        <v>0</v>
      </c>
      <c r="L180" s="19">
        <v>3.5300000000000002E-3</v>
      </c>
      <c r="M180" s="19">
        <v>2.7699999999999999E-3</v>
      </c>
      <c r="N180" s="19">
        <v>2.6199999999999999E-3</v>
      </c>
      <c r="O180" s="19">
        <v>3.82E-3</v>
      </c>
      <c r="P180" s="19">
        <v>3.9399999999999999E-3</v>
      </c>
      <c r="Q180" s="19">
        <v>3.5799999999999998E-3</v>
      </c>
      <c r="R180" s="19"/>
      <c r="S180" s="19">
        <f t="shared" si="19"/>
        <v>0</v>
      </c>
      <c r="T180" s="19">
        <f t="shared" si="20"/>
        <v>0</v>
      </c>
      <c r="U180" s="19">
        <f t="shared" si="21"/>
        <v>0</v>
      </c>
      <c r="V180" s="19">
        <f t="shared" si="22"/>
        <v>0</v>
      </c>
      <c r="W180" s="19">
        <f t="shared" si="23"/>
        <v>0</v>
      </c>
      <c r="X180" s="21">
        <f t="shared" si="24"/>
        <v>0</v>
      </c>
    </row>
    <row r="181" spans="1:24" ht="13.5" x14ac:dyDescent="0.35">
      <c r="A181" s="18">
        <v>113143</v>
      </c>
      <c r="B181" s="19" t="s">
        <v>399</v>
      </c>
      <c r="C181" s="19">
        <v>0.42</v>
      </c>
      <c r="D181" s="19">
        <v>101</v>
      </c>
      <c r="E181" s="19">
        <v>1100</v>
      </c>
      <c r="F181" s="19">
        <v>0</v>
      </c>
      <c r="G181" s="19">
        <v>0</v>
      </c>
      <c r="H181" s="19">
        <v>0</v>
      </c>
      <c r="I181" s="20">
        <v>0</v>
      </c>
      <c r="J181" s="19">
        <f t="shared" si="17"/>
        <v>0</v>
      </c>
      <c r="K181" s="19">
        <f t="shared" si="18"/>
        <v>0</v>
      </c>
      <c r="L181" s="19">
        <v>3.5300000000000002E-3</v>
      </c>
      <c r="M181" s="19">
        <v>2.7699999999999999E-3</v>
      </c>
      <c r="N181" s="19">
        <v>2.6199999999999999E-3</v>
      </c>
      <c r="O181" s="19">
        <v>3.82E-3</v>
      </c>
      <c r="P181" s="19">
        <v>3.9399999999999999E-3</v>
      </c>
      <c r="Q181" s="19">
        <v>3.5799999999999998E-3</v>
      </c>
      <c r="R181" s="19"/>
      <c r="S181" s="19">
        <f t="shared" si="19"/>
        <v>0</v>
      </c>
      <c r="T181" s="19">
        <f t="shared" si="20"/>
        <v>0</v>
      </c>
      <c r="U181" s="19">
        <f t="shared" si="21"/>
        <v>0</v>
      </c>
      <c r="V181" s="19">
        <f t="shared" si="22"/>
        <v>0</v>
      </c>
      <c r="W181" s="19">
        <f t="shared" si="23"/>
        <v>0</v>
      </c>
      <c r="X181" s="21">
        <f t="shared" si="24"/>
        <v>0</v>
      </c>
    </row>
    <row r="182" spans="1:24" ht="13.5" x14ac:dyDescent="0.35">
      <c r="A182" s="18">
        <v>913000</v>
      </c>
      <c r="B182" s="19" t="s">
        <v>650</v>
      </c>
      <c r="C182" s="19">
        <v>115</v>
      </c>
      <c r="D182" s="19">
        <v>101</v>
      </c>
      <c r="E182" s="19">
        <v>1100</v>
      </c>
      <c r="F182" s="19">
        <v>0</v>
      </c>
      <c r="G182" s="19">
        <v>0</v>
      </c>
      <c r="H182" s="19">
        <v>0</v>
      </c>
      <c r="I182" s="20">
        <v>0</v>
      </c>
      <c r="J182" s="19">
        <f t="shared" si="17"/>
        <v>0</v>
      </c>
      <c r="K182" s="19">
        <f t="shared" si="18"/>
        <v>0</v>
      </c>
      <c r="L182" s="19">
        <v>3.5300000000000002E-3</v>
      </c>
      <c r="M182" s="19">
        <v>2.7699999999999999E-3</v>
      </c>
      <c r="N182" s="19">
        <v>2.6199999999999999E-3</v>
      </c>
      <c r="O182" s="19">
        <v>3.82E-3</v>
      </c>
      <c r="P182" s="19">
        <v>3.9399999999999999E-3</v>
      </c>
      <c r="Q182" s="19">
        <v>3.5799999999999998E-3</v>
      </c>
      <c r="R182" s="19"/>
      <c r="S182" s="19">
        <f t="shared" si="19"/>
        <v>0</v>
      </c>
      <c r="T182" s="19">
        <f t="shared" si="20"/>
        <v>0</v>
      </c>
      <c r="U182" s="19">
        <f t="shared" si="21"/>
        <v>0</v>
      </c>
      <c r="V182" s="19">
        <f t="shared" si="22"/>
        <v>0</v>
      </c>
      <c r="W182" s="19">
        <f t="shared" si="23"/>
        <v>0</v>
      </c>
      <c r="X182" s="21">
        <f t="shared" si="24"/>
        <v>0</v>
      </c>
    </row>
    <row r="183" spans="1:24" ht="13.5" x14ac:dyDescent="0.35">
      <c r="A183" s="18">
        <v>122690</v>
      </c>
      <c r="B183" s="19" t="s">
        <v>582</v>
      </c>
      <c r="C183" s="19">
        <v>13.8</v>
      </c>
      <c r="D183" s="19">
        <v>101</v>
      </c>
      <c r="E183" s="19">
        <v>1734</v>
      </c>
      <c r="F183" s="19">
        <v>42.95</v>
      </c>
      <c r="G183" s="19">
        <v>0</v>
      </c>
      <c r="H183" s="19">
        <v>42.95</v>
      </c>
      <c r="I183" s="20">
        <v>42.95</v>
      </c>
      <c r="J183" s="19">
        <f t="shared" si="17"/>
        <v>0</v>
      </c>
      <c r="K183" s="19">
        <f t="shared" si="18"/>
        <v>0</v>
      </c>
      <c r="L183" s="19">
        <v>3.5100000000000001E-3</v>
      </c>
      <c r="M183" s="19">
        <v>2.5000000000000001E-3</v>
      </c>
      <c r="N183" s="19">
        <v>2.96E-3</v>
      </c>
      <c r="O183" s="19">
        <v>2.2899999999999999E-3</v>
      </c>
      <c r="P183" s="19">
        <v>2.7899999999999999E-3</v>
      </c>
      <c r="Q183" s="19">
        <v>2.4599999999999999E-3</v>
      </c>
      <c r="R183" s="19"/>
      <c r="S183" s="19">
        <f t="shared" si="19"/>
        <v>0</v>
      </c>
      <c r="T183" s="19">
        <f t="shared" si="20"/>
        <v>0</v>
      </c>
      <c r="U183" s="19">
        <f t="shared" si="21"/>
        <v>0</v>
      </c>
      <c r="V183" s="19">
        <f t="shared" si="22"/>
        <v>0</v>
      </c>
      <c r="W183" s="19">
        <f t="shared" si="23"/>
        <v>0</v>
      </c>
      <c r="X183" s="21">
        <f t="shared" si="24"/>
        <v>0</v>
      </c>
    </row>
    <row r="184" spans="1:24" ht="13.5" x14ac:dyDescent="0.35">
      <c r="A184" s="18">
        <v>122700</v>
      </c>
      <c r="B184" s="19" t="s">
        <v>583</v>
      </c>
      <c r="C184" s="19">
        <v>12.5</v>
      </c>
      <c r="D184" s="19">
        <v>101</v>
      </c>
      <c r="E184" s="19">
        <v>1733</v>
      </c>
      <c r="F184" s="19">
        <v>0</v>
      </c>
      <c r="G184" s="19">
        <v>0</v>
      </c>
      <c r="H184" s="19">
        <v>0</v>
      </c>
      <c r="I184" s="20">
        <v>0</v>
      </c>
      <c r="J184" s="19">
        <f t="shared" si="17"/>
        <v>0</v>
      </c>
      <c r="K184" s="19">
        <f t="shared" si="18"/>
        <v>0</v>
      </c>
      <c r="L184" s="19">
        <v>3.5000000000000001E-3</v>
      </c>
      <c r="M184" s="19">
        <v>2.5000000000000001E-3</v>
      </c>
      <c r="N184" s="19">
        <v>2.96E-3</v>
      </c>
      <c r="O184" s="19">
        <v>2.2899999999999999E-3</v>
      </c>
      <c r="P184" s="19">
        <v>2.7799999999999999E-3</v>
      </c>
      <c r="Q184" s="19">
        <v>2.4599999999999999E-3</v>
      </c>
      <c r="R184" s="19"/>
      <c r="S184" s="19">
        <f t="shared" si="19"/>
        <v>0</v>
      </c>
      <c r="T184" s="19">
        <f t="shared" si="20"/>
        <v>0</v>
      </c>
      <c r="U184" s="19">
        <f t="shared" si="21"/>
        <v>0</v>
      </c>
      <c r="V184" s="19">
        <f t="shared" si="22"/>
        <v>0</v>
      </c>
      <c r="W184" s="19">
        <f t="shared" si="23"/>
        <v>0</v>
      </c>
      <c r="X184" s="21">
        <f t="shared" si="24"/>
        <v>0</v>
      </c>
    </row>
    <row r="185" spans="1:24" ht="13.5" x14ac:dyDescent="0.35">
      <c r="A185" s="18">
        <v>121964</v>
      </c>
      <c r="B185" s="19" t="s">
        <v>538</v>
      </c>
      <c r="C185" s="19">
        <v>13.8</v>
      </c>
      <c r="D185" s="19">
        <v>101</v>
      </c>
      <c r="E185" s="19">
        <v>1673</v>
      </c>
      <c r="F185" s="19">
        <v>0</v>
      </c>
      <c r="G185" s="19">
        <v>0</v>
      </c>
      <c r="H185" s="19">
        <v>0</v>
      </c>
      <c r="I185" s="20">
        <v>0</v>
      </c>
      <c r="J185" s="19">
        <f t="shared" si="17"/>
        <v>0</v>
      </c>
      <c r="K185" s="19">
        <f t="shared" si="18"/>
        <v>0</v>
      </c>
      <c r="L185" s="19">
        <v>3.49E-3</v>
      </c>
      <c r="M185" s="19">
        <v>2.48E-3</v>
      </c>
      <c r="N185" s="19">
        <v>2.9199999999999999E-3</v>
      </c>
      <c r="O185" s="19">
        <v>2.2200000000000002E-3</v>
      </c>
      <c r="P185" s="19">
        <v>2.7200000000000002E-3</v>
      </c>
      <c r="Q185" s="19">
        <v>2.3900000000000002E-3</v>
      </c>
      <c r="R185" s="19"/>
      <c r="S185" s="19">
        <f t="shared" si="19"/>
        <v>0</v>
      </c>
      <c r="T185" s="19">
        <f t="shared" si="20"/>
        <v>0</v>
      </c>
      <c r="U185" s="19">
        <f t="shared" si="21"/>
        <v>0</v>
      </c>
      <c r="V185" s="19">
        <f t="shared" si="22"/>
        <v>0</v>
      </c>
      <c r="W185" s="19">
        <f t="shared" si="23"/>
        <v>0</v>
      </c>
      <c r="X185" s="21">
        <f t="shared" si="24"/>
        <v>0</v>
      </c>
    </row>
    <row r="186" spans="1:24" ht="13.5" x14ac:dyDescent="0.35">
      <c r="A186" s="18">
        <v>121965</v>
      </c>
      <c r="B186" s="19" t="s">
        <v>539</v>
      </c>
      <c r="C186" s="19">
        <v>13.2</v>
      </c>
      <c r="D186" s="19">
        <v>101</v>
      </c>
      <c r="E186" s="19">
        <v>1673</v>
      </c>
      <c r="F186" s="19">
        <v>0</v>
      </c>
      <c r="G186" s="19">
        <v>0</v>
      </c>
      <c r="H186" s="19">
        <v>0</v>
      </c>
      <c r="I186" s="20">
        <v>0</v>
      </c>
      <c r="J186" s="19">
        <f t="shared" si="17"/>
        <v>0</v>
      </c>
      <c r="K186" s="19">
        <f t="shared" si="18"/>
        <v>0</v>
      </c>
      <c r="L186" s="19">
        <v>3.49E-3</v>
      </c>
      <c r="M186" s="19">
        <v>2.48E-3</v>
      </c>
      <c r="N186" s="19">
        <v>2.9199999999999999E-3</v>
      </c>
      <c r="O186" s="19">
        <v>2.2200000000000002E-3</v>
      </c>
      <c r="P186" s="19">
        <v>2.7200000000000002E-3</v>
      </c>
      <c r="Q186" s="19">
        <v>2.3900000000000002E-3</v>
      </c>
      <c r="R186" s="19"/>
      <c r="S186" s="19">
        <f t="shared" si="19"/>
        <v>0</v>
      </c>
      <c r="T186" s="19">
        <f t="shared" si="20"/>
        <v>0</v>
      </c>
      <c r="U186" s="19">
        <f t="shared" si="21"/>
        <v>0</v>
      </c>
      <c r="V186" s="19">
        <f t="shared" si="22"/>
        <v>0</v>
      </c>
      <c r="W186" s="19">
        <f t="shared" si="23"/>
        <v>0</v>
      </c>
      <c r="X186" s="21">
        <f t="shared" si="24"/>
        <v>0</v>
      </c>
    </row>
    <row r="187" spans="1:24" ht="13.5" x14ac:dyDescent="0.35">
      <c r="A187" s="18">
        <v>920318</v>
      </c>
      <c r="B187" s="19" t="s">
        <v>707</v>
      </c>
      <c r="C187" s="19">
        <v>115</v>
      </c>
      <c r="D187" s="19">
        <v>101</v>
      </c>
      <c r="E187" s="19">
        <v>1690</v>
      </c>
      <c r="F187" s="19">
        <v>0</v>
      </c>
      <c r="G187" s="19">
        <v>0</v>
      </c>
      <c r="H187" s="19">
        <v>0</v>
      </c>
      <c r="I187" s="20">
        <v>0</v>
      </c>
      <c r="J187" s="19">
        <f t="shared" si="17"/>
        <v>0</v>
      </c>
      <c r="K187" s="19">
        <f t="shared" si="18"/>
        <v>0</v>
      </c>
      <c r="L187" s="19">
        <v>3.47E-3</v>
      </c>
      <c r="M187" s="19">
        <v>2.4599999999999999E-3</v>
      </c>
      <c r="N187" s="19">
        <v>2.8999999999999998E-3</v>
      </c>
      <c r="O187" s="19">
        <v>2.2100000000000002E-3</v>
      </c>
      <c r="P187" s="19">
        <v>2.7100000000000002E-3</v>
      </c>
      <c r="Q187" s="19">
        <v>2.3800000000000002E-3</v>
      </c>
      <c r="R187" s="19"/>
      <c r="S187" s="19">
        <f t="shared" si="19"/>
        <v>0</v>
      </c>
      <c r="T187" s="19">
        <f t="shared" si="20"/>
        <v>0</v>
      </c>
      <c r="U187" s="19">
        <f t="shared" si="21"/>
        <v>0</v>
      </c>
      <c r="V187" s="19">
        <f t="shared" si="22"/>
        <v>0</v>
      </c>
      <c r="W187" s="19">
        <f t="shared" si="23"/>
        <v>0</v>
      </c>
      <c r="X187" s="21">
        <f t="shared" si="24"/>
        <v>0</v>
      </c>
    </row>
    <row r="188" spans="1:24" ht="13.5" x14ac:dyDescent="0.35">
      <c r="A188" s="18">
        <v>121852</v>
      </c>
      <c r="B188" s="19" t="s">
        <v>532</v>
      </c>
      <c r="C188" s="19">
        <v>2.4</v>
      </c>
      <c r="D188" s="19">
        <v>101</v>
      </c>
      <c r="E188" s="19">
        <v>1654</v>
      </c>
      <c r="F188" s="19">
        <v>0</v>
      </c>
      <c r="G188" s="19">
        <v>0</v>
      </c>
      <c r="H188" s="19">
        <v>0</v>
      </c>
      <c r="I188" s="20">
        <v>0</v>
      </c>
      <c r="J188" s="19">
        <f t="shared" si="17"/>
        <v>0</v>
      </c>
      <c r="K188" s="19">
        <f t="shared" si="18"/>
        <v>0</v>
      </c>
      <c r="L188" s="19">
        <v>3.4299999999999999E-3</v>
      </c>
      <c r="M188" s="19">
        <v>2.4199999999999998E-3</v>
      </c>
      <c r="N188" s="19">
        <v>2.8400000000000001E-3</v>
      </c>
      <c r="O188" s="19">
        <v>2.1299999999999999E-3</v>
      </c>
      <c r="P188" s="19">
        <v>2.63E-3</v>
      </c>
      <c r="Q188" s="19">
        <v>2.31E-3</v>
      </c>
      <c r="R188" s="19"/>
      <c r="S188" s="19">
        <f t="shared" si="19"/>
        <v>0</v>
      </c>
      <c r="T188" s="19">
        <f t="shared" si="20"/>
        <v>0</v>
      </c>
      <c r="U188" s="19">
        <f t="shared" si="21"/>
        <v>0</v>
      </c>
      <c r="V188" s="19">
        <f t="shared" si="22"/>
        <v>0</v>
      </c>
      <c r="W188" s="19">
        <f t="shared" si="23"/>
        <v>0</v>
      </c>
      <c r="X188" s="21">
        <f t="shared" si="24"/>
        <v>0</v>
      </c>
    </row>
    <row r="189" spans="1:24" ht="13.5" x14ac:dyDescent="0.35">
      <c r="A189" s="18">
        <v>121860</v>
      </c>
      <c r="B189" s="19" t="s">
        <v>533</v>
      </c>
      <c r="C189" s="19">
        <v>13.8</v>
      </c>
      <c r="D189" s="19">
        <v>101</v>
      </c>
      <c r="E189" s="19">
        <v>1654</v>
      </c>
      <c r="F189" s="19">
        <v>0</v>
      </c>
      <c r="G189" s="19">
        <v>0</v>
      </c>
      <c r="H189" s="19">
        <v>0</v>
      </c>
      <c r="I189" s="20">
        <v>0</v>
      </c>
      <c r="J189" s="19">
        <f t="shared" si="17"/>
        <v>0</v>
      </c>
      <c r="K189" s="19">
        <f t="shared" si="18"/>
        <v>0</v>
      </c>
      <c r="L189" s="19">
        <v>3.4299999999999999E-3</v>
      </c>
      <c r="M189" s="19">
        <v>2.4199999999999998E-3</v>
      </c>
      <c r="N189" s="19">
        <v>2.8400000000000001E-3</v>
      </c>
      <c r="O189" s="19">
        <v>2.1299999999999999E-3</v>
      </c>
      <c r="P189" s="19">
        <v>2.63E-3</v>
      </c>
      <c r="Q189" s="19">
        <v>2.31E-3</v>
      </c>
      <c r="R189" s="19"/>
      <c r="S189" s="19">
        <f t="shared" si="19"/>
        <v>0</v>
      </c>
      <c r="T189" s="19">
        <f t="shared" si="20"/>
        <v>0</v>
      </c>
      <c r="U189" s="19">
        <f t="shared" si="21"/>
        <v>0</v>
      </c>
      <c r="V189" s="19">
        <f t="shared" si="22"/>
        <v>0</v>
      </c>
      <c r="W189" s="19">
        <f t="shared" si="23"/>
        <v>0</v>
      </c>
      <c r="X189" s="21">
        <f t="shared" si="24"/>
        <v>0</v>
      </c>
    </row>
    <row r="190" spans="1:24" ht="13.5" x14ac:dyDescent="0.35">
      <c r="A190" s="18">
        <v>121865</v>
      </c>
      <c r="B190" s="19" t="s">
        <v>534</v>
      </c>
      <c r="C190" s="19">
        <v>13.8</v>
      </c>
      <c r="D190" s="19">
        <v>101</v>
      </c>
      <c r="E190" s="19">
        <v>1653</v>
      </c>
      <c r="F190" s="19">
        <v>36.06</v>
      </c>
      <c r="G190" s="19">
        <v>0</v>
      </c>
      <c r="H190" s="19">
        <v>36.06</v>
      </c>
      <c r="I190" s="20">
        <v>36.06</v>
      </c>
      <c r="J190" s="19">
        <f t="shared" si="17"/>
        <v>0</v>
      </c>
      <c r="K190" s="19">
        <f t="shared" si="18"/>
        <v>0</v>
      </c>
      <c r="L190" s="19">
        <v>3.4299999999999999E-3</v>
      </c>
      <c r="M190" s="19">
        <v>2.4199999999999998E-3</v>
      </c>
      <c r="N190" s="19">
        <v>2.8400000000000001E-3</v>
      </c>
      <c r="O190" s="19">
        <v>2.1299999999999999E-3</v>
      </c>
      <c r="P190" s="19">
        <v>2.63E-3</v>
      </c>
      <c r="Q190" s="19">
        <v>2.31E-3</v>
      </c>
      <c r="R190" s="19"/>
      <c r="S190" s="19">
        <f t="shared" si="19"/>
        <v>0</v>
      </c>
      <c r="T190" s="19">
        <f t="shared" si="20"/>
        <v>0</v>
      </c>
      <c r="U190" s="19">
        <f t="shared" si="21"/>
        <v>0</v>
      </c>
      <c r="V190" s="19">
        <f t="shared" si="22"/>
        <v>0</v>
      </c>
      <c r="W190" s="19">
        <f t="shared" si="23"/>
        <v>0</v>
      </c>
      <c r="X190" s="21">
        <f t="shared" si="24"/>
        <v>0</v>
      </c>
    </row>
    <row r="191" spans="1:24" ht="13.5" x14ac:dyDescent="0.35">
      <c r="A191" s="18">
        <v>920038</v>
      </c>
      <c r="B191" s="19" t="s">
        <v>704</v>
      </c>
      <c r="C191" s="19">
        <v>115</v>
      </c>
      <c r="D191" s="19">
        <v>101</v>
      </c>
      <c r="E191" s="19">
        <v>1650</v>
      </c>
      <c r="F191" s="19">
        <v>0</v>
      </c>
      <c r="G191" s="19">
        <v>0</v>
      </c>
      <c r="H191" s="19">
        <v>0</v>
      </c>
      <c r="I191" s="20">
        <v>0</v>
      </c>
      <c r="J191" s="19">
        <f t="shared" si="17"/>
        <v>0</v>
      </c>
      <c r="K191" s="19">
        <f t="shared" si="18"/>
        <v>0</v>
      </c>
      <c r="L191" s="19">
        <v>3.4299999999999999E-3</v>
      </c>
      <c r="M191" s="19">
        <v>2.4199999999999998E-3</v>
      </c>
      <c r="N191" s="19">
        <v>2.8400000000000001E-3</v>
      </c>
      <c r="O191" s="19">
        <v>2.1299999999999999E-3</v>
      </c>
      <c r="P191" s="19">
        <v>2.63E-3</v>
      </c>
      <c r="Q191" s="19">
        <v>2.31E-3</v>
      </c>
      <c r="R191" s="19"/>
      <c r="S191" s="19">
        <f t="shared" si="19"/>
        <v>0</v>
      </c>
      <c r="T191" s="19">
        <f t="shared" si="20"/>
        <v>0</v>
      </c>
      <c r="U191" s="19">
        <f t="shared" si="21"/>
        <v>0</v>
      </c>
      <c r="V191" s="19">
        <f t="shared" si="22"/>
        <v>0</v>
      </c>
      <c r="W191" s="19">
        <f t="shared" si="23"/>
        <v>0</v>
      </c>
      <c r="X191" s="21">
        <f t="shared" si="24"/>
        <v>0</v>
      </c>
    </row>
    <row r="192" spans="1:24" ht="13.5" x14ac:dyDescent="0.35">
      <c r="A192" s="18">
        <v>122184</v>
      </c>
      <c r="B192" s="19" t="s">
        <v>553</v>
      </c>
      <c r="C192" s="19">
        <v>13.8</v>
      </c>
      <c r="D192" s="19">
        <v>101</v>
      </c>
      <c r="E192" s="19">
        <v>1693</v>
      </c>
      <c r="F192" s="19">
        <v>0</v>
      </c>
      <c r="G192" s="19">
        <v>0</v>
      </c>
      <c r="H192" s="19">
        <v>0</v>
      </c>
      <c r="I192" s="20">
        <v>0</v>
      </c>
      <c r="J192" s="19">
        <f t="shared" si="17"/>
        <v>0</v>
      </c>
      <c r="K192" s="19">
        <f t="shared" si="18"/>
        <v>0</v>
      </c>
      <c r="L192" s="19">
        <v>3.4199999999999999E-3</v>
      </c>
      <c r="M192" s="19">
        <v>2.4199999999999998E-3</v>
      </c>
      <c r="N192" s="19">
        <v>2.8500000000000001E-3</v>
      </c>
      <c r="O192" s="19">
        <v>2.1800000000000001E-3</v>
      </c>
      <c r="P192" s="19">
        <v>2.6700000000000001E-3</v>
      </c>
      <c r="Q192" s="19">
        <v>2.3500000000000001E-3</v>
      </c>
      <c r="R192" s="19"/>
      <c r="S192" s="19">
        <f t="shared" si="19"/>
        <v>0</v>
      </c>
      <c r="T192" s="19">
        <f t="shared" si="20"/>
        <v>0</v>
      </c>
      <c r="U192" s="19">
        <f t="shared" si="21"/>
        <v>0</v>
      </c>
      <c r="V192" s="19">
        <f t="shared" si="22"/>
        <v>0</v>
      </c>
      <c r="W192" s="19">
        <f t="shared" si="23"/>
        <v>0</v>
      </c>
      <c r="X192" s="21">
        <f t="shared" si="24"/>
        <v>0</v>
      </c>
    </row>
    <row r="193" spans="1:24" ht="13.5" x14ac:dyDescent="0.35">
      <c r="A193" s="18">
        <v>122196</v>
      </c>
      <c r="B193" s="19" t="s">
        <v>554</v>
      </c>
      <c r="C193" s="19">
        <v>6.6</v>
      </c>
      <c r="D193" s="19">
        <v>101</v>
      </c>
      <c r="E193" s="19">
        <v>1693</v>
      </c>
      <c r="F193" s="19">
        <v>0</v>
      </c>
      <c r="G193" s="19">
        <v>0</v>
      </c>
      <c r="H193" s="19">
        <v>0</v>
      </c>
      <c r="I193" s="20">
        <v>0</v>
      </c>
      <c r="J193" s="19">
        <f t="shared" si="17"/>
        <v>0</v>
      </c>
      <c r="K193" s="19">
        <f t="shared" si="18"/>
        <v>0</v>
      </c>
      <c r="L193" s="19">
        <v>3.4199999999999999E-3</v>
      </c>
      <c r="M193" s="19">
        <v>2.4199999999999998E-3</v>
      </c>
      <c r="N193" s="19">
        <v>2.8500000000000001E-3</v>
      </c>
      <c r="O193" s="19">
        <v>2.1800000000000001E-3</v>
      </c>
      <c r="P193" s="19">
        <v>2.6700000000000001E-3</v>
      </c>
      <c r="Q193" s="19">
        <v>2.3500000000000001E-3</v>
      </c>
      <c r="R193" s="19"/>
      <c r="S193" s="19">
        <f t="shared" si="19"/>
        <v>0</v>
      </c>
      <c r="T193" s="19">
        <f t="shared" si="20"/>
        <v>0</v>
      </c>
      <c r="U193" s="19">
        <f t="shared" si="21"/>
        <v>0</v>
      </c>
      <c r="V193" s="19">
        <f t="shared" si="22"/>
        <v>0</v>
      </c>
      <c r="W193" s="19">
        <f t="shared" si="23"/>
        <v>0</v>
      </c>
      <c r="X193" s="21">
        <f t="shared" si="24"/>
        <v>0</v>
      </c>
    </row>
    <row r="194" spans="1:24" ht="13.5" x14ac:dyDescent="0.35">
      <c r="A194" s="18">
        <v>122154</v>
      </c>
      <c r="B194" s="19" t="s">
        <v>551</v>
      </c>
      <c r="C194" s="19">
        <v>0.38</v>
      </c>
      <c r="D194" s="19">
        <v>101</v>
      </c>
      <c r="E194" s="19">
        <v>1694</v>
      </c>
      <c r="F194" s="19">
        <v>0</v>
      </c>
      <c r="G194" s="19">
        <v>0</v>
      </c>
      <c r="H194" s="19">
        <v>0</v>
      </c>
      <c r="I194" s="20">
        <v>0</v>
      </c>
      <c r="J194" s="19">
        <f t="shared" si="17"/>
        <v>0</v>
      </c>
      <c r="K194" s="19">
        <f t="shared" si="18"/>
        <v>0</v>
      </c>
      <c r="L194" s="19">
        <v>3.3899999999999998E-3</v>
      </c>
      <c r="M194" s="19">
        <v>2.3900000000000002E-3</v>
      </c>
      <c r="N194" s="19">
        <v>2.8E-3</v>
      </c>
      <c r="O194" s="19">
        <v>2.0999999999999999E-3</v>
      </c>
      <c r="P194" s="19">
        <v>2.5899999999999999E-3</v>
      </c>
      <c r="Q194" s="19">
        <v>2.2699999999999999E-3</v>
      </c>
      <c r="R194" s="19"/>
      <c r="S194" s="19">
        <f t="shared" si="19"/>
        <v>0</v>
      </c>
      <c r="T194" s="19">
        <f t="shared" si="20"/>
        <v>0</v>
      </c>
      <c r="U194" s="19">
        <f t="shared" si="21"/>
        <v>0</v>
      </c>
      <c r="V194" s="19">
        <f t="shared" si="22"/>
        <v>0</v>
      </c>
      <c r="W194" s="19">
        <f t="shared" si="23"/>
        <v>0</v>
      </c>
      <c r="X194" s="21">
        <f t="shared" si="24"/>
        <v>0</v>
      </c>
    </row>
    <row r="195" spans="1:24" ht="13.5" x14ac:dyDescent="0.35">
      <c r="A195" s="18">
        <v>920307</v>
      </c>
      <c r="B195" s="19" t="s">
        <v>706</v>
      </c>
      <c r="C195" s="19">
        <v>115</v>
      </c>
      <c r="D195" s="19">
        <v>101</v>
      </c>
      <c r="E195" s="19">
        <v>1690</v>
      </c>
      <c r="F195" s="19">
        <v>20.38</v>
      </c>
      <c r="G195" s="19">
        <v>0</v>
      </c>
      <c r="H195" s="19">
        <v>135</v>
      </c>
      <c r="I195" s="20">
        <v>20.38</v>
      </c>
      <c r="J195" s="19">
        <f t="shared" si="17"/>
        <v>0</v>
      </c>
      <c r="K195" s="19">
        <f t="shared" si="18"/>
        <v>114.62</v>
      </c>
      <c r="L195" s="19">
        <v>3.3899999999999998E-3</v>
      </c>
      <c r="M195" s="19">
        <v>2.3900000000000002E-3</v>
      </c>
      <c r="N195" s="19">
        <v>2.8E-3</v>
      </c>
      <c r="O195" s="19">
        <v>2.0999999999999999E-3</v>
      </c>
      <c r="P195" s="19">
        <v>2.5899999999999999E-3</v>
      </c>
      <c r="Q195" s="19">
        <v>2.2699999999999999E-3</v>
      </c>
      <c r="R195" s="19"/>
      <c r="S195" s="19">
        <f t="shared" si="19"/>
        <v>0</v>
      </c>
      <c r="T195" s="19">
        <f t="shared" si="20"/>
        <v>0</v>
      </c>
      <c r="U195" s="19">
        <f t="shared" si="21"/>
        <v>0</v>
      </c>
      <c r="V195" s="19">
        <f t="shared" si="22"/>
        <v>0</v>
      </c>
      <c r="W195" s="19">
        <f t="shared" si="23"/>
        <v>0</v>
      </c>
      <c r="X195" s="21">
        <f t="shared" si="24"/>
        <v>0</v>
      </c>
    </row>
    <row r="196" spans="1:24" ht="13.5" x14ac:dyDescent="0.35">
      <c r="A196" s="18">
        <v>113020</v>
      </c>
      <c r="B196" s="19" t="s">
        <v>378</v>
      </c>
      <c r="C196" s="19">
        <v>115</v>
      </c>
      <c r="D196" s="19">
        <v>101</v>
      </c>
      <c r="E196" s="19">
        <v>1100</v>
      </c>
      <c r="F196" s="19">
        <v>0</v>
      </c>
      <c r="G196" s="19">
        <v>0</v>
      </c>
      <c r="H196" s="19">
        <v>0</v>
      </c>
      <c r="I196" s="20">
        <v>0</v>
      </c>
      <c r="J196" s="19">
        <f t="shared" si="17"/>
        <v>0</v>
      </c>
      <c r="K196" s="19">
        <f t="shared" si="18"/>
        <v>0</v>
      </c>
      <c r="L196" s="19">
        <v>3.3400000000000001E-3</v>
      </c>
      <c r="M196" s="19">
        <v>2.5899999999999999E-3</v>
      </c>
      <c r="N196" s="19">
        <v>2.4299999999999999E-3</v>
      </c>
      <c r="O196" s="19">
        <v>3.49E-3</v>
      </c>
      <c r="P196" s="19">
        <v>3.62E-3</v>
      </c>
      <c r="Q196" s="19">
        <v>3.2699999999999999E-3</v>
      </c>
      <c r="R196" s="19"/>
      <c r="S196" s="19">
        <f t="shared" si="19"/>
        <v>0</v>
      </c>
      <c r="T196" s="19">
        <f t="shared" si="20"/>
        <v>0</v>
      </c>
      <c r="U196" s="19">
        <f t="shared" si="21"/>
        <v>0</v>
      </c>
      <c r="V196" s="19">
        <f t="shared" si="22"/>
        <v>0</v>
      </c>
      <c r="W196" s="19">
        <f t="shared" si="23"/>
        <v>0</v>
      </c>
      <c r="X196" s="21">
        <f t="shared" si="24"/>
        <v>0</v>
      </c>
    </row>
    <row r="197" spans="1:24" ht="13.5" x14ac:dyDescent="0.35">
      <c r="A197" s="18">
        <v>920290</v>
      </c>
      <c r="B197" s="19" t="s">
        <v>705</v>
      </c>
      <c r="C197" s="19">
        <v>115</v>
      </c>
      <c r="D197" s="19">
        <v>101</v>
      </c>
      <c r="E197" s="19">
        <v>1670</v>
      </c>
      <c r="F197" s="19">
        <v>0</v>
      </c>
      <c r="G197" s="19">
        <v>0</v>
      </c>
      <c r="H197" s="19">
        <v>0</v>
      </c>
      <c r="I197" s="20">
        <v>0</v>
      </c>
      <c r="J197" s="19">
        <f t="shared" si="17"/>
        <v>0</v>
      </c>
      <c r="K197" s="19">
        <f t="shared" si="18"/>
        <v>0</v>
      </c>
      <c r="L197" s="19">
        <v>3.3400000000000001E-3</v>
      </c>
      <c r="M197" s="19">
        <v>2.3500000000000001E-3</v>
      </c>
      <c r="N197" s="19">
        <v>2.7399999999999998E-3</v>
      </c>
      <c r="O197" s="19">
        <v>2.0300000000000001E-3</v>
      </c>
      <c r="P197" s="19">
        <v>2.5200000000000001E-3</v>
      </c>
      <c r="Q197" s="19">
        <v>2.2000000000000001E-3</v>
      </c>
      <c r="R197" s="19"/>
      <c r="S197" s="19">
        <f t="shared" si="19"/>
        <v>0</v>
      </c>
      <c r="T197" s="19">
        <f t="shared" si="20"/>
        <v>0</v>
      </c>
      <c r="U197" s="19">
        <f t="shared" si="21"/>
        <v>0</v>
      </c>
      <c r="V197" s="19">
        <f t="shared" si="22"/>
        <v>0</v>
      </c>
      <c r="W197" s="19">
        <f t="shared" si="23"/>
        <v>0</v>
      </c>
      <c r="X197" s="21">
        <f t="shared" si="24"/>
        <v>0</v>
      </c>
    </row>
    <row r="198" spans="1:24" ht="13.5" x14ac:dyDescent="0.35">
      <c r="A198" s="18">
        <v>113082</v>
      </c>
      <c r="B198" s="19" t="s">
        <v>381</v>
      </c>
      <c r="C198" s="19">
        <v>13.8</v>
      </c>
      <c r="D198" s="19">
        <v>101</v>
      </c>
      <c r="E198" s="19">
        <v>1100</v>
      </c>
      <c r="F198" s="19">
        <v>0</v>
      </c>
      <c r="G198" s="19">
        <v>0</v>
      </c>
      <c r="H198" s="19">
        <v>0</v>
      </c>
      <c r="I198" s="20">
        <v>0</v>
      </c>
      <c r="J198" s="19">
        <f t="shared" si="17"/>
        <v>0</v>
      </c>
      <c r="K198" s="19">
        <f t="shared" si="18"/>
        <v>0</v>
      </c>
      <c r="L198" s="19">
        <v>3.2799999999999999E-3</v>
      </c>
      <c r="M198" s="19">
        <v>2.5300000000000001E-3</v>
      </c>
      <c r="N198" s="19">
        <v>2.3700000000000001E-3</v>
      </c>
      <c r="O198" s="19">
        <v>3.3700000000000002E-3</v>
      </c>
      <c r="P198" s="19">
        <v>3.5100000000000001E-3</v>
      </c>
      <c r="Q198" s="19">
        <v>3.1700000000000001E-3</v>
      </c>
      <c r="R198" s="19"/>
      <c r="S198" s="19">
        <f t="shared" si="19"/>
        <v>0</v>
      </c>
      <c r="T198" s="19">
        <f t="shared" si="20"/>
        <v>0</v>
      </c>
      <c r="U198" s="19">
        <f t="shared" si="21"/>
        <v>0</v>
      </c>
      <c r="V198" s="19">
        <f t="shared" si="22"/>
        <v>0</v>
      </c>
      <c r="W198" s="19">
        <f t="shared" si="23"/>
        <v>0</v>
      </c>
      <c r="X198" s="21">
        <f t="shared" si="24"/>
        <v>0</v>
      </c>
    </row>
    <row r="199" spans="1:24" ht="13.5" x14ac:dyDescent="0.35">
      <c r="A199" s="18">
        <v>913007</v>
      </c>
      <c r="B199" s="19" t="s">
        <v>653</v>
      </c>
      <c r="C199" s="19">
        <v>115</v>
      </c>
      <c r="D199" s="19">
        <v>101</v>
      </c>
      <c r="E199" s="19">
        <v>1100</v>
      </c>
      <c r="F199" s="19">
        <v>0</v>
      </c>
      <c r="G199" s="19">
        <v>0</v>
      </c>
      <c r="H199" s="19">
        <v>0</v>
      </c>
      <c r="I199" s="20">
        <v>0</v>
      </c>
      <c r="J199" s="19">
        <f t="shared" si="17"/>
        <v>0</v>
      </c>
      <c r="K199" s="19">
        <f t="shared" si="18"/>
        <v>0</v>
      </c>
      <c r="L199" s="19">
        <v>3.2799999999999999E-3</v>
      </c>
      <c r="M199" s="19">
        <v>2.5300000000000001E-3</v>
      </c>
      <c r="N199" s="19">
        <v>2.3700000000000001E-3</v>
      </c>
      <c r="O199" s="19">
        <v>3.3700000000000002E-3</v>
      </c>
      <c r="P199" s="19">
        <v>3.5100000000000001E-3</v>
      </c>
      <c r="Q199" s="19">
        <v>3.1700000000000001E-3</v>
      </c>
      <c r="R199" s="19"/>
      <c r="S199" s="19">
        <f t="shared" si="19"/>
        <v>0</v>
      </c>
      <c r="T199" s="19">
        <f t="shared" si="20"/>
        <v>0</v>
      </c>
      <c r="U199" s="19">
        <f t="shared" si="21"/>
        <v>0</v>
      </c>
      <c r="V199" s="19">
        <f t="shared" si="22"/>
        <v>0</v>
      </c>
      <c r="W199" s="19">
        <f t="shared" si="23"/>
        <v>0</v>
      </c>
      <c r="X199" s="21">
        <f t="shared" si="24"/>
        <v>0</v>
      </c>
    </row>
    <row r="200" spans="1:24" ht="13.5" x14ac:dyDescent="0.35">
      <c r="A200" s="18">
        <v>993007</v>
      </c>
      <c r="B200" s="19" t="s">
        <v>726</v>
      </c>
      <c r="C200" s="19">
        <v>115</v>
      </c>
      <c r="D200" s="19">
        <v>101</v>
      </c>
      <c r="E200" s="19">
        <v>1100</v>
      </c>
      <c r="F200" s="19">
        <v>0</v>
      </c>
      <c r="G200" s="19">
        <v>0</v>
      </c>
      <c r="H200" s="19">
        <v>0</v>
      </c>
      <c r="I200" s="20">
        <v>0</v>
      </c>
      <c r="J200" s="19">
        <f t="shared" si="17"/>
        <v>0</v>
      </c>
      <c r="K200" s="19">
        <f t="shared" si="18"/>
        <v>0</v>
      </c>
      <c r="L200" s="19">
        <v>3.2799999999999999E-3</v>
      </c>
      <c r="M200" s="19">
        <v>2.5300000000000001E-3</v>
      </c>
      <c r="N200" s="19">
        <v>2.3700000000000001E-3</v>
      </c>
      <c r="O200" s="19">
        <v>3.3700000000000002E-3</v>
      </c>
      <c r="P200" s="19">
        <v>3.5100000000000001E-3</v>
      </c>
      <c r="Q200" s="19">
        <v>3.1700000000000001E-3</v>
      </c>
      <c r="R200" s="19"/>
      <c r="S200" s="19">
        <f t="shared" si="19"/>
        <v>0</v>
      </c>
      <c r="T200" s="19">
        <f t="shared" si="20"/>
        <v>0</v>
      </c>
      <c r="U200" s="19">
        <f t="shared" si="21"/>
        <v>0</v>
      </c>
      <c r="V200" s="19">
        <f t="shared" si="22"/>
        <v>0</v>
      </c>
      <c r="W200" s="19">
        <f t="shared" si="23"/>
        <v>0</v>
      </c>
      <c r="X200" s="21">
        <f t="shared" si="24"/>
        <v>0</v>
      </c>
    </row>
    <row r="201" spans="1:24" ht="13.5" x14ac:dyDescent="0.35">
      <c r="A201" s="18">
        <v>913328</v>
      </c>
      <c r="B201" s="19" t="s">
        <v>670</v>
      </c>
      <c r="C201" s="19">
        <v>69</v>
      </c>
      <c r="D201" s="19">
        <v>101</v>
      </c>
      <c r="E201" s="19">
        <v>1110</v>
      </c>
      <c r="F201" s="19">
        <v>9.93</v>
      </c>
      <c r="G201" s="19">
        <v>0</v>
      </c>
      <c r="H201" s="19">
        <v>9.93</v>
      </c>
      <c r="I201" s="20">
        <v>9.93</v>
      </c>
      <c r="J201" s="19">
        <f t="shared" si="17"/>
        <v>0</v>
      </c>
      <c r="K201" s="19">
        <f t="shared" si="18"/>
        <v>0</v>
      </c>
      <c r="L201" s="19">
        <v>3.2000000000000002E-3</v>
      </c>
      <c r="M201" s="19">
        <v>2.5000000000000001E-3</v>
      </c>
      <c r="N201" s="19">
        <v>2.2399999999999998E-3</v>
      </c>
      <c r="O201" s="19">
        <v>3.5799999999999998E-3</v>
      </c>
      <c r="P201" s="19">
        <v>3.6900000000000001E-3</v>
      </c>
      <c r="Q201" s="19">
        <v>3.3E-3</v>
      </c>
      <c r="R201" s="19"/>
      <c r="S201" s="19">
        <f t="shared" si="19"/>
        <v>0</v>
      </c>
      <c r="T201" s="19">
        <f t="shared" si="20"/>
        <v>0</v>
      </c>
      <c r="U201" s="19">
        <f t="shared" si="21"/>
        <v>0</v>
      </c>
      <c r="V201" s="19">
        <f t="shared" si="22"/>
        <v>0</v>
      </c>
      <c r="W201" s="19">
        <f t="shared" si="23"/>
        <v>0</v>
      </c>
      <c r="X201" s="21">
        <f t="shared" si="24"/>
        <v>0</v>
      </c>
    </row>
    <row r="202" spans="1:24" ht="13.5" x14ac:dyDescent="0.35">
      <c r="A202" s="18">
        <v>911560</v>
      </c>
      <c r="B202" s="19" t="s">
        <v>647</v>
      </c>
      <c r="C202" s="19">
        <v>345</v>
      </c>
      <c r="D202" s="19">
        <v>102</v>
      </c>
      <c r="E202" s="19">
        <v>12</v>
      </c>
      <c r="F202" s="19">
        <v>120.67</v>
      </c>
      <c r="G202" s="19">
        <v>0</v>
      </c>
      <c r="H202" s="19">
        <v>466.67</v>
      </c>
      <c r="I202" s="20">
        <v>120.67</v>
      </c>
      <c r="J202" s="19">
        <f t="shared" si="17"/>
        <v>0</v>
      </c>
      <c r="K202" s="19">
        <f t="shared" si="18"/>
        <v>346</v>
      </c>
      <c r="L202" s="19">
        <v>2.8E-3</v>
      </c>
      <c r="M202" s="19">
        <v>1.9E-3</v>
      </c>
      <c r="N202" s="19">
        <v>2.1299999999999999E-3</v>
      </c>
      <c r="O202" s="19">
        <v>1.5100000000000001E-3</v>
      </c>
      <c r="P202" s="19">
        <v>1.92E-3</v>
      </c>
      <c r="Q202" s="19">
        <v>1.65E-3</v>
      </c>
      <c r="R202" s="19"/>
      <c r="S202" s="19">
        <f t="shared" si="19"/>
        <v>0</v>
      </c>
      <c r="T202" s="19">
        <f t="shared" si="20"/>
        <v>0</v>
      </c>
      <c r="U202" s="19">
        <f t="shared" si="21"/>
        <v>0</v>
      </c>
      <c r="V202" s="19">
        <f t="shared" si="22"/>
        <v>0</v>
      </c>
      <c r="W202" s="19">
        <f t="shared" si="23"/>
        <v>0</v>
      </c>
      <c r="X202" s="21">
        <f t="shared" si="24"/>
        <v>0</v>
      </c>
    </row>
    <row r="203" spans="1:24" ht="13.5" x14ac:dyDescent="0.35">
      <c r="A203" s="18">
        <v>926260</v>
      </c>
      <c r="B203" s="19" t="s">
        <v>715</v>
      </c>
      <c r="C203" s="19">
        <v>345</v>
      </c>
      <c r="D203" s="19">
        <v>102</v>
      </c>
      <c r="E203" s="19">
        <v>12</v>
      </c>
      <c r="F203" s="19">
        <v>0</v>
      </c>
      <c r="G203" s="19">
        <v>0</v>
      </c>
      <c r="H203" s="19">
        <v>0</v>
      </c>
      <c r="I203" s="20">
        <v>0</v>
      </c>
      <c r="J203" s="19">
        <f t="shared" si="17"/>
        <v>0</v>
      </c>
      <c r="K203" s="19">
        <f t="shared" si="18"/>
        <v>0</v>
      </c>
      <c r="L203" s="19">
        <v>2.8E-3</v>
      </c>
      <c r="M203" s="19">
        <v>1.9E-3</v>
      </c>
      <c r="N203" s="19">
        <v>2.1299999999999999E-3</v>
      </c>
      <c r="O203" s="19">
        <v>1.5100000000000001E-3</v>
      </c>
      <c r="P203" s="19">
        <v>1.92E-3</v>
      </c>
      <c r="Q203" s="19">
        <v>1.65E-3</v>
      </c>
      <c r="R203" s="19"/>
      <c r="S203" s="19">
        <f t="shared" si="19"/>
        <v>0</v>
      </c>
      <c r="T203" s="19">
        <f t="shared" si="20"/>
        <v>0</v>
      </c>
      <c r="U203" s="19">
        <f t="shared" si="21"/>
        <v>0</v>
      </c>
      <c r="V203" s="19">
        <f t="shared" si="22"/>
        <v>0</v>
      </c>
      <c r="W203" s="19">
        <f t="shared" si="23"/>
        <v>0</v>
      </c>
      <c r="X203" s="21">
        <f t="shared" si="24"/>
        <v>0</v>
      </c>
    </row>
    <row r="204" spans="1:24" ht="13.5" x14ac:dyDescent="0.35">
      <c r="A204" s="18">
        <v>926261</v>
      </c>
      <c r="B204" s="19" t="s">
        <v>716</v>
      </c>
      <c r="C204" s="19">
        <v>345</v>
      </c>
      <c r="D204" s="19">
        <v>102</v>
      </c>
      <c r="E204" s="19">
        <v>12</v>
      </c>
      <c r="F204" s="19">
        <v>0</v>
      </c>
      <c r="G204" s="19">
        <v>0</v>
      </c>
      <c r="H204" s="19">
        <v>0</v>
      </c>
      <c r="I204" s="20">
        <v>0</v>
      </c>
      <c r="J204" s="19">
        <f t="shared" si="17"/>
        <v>0</v>
      </c>
      <c r="K204" s="19">
        <f t="shared" si="18"/>
        <v>0</v>
      </c>
      <c r="L204" s="19">
        <v>2.8E-3</v>
      </c>
      <c r="M204" s="19">
        <v>1.9E-3</v>
      </c>
      <c r="N204" s="19">
        <v>2.1299999999999999E-3</v>
      </c>
      <c r="O204" s="19">
        <v>1.5100000000000001E-3</v>
      </c>
      <c r="P204" s="19">
        <v>1.92E-3</v>
      </c>
      <c r="Q204" s="19">
        <v>1.65E-3</v>
      </c>
      <c r="R204" s="19"/>
      <c r="S204" s="19">
        <f t="shared" si="19"/>
        <v>0</v>
      </c>
      <c r="T204" s="19">
        <f t="shared" si="20"/>
        <v>0</v>
      </c>
      <c r="U204" s="19">
        <f t="shared" si="21"/>
        <v>0</v>
      </c>
      <c r="V204" s="19">
        <f t="shared" si="22"/>
        <v>0</v>
      </c>
      <c r="W204" s="19">
        <f t="shared" si="23"/>
        <v>0</v>
      </c>
      <c r="X204" s="21">
        <f t="shared" si="24"/>
        <v>0</v>
      </c>
    </row>
    <row r="205" spans="1:24" ht="13.5" x14ac:dyDescent="0.35">
      <c r="A205" s="18">
        <v>913054</v>
      </c>
      <c r="B205" s="19" t="s">
        <v>663</v>
      </c>
      <c r="C205" s="19">
        <v>69</v>
      </c>
      <c r="D205" s="19">
        <v>101</v>
      </c>
      <c r="E205" s="19">
        <v>1100</v>
      </c>
      <c r="F205" s="19">
        <v>0</v>
      </c>
      <c r="G205" s="19">
        <v>0</v>
      </c>
      <c r="H205" s="19">
        <v>0</v>
      </c>
      <c r="I205" s="20">
        <v>0</v>
      </c>
      <c r="J205" s="19">
        <f t="shared" si="17"/>
        <v>0</v>
      </c>
      <c r="K205" s="19">
        <f t="shared" si="18"/>
        <v>0</v>
      </c>
      <c r="L205" s="19">
        <v>2.6900000000000001E-3</v>
      </c>
      <c r="M205" s="19">
        <v>1.98E-3</v>
      </c>
      <c r="N205" s="19">
        <v>1.72E-3</v>
      </c>
      <c r="O205" s="19">
        <v>2.4399999999999999E-3</v>
      </c>
      <c r="P205" s="19">
        <v>2.5999999999999999E-3</v>
      </c>
      <c r="Q205" s="19">
        <v>2.2799999999999999E-3</v>
      </c>
      <c r="R205" s="19"/>
      <c r="S205" s="19">
        <f t="shared" si="19"/>
        <v>0</v>
      </c>
      <c r="T205" s="19">
        <f t="shared" si="20"/>
        <v>0</v>
      </c>
      <c r="U205" s="19">
        <f t="shared" si="21"/>
        <v>0</v>
      </c>
      <c r="V205" s="19">
        <f t="shared" si="22"/>
        <v>0</v>
      </c>
      <c r="W205" s="19">
        <f t="shared" si="23"/>
        <v>0</v>
      </c>
      <c r="X205" s="21">
        <f t="shared" si="24"/>
        <v>0</v>
      </c>
    </row>
    <row r="206" spans="1:24" ht="13.5" x14ac:dyDescent="0.35">
      <c r="A206" s="18">
        <v>102125</v>
      </c>
      <c r="B206" s="19" t="s">
        <v>137</v>
      </c>
      <c r="C206" s="19">
        <v>12</v>
      </c>
      <c r="D206" s="19">
        <v>101</v>
      </c>
      <c r="E206" s="19">
        <v>112</v>
      </c>
      <c r="F206" s="19">
        <v>0</v>
      </c>
      <c r="G206" s="19">
        <v>0</v>
      </c>
      <c r="H206" s="19">
        <v>0</v>
      </c>
      <c r="I206" s="20">
        <v>0</v>
      </c>
      <c r="J206" s="19">
        <f t="shared" si="17"/>
        <v>0</v>
      </c>
      <c r="K206" s="19">
        <f t="shared" si="18"/>
        <v>0</v>
      </c>
      <c r="L206" s="19">
        <v>2.6700000000000001E-3</v>
      </c>
      <c r="M206" s="19">
        <v>1.7899999999999999E-3</v>
      </c>
      <c r="N206" s="19">
        <v>1.98E-3</v>
      </c>
      <c r="O206" s="19">
        <v>1.3600000000000001E-3</v>
      </c>
      <c r="P206" s="19">
        <v>1.75E-3</v>
      </c>
      <c r="Q206" s="19">
        <v>1.5E-3</v>
      </c>
      <c r="R206" s="19"/>
      <c r="S206" s="19">
        <f t="shared" si="19"/>
        <v>0</v>
      </c>
      <c r="T206" s="19">
        <f t="shared" si="20"/>
        <v>0</v>
      </c>
      <c r="U206" s="19">
        <f t="shared" si="21"/>
        <v>0</v>
      </c>
      <c r="V206" s="19">
        <f t="shared" si="22"/>
        <v>0</v>
      </c>
      <c r="W206" s="19">
        <f t="shared" si="23"/>
        <v>0</v>
      </c>
      <c r="X206" s="21">
        <f t="shared" si="24"/>
        <v>0</v>
      </c>
    </row>
    <row r="207" spans="1:24" ht="13.5" x14ac:dyDescent="0.35">
      <c r="A207" s="18">
        <v>107326</v>
      </c>
      <c r="B207" s="19" t="s">
        <v>251</v>
      </c>
      <c r="C207" s="19">
        <v>120</v>
      </c>
      <c r="D207" s="19">
        <v>101</v>
      </c>
      <c r="E207" s="19">
        <v>703</v>
      </c>
      <c r="F207" s="19">
        <v>0</v>
      </c>
      <c r="G207" s="19">
        <v>0</v>
      </c>
      <c r="H207" s="19">
        <v>0</v>
      </c>
      <c r="I207" s="20">
        <v>0</v>
      </c>
      <c r="J207" s="19">
        <f t="shared" ref="J207:J270" si="25">I207-F207</f>
        <v>0</v>
      </c>
      <c r="K207" s="19">
        <f t="shared" ref="K207:K270" si="26">H207-I207</f>
        <v>0</v>
      </c>
      <c r="L207" s="19">
        <v>2.6700000000000001E-3</v>
      </c>
      <c r="M207" s="19">
        <v>1.7899999999999999E-3</v>
      </c>
      <c r="N207" s="19">
        <v>1.98E-3</v>
      </c>
      <c r="O207" s="19">
        <v>1.3600000000000001E-3</v>
      </c>
      <c r="P207" s="19">
        <v>1.75E-3</v>
      </c>
      <c r="Q207" s="19">
        <v>1.5E-3</v>
      </c>
      <c r="R207" s="19"/>
      <c r="S207" s="19">
        <f t="shared" ref="S207:S270" si="27">L207*J207</f>
        <v>0</v>
      </c>
      <c r="T207" s="19">
        <f t="shared" ref="T207:T270" si="28">M207*J207</f>
        <v>0</v>
      </c>
      <c r="U207" s="19">
        <f t="shared" ref="U207:U270" si="29">N207*J207</f>
        <v>0</v>
      </c>
      <c r="V207" s="19">
        <f t="shared" ref="V207:V270" si="30">O207*J207</f>
        <v>0</v>
      </c>
      <c r="W207" s="19">
        <f t="shared" ref="W207:W270" si="31">P207*J207</f>
        <v>0</v>
      </c>
      <c r="X207" s="21">
        <f t="shared" ref="X207:X270" si="32">Q207*J207</f>
        <v>0</v>
      </c>
    </row>
    <row r="208" spans="1:24" ht="13.5" x14ac:dyDescent="0.35">
      <c r="A208" s="18">
        <v>108955</v>
      </c>
      <c r="B208" s="19" t="s">
        <v>267</v>
      </c>
      <c r="C208" s="19">
        <v>2.4</v>
      </c>
      <c r="D208" s="19">
        <v>101</v>
      </c>
      <c r="E208" s="19">
        <v>704</v>
      </c>
      <c r="F208" s="19">
        <v>0</v>
      </c>
      <c r="G208" s="19">
        <v>0</v>
      </c>
      <c r="H208" s="19">
        <v>0</v>
      </c>
      <c r="I208" s="20">
        <v>0</v>
      </c>
      <c r="J208" s="19">
        <f t="shared" si="25"/>
        <v>0</v>
      </c>
      <c r="K208" s="19">
        <f t="shared" si="26"/>
        <v>0</v>
      </c>
      <c r="L208" s="19">
        <v>2.6700000000000001E-3</v>
      </c>
      <c r="M208" s="19">
        <v>1.7899999999999999E-3</v>
      </c>
      <c r="N208" s="19">
        <v>1.98E-3</v>
      </c>
      <c r="O208" s="19">
        <v>1.3600000000000001E-3</v>
      </c>
      <c r="P208" s="19">
        <v>1.75E-3</v>
      </c>
      <c r="Q208" s="19">
        <v>1.5E-3</v>
      </c>
      <c r="R208" s="19"/>
      <c r="S208" s="19">
        <f t="shared" si="27"/>
        <v>0</v>
      </c>
      <c r="T208" s="19">
        <f t="shared" si="28"/>
        <v>0</v>
      </c>
      <c r="U208" s="19">
        <f t="shared" si="29"/>
        <v>0</v>
      </c>
      <c r="V208" s="19">
        <f t="shared" si="30"/>
        <v>0</v>
      </c>
      <c r="W208" s="19">
        <f t="shared" si="31"/>
        <v>0</v>
      </c>
      <c r="X208" s="21">
        <f t="shared" si="32"/>
        <v>0</v>
      </c>
    </row>
    <row r="209" spans="1:24" ht="13.5" x14ac:dyDescent="0.35">
      <c r="A209" s="18">
        <v>109049</v>
      </c>
      <c r="B209" s="19" t="s">
        <v>272</v>
      </c>
      <c r="C209" s="19">
        <v>2.2999999999999998</v>
      </c>
      <c r="D209" s="19">
        <v>101</v>
      </c>
      <c r="E209" s="19">
        <v>704</v>
      </c>
      <c r="F209" s="19">
        <v>0</v>
      </c>
      <c r="G209" s="19">
        <v>0</v>
      </c>
      <c r="H209" s="19">
        <v>0</v>
      </c>
      <c r="I209" s="20">
        <v>0</v>
      </c>
      <c r="J209" s="19">
        <f t="shared" si="25"/>
        <v>0</v>
      </c>
      <c r="K209" s="19">
        <f t="shared" si="26"/>
        <v>0</v>
      </c>
      <c r="L209" s="19">
        <v>2.6700000000000001E-3</v>
      </c>
      <c r="M209" s="19">
        <v>1.7899999999999999E-3</v>
      </c>
      <c r="N209" s="19">
        <v>1.98E-3</v>
      </c>
      <c r="O209" s="19">
        <v>1.3600000000000001E-3</v>
      </c>
      <c r="P209" s="19">
        <v>1.75E-3</v>
      </c>
      <c r="Q209" s="19">
        <v>1.5E-3</v>
      </c>
      <c r="R209" s="19"/>
      <c r="S209" s="19">
        <f t="shared" si="27"/>
        <v>0</v>
      </c>
      <c r="T209" s="19">
        <f t="shared" si="28"/>
        <v>0</v>
      </c>
      <c r="U209" s="19">
        <f t="shared" si="29"/>
        <v>0</v>
      </c>
      <c r="V209" s="19">
        <f t="shared" si="30"/>
        <v>0</v>
      </c>
      <c r="W209" s="19">
        <f t="shared" si="31"/>
        <v>0</v>
      </c>
      <c r="X209" s="21">
        <f t="shared" si="32"/>
        <v>0</v>
      </c>
    </row>
    <row r="210" spans="1:24" ht="13.5" x14ac:dyDescent="0.35">
      <c r="A210" s="18">
        <v>109077</v>
      </c>
      <c r="B210" s="19" t="s">
        <v>279</v>
      </c>
      <c r="C210" s="19">
        <v>2.2999999999999998</v>
      </c>
      <c r="D210" s="19">
        <v>101</v>
      </c>
      <c r="E210" s="19">
        <v>704</v>
      </c>
      <c r="F210" s="19">
        <v>0</v>
      </c>
      <c r="G210" s="19">
        <v>0</v>
      </c>
      <c r="H210" s="19">
        <v>0</v>
      </c>
      <c r="I210" s="20">
        <v>0</v>
      </c>
      <c r="J210" s="19">
        <f t="shared" si="25"/>
        <v>0</v>
      </c>
      <c r="K210" s="19">
        <f t="shared" si="26"/>
        <v>0</v>
      </c>
      <c r="L210" s="19">
        <v>2.6700000000000001E-3</v>
      </c>
      <c r="M210" s="19">
        <v>1.7899999999999999E-3</v>
      </c>
      <c r="N210" s="19">
        <v>1.98E-3</v>
      </c>
      <c r="O210" s="19">
        <v>1.3600000000000001E-3</v>
      </c>
      <c r="P210" s="19">
        <v>1.75E-3</v>
      </c>
      <c r="Q210" s="19">
        <v>1.5E-3</v>
      </c>
      <c r="R210" s="19"/>
      <c r="S210" s="19">
        <f t="shared" si="27"/>
        <v>0</v>
      </c>
      <c r="T210" s="19">
        <f t="shared" si="28"/>
        <v>0</v>
      </c>
      <c r="U210" s="19">
        <f t="shared" si="29"/>
        <v>0</v>
      </c>
      <c r="V210" s="19">
        <f t="shared" si="30"/>
        <v>0</v>
      </c>
      <c r="W210" s="19">
        <f t="shared" si="31"/>
        <v>0</v>
      </c>
      <c r="X210" s="21">
        <f t="shared" si="32"/>
        <v>0</v>
      </c>
    </row>
    <row r="211" spans="1:24" ht="13.5" x14ac:dyDescent="0.35">
      <c r="A211" s="18">
        <v>109092</v>
      </c>
      <c r="B211" s="19" t="s">
        <v>282</v>
      </c>
      <c r="C211" s="19">
        <v>2.4</v>
      </c>
      <c r="D211" s="19">
        <v>101</v>
      </c>
      <c r="E211" s="19">
        <v>704</v>
      </c>
      <c r="F211" s="19">
        <v>0</v>
      </c>
      <c r="G211" s="19">
        <v>0</v>
      </c>
      <c r="H211" s="19">
        <v>0</v>
      </c>
      <c r="I211" s="20">
        <v>0</v>
      </c>
      <c r="J211" s="19">
        <f t="shared" si="25"/>
        <v>0</v>
      </c>
      <c r="K211" s="19">
        <f t="shared" si="26"/>
        <v>0</v>
      </c>
      <c r="L211" s="19">
        <v>2.6700000000000001E-3</v>
      </c>
      <c r="M211" s="19">
        <v>1.7899999999999999E-3</v>
      </c>
      <c r="N211" s="19">
        <v>1.98E-3</v>
      </c>
      <c r="O211" s="19">
        <v>1.3600000000000001E-3</v>
      </c>
      <c r="P211" s="19">
        <v>1.75E-3</v>
      </c>
      <c r="Q211" s="19">
        <v>1.5E-3</v>
      </c>
      <c r="R211" s="19"/>
      <c r="S211" s="19">
        <f t="shared" si="27"/>
        <v>0</v>
      </c>
      <c r="T211" s="19">
        <f t="shared" si="28"/>
        <v>0</v>
      </c>
      <c r="U211" s="19">
        <f t="shared" si="29"/>
        <v>0</v>
      </c>
      <c r="V211" s="19">
        <f t="shared" si="30"/>
        <v>0</v>
      </c>
      <c r="W211" s="19">
        <f t="shared" si="31"/>
        <v>0</v>
      </c>
      <c r="X211" s="21">
        <f t="shared" si="32"/>
        <v>0</v>
      </c>
    </row>
    <row r="212" spans="1:24" ht="13.5" x14ac:dyDescent="0.35">
      <c r="A212" s="18">
        <v>109101</v>
      </c>
      <c r="B212" s="19" t="s">
        <v>283</v>
      </c>
      <c r="C212" s="19">
        <v>7.2</v>
      </c>
      <c r="D212" s="19">
        <v>101</v>
      </c>
      <c r="E212" s="19">
        <v>704</v>
      </c>
      <c r="F212" s="19">
        <v>0</v>
      </c>
      <c r="G212" s="19">
        <v>0</v>
      </c>
      <c r="H212" s="19">
        <v>0</v>
      </c>
      <c r="I212" s="20">
        <v>0</v>
      </c>
      <c r="J212" s="19">
        <f t="shared" si="25"/>
        <v>0</v>
      </c>
      <c r="K212" s="19">
        <f t="shared" si="26"/>
        <v>0</v>
      </c>
      <c r="L212" s="19">
        <v>2.6700000000000001E-3</v>
      </c>
      <c r="M212" s="19">
        <v>1.7899999999999999E-3</v>
      </c>
      <c r="N212" s="19">
        <v>1.98E-3</v>
      </c>
      <c r="O212" s="19">
        <v>1.3600000000000001E-3</v>
      </c>
      <c r="P212" s="19">
        <v>1.75E-3</v>
      </c>
      <c r="Q212" s="19">
        <v>1.5E-3</v>
      </c>
      <c r="R212" s="19"/>
      <c r="S212" s="19">
        <f t="shared" si="27"/>
        <v>0</v>
      </c>
      <c r="T212" s="19">
        <f t="shared" si="28"/>
        <v>0</v>
      </c>
      <c r="U212" s="19">
        <f t="shared" si="29"/>
        <v>0</v>
      </c>
      <c r="V212" s="19">
        <f t="shared" si="30"/>
        <v>0</v>
      </c>
      <c r="W212" s="19">
        <f t="shared" si="31"/>
        <v>0</v>
      </c>
      <c r="X212" s="21">
        <f t="shared" si="32"/>
        <v>0</v>
      </c>
    </row>
    <row r="213" spans="1:24" ht="13.5" x14ac:dyDescent="0.35">
      <c r="A213" s="18">
        <v>109105</v>
      </c>
      <c r="B213" s="19" t="s">
        <v>287</v>
      </c>
      <c r="C213" s="19">
        <v>6.44</v>
      </c>
      <c r="D213" s="19">
        <v>101</v>
      </c>
      <c r="E213" s="19">
        <v>704</v>
      </c>
      <c r="F213" s="19">
        <v>0</v>
      </c>
      <c r="G213" s="19">
        <v>0</v>
      </c>
      <c r="H213" s="19">
        <v>0</v>
      </c>
      <c r="I213" s="20">
        <v>0</v>
      </c>
      <c r="J213" s="19">
        <f t="shared" si="25"/>
        <v>0</v>
      </c>
      <c r="K213" s="19">
        <f t="shared" si="26"/>
        <v>0</v>
      </c>
      <c r="L213" s="19">
        <v>2.6700000000000001E-3</v>
      </c>
      <c r="M213" s="19">
        <v>1.7899999999999999E-3</v>
      </c>
      <c r="N213" s="19">
        <v>1.98E-3</v>
      </c>
      <c r="O213" s="19">
        <v>1.3600000000000001E-3</v>
      </c>
      <c r="P213" s="19">
        <v>1.75E-3</v>
      </c>
      <c r="Q213" s="19">
        <v>1.5E-3</v>
      </c>
      <c r="R213" s="19"/>
      <c r="S213" s="19">
        <f t="shared" si="27"/>
        <v>0</v>
      </c>
      <c r="T213" s="19">
        <f t="shared" si="28"/>
        <v>0</v>
      </c>
      <c r="U213" s="19">
        <f t="shared" si="29"/>
        <v>0</v>
      </c>
      <c r="V213" s="19">
        <f t="shared" si="30"/>
        <v>0</v>
      </c>
      <c r="W213" s="19">
        <f t="shared" si="31"/>
        <v>0</v>
      </c>
      <c r="X213" s="21">
        <f t="shared" si="32"/>
        <v>0</v>
      </c>
    </row>
    <row r="214" spans="1:24" ht="13.5" x14ac:dyDescent="0.35">
      <c r="A214" s="18">
        <v>109130</v>
      </c>
      <c r="B214" s="19" t="s">
        <v>290</v>
      </c>
      <c r="C214" s="19">
        <v>4.16</v>
      </c>
      <c r="D214" s="19">
        <v>101</v>
      </c>
      <c r="E214" s="19">
        <v>704</v>
      </c>
      <c r="F214" s="19">
        <v>0</v>
      </c>
      <c r="G214" s="19">
        <v>0</v>
      </c>
      <c r="H214" s="19">
        <v>0</v>
      </c>
      <c r="I214" s="20">
        <v>0</v>
      </c>
      <c r="J214" s="19">
        <f t="shared" si="25"/>
        <v>0</v>
      </c>
      <c r="K214" s="19">
        <f t="shared" si="26"/>
        <v>0</v>
      </c>
      <c r="L214" s="19">
        <v>2.6700000000000001E-3</v>
      </c>
      <c r="M214" s="19">
        <v>1.7899999999999999E-3</v>
      </c>
      <c r="N214" s="19">
        <v>1.98E-3</v>
      </c>
      <c r="O214" s="19">
        <v>1.3600000000000001E-3</v>
      </c>
      <c r="P214" s="19">
        <v>1.75E-3</v>
      </c>
      <c r="Q214" s="19">
        <v>1.5E-3</v>
      </c>
      <c r="R214" s="19"/>
      <c r="S214" s="19">
        <f t="shared" si="27"/>
        <v>0</v>
      </c>
      <c r="T214" s="19">
        <f t="shared" si="28"/>
        <v>0</v>
      </c>
      <c r="U214" s="19">
        <f t="shared" si="29"/>
        <v>0</v>
      </c>
      <c r="V214" s="19">
        <f t="shared" si="30"/>
        <v>0</v>
      </c>
      <c r="W214" s="19">
        <f t="shared" si="31"/>
        <v>0</v>
      </c>
      <c r="X214" s="21">
        <f t="shared" si="32"/>
        <v>0</v>
      </c>
    </row>
    <row r="215" spans="1:24" ht="13.5" x14ac:dyDescent="0.35">
      <c r="A215" s="18">
        <v>109139</v>
      </c>
      <c r="B215" s="19" t="s">
        <v>292</v>
      </c>
      <c r="C215" s="19">
        <v>4.16</v>
      </c>
      <c r="D215" s="19">
        <v>101</v>
      </c>
      <c r="E215" s="19">
        <v>704</v>
      </c>
      <c r="F215" s="19">
        <v>0</v>
      </c>
      <c r="G215" s="19">
        <v>0</v>
      </c>
      <c r="H215" s="19">
        <v>0</v>
      </c>
      <c r="I215" s="20">
        <v>0</v>
      </c>
      <c r="J215" s="19">
        <f t="shared" si="25"/>
        <v>0</v>
      </c>
      <c r="K215" s="19">
        <f t="shared" si="26"/>
        <v>0</v>
      </c>
      <c r="L215" s="19">
        <v>2.6700000000000001E-3</v>
      </c>
      <c r="M215" s="19">
        <v>1.7899999999999999E-3</v>
      </c>
      <c r="N215" s="19">
        <v>1.98E-3</v>
      </c>
      <c r="O215" s="19">
        <v>1.3600000000000001E-3</v>
      </c>
      <c r="P215" s="19">
        <v>1.75E-3</v>
      </c>
      <c r="Q215" s="19">
        <v>1.5E-3</v>
      </c>
      <c r="R215" s="19"/>
      <c r="S215" s="19">
        <f t="shared" si="27"/>
        <v>0</v>
      </c>
      <c r="T215" s="19">
        <f t="shared" si="28"/>
        <v>0</v>
      </c>
      <c r="U215" s="19">
        <f t="shared" si="29"/>
        <v>0</v>
      </c>
      <c r="V215" s="19">
        <f t="shared" si="30"/>
        <v>0</v>
      </c>
      <c r="W215" s="19">
        <f t="shared" si="31"/>
        <v>0</v>
      </c>
      <c r="X215" s="21">
        <f t="shared" si="32"/>
        <v>0</v>
      </c>
    </row>
    <row r="216" spans="1:24" ht="13.5" x14ac:dyDescent="0.35">
      <c r="A216" s="18">
        <v>109143</v>
      </c>
      <c r="B216" s="19" t="s">
        <v>295</v>
      </c>
      <c r="C216" s="19">
        <v>12.5</v>
      </c>
      <c r="D216" s="19">
        <v>101</v>
      </c>
      <c r="E216" s="19">
        <v>704</v>
      </c>
      <c r="F216" s="19">
        <v>0</v>
      </c>
      <c r="G216" s="19">
        <v>0</v>
      </c>
      <c r="H216" s="19">
        <v>0</v>
      </c>
      <c r="I216" s="20">
        <v>0</v>
      </c>
      <c r="J216" s="19">
        <f t="shared" si="25"/>
        <v>0</v>
      </c>
      <c r="K216" s="19">
        <f t="shared" si="26"/>
        <v>0</v>
      </c>
      <c r="L216" s="19">
        <v>2.6700000000000001E-3</v>
      </c>
      <c r="M216" s="19">
        <v>1.7899999999999999E-3</v>
      </c>
      <c r="N216" s="19">
        <v>1.98E-3</v>
      </c>
      <c r="O216" s="19">
        <v>1.3600000000000001E-3</v>
      </c>
      <c r="P216" s="19">
        <v>1.75E-3</v>
      </c>
      <c r="Q216" s="19">
        <v>1.5E-3</v>
      </c>
      <c r="R216" s="19"/>
      <c r="S216" s="19">
        <f t="shared" si="27"/>
        <v>0</v>
      </c>
      <c r="T216" s="19">
        <f t="shared" si="28"/>
        <v>0</v>
      </c>
      <c r="U216" s="19">
        <f t="shared" si="29"/>
        <v>0</v>
      </c>
      <c r="V216" s="19">
        <f t="shared" si="30"/>
        <v>0</v>
      </c>
      <c r="W216" s="19">
        <f t="shared" si="31"/>
        <v>0</v>
      </c>
      <c r="X216" s="21">
        <f t="shared" si="32"/>
        <v>0</v>
      </c>
    </row>
    <row r="217" spans="1:24" ht="13.5" x14ac:dyDescent="0.35">
      <c r="A217" s="18">
        <v>109190</v>
      </c>
      <c r="B217" s="19" t="s">
        <v>299</v>
      </c>
      <c r="C217" s="19">
        <v>13.8</v>
      </c>
      <c r="D217" s="19">
        <v>101</v>
      </c>
      <c r="E217" s="19">
        <v>703</v>
      </c>
      <c r="F217" s="19">
        <v>0</v>
      </c>
      <c r="G217" s="19">
        <v>0</v>
      </c>
      <c r="H217" s="19">
        <v>0</v>
      </c>
      <c r="I217" s="20">
        <v>0</v>
      </c>
      <c r="J217" s="19">
        <f t="shared" si="25"/>
        <v>0</v>
      </c>
      <c r="K217" s="19">
        <f t="shared" si="26"/>
        <v>0</v>
      </c>
      <c r="L217" s="19">
        <v>2.6700000000000001E-3</v>
      </c>
      <c r="M217" s="19">
        <v>1.7899999999999999E-3</v>
      </c>
      <c r="N217" s="19">
        <v>1.98E-3</v>
      </c>
      <c r="O217" s="19">
        <v>1.3600000000000001E-3</v>
      </c>
      <c r="P217" s="19">
        <v>1.75E-3</v>
      </c>
      <c r="Q217" s="19">
        <v>1.5E-3</v>
      </c>
      <c r="R217" s="19"/>
      <c r="S217" s="19">
        <f t="shared" si="27"/>
        <v>0</v>
      </c>
      <c r="T217" s="19">
        <f t="shared" si="28"/>
        <v>0</v>
      </c>
      <c r="U217" s="19">
        <f t="shared" si="29"/>
        <v>0</v>
      </c>
      <c r="V217" s="19">
        <f t="shared" si="30"/>
        <v>0</v>
      </c>
      <c r="W217" s="19">
        <f t="shared" si="31"/>
        <v>0</v>
      </c>
      <c r="X217" s="21">
        <f t="shared" si="32"/>
        <v>0</v>
      </c>
    </row>
    <row r="218" spans="1:24" ht="13.5" x14ac:dyDescent="0.35">
      <c r="A218" s="18">
        <v>109200</v>
      </c>
      <c r="B218" s="19" t="s">
        <v>300</v>
      </c>
      <c r="C218" s="19">
        <v>13.8</v>
      </c>
      <c r="D218" s="19">
        <v>101</v>
      </c>
      <c r="E218" s="19">
        <v>703</v>
      </c>
      <c r="F218" s="19">
        <v>0</v>
      </c>
      <c r="G218" s="19">
        <v>0</v>
      </c>
      <c r="H218" s="19">
        <v>0</v>
      </c>
      <c r="I218" s="20">
        <v>0</v>
      </c>
      <c r="J218" s="19">
        <f t="shared" si="25"/>
        <v>0</v>
      </c>
      <c r="K218" s="19">
        <f t="shared" si="26"/>
        <v>0</v>
      </c>
      <c r="L218" s="19">
        <v>2.6700000000000001E-3</v>
      </c>
      <c r="M218" s="19">
        <v>1.7899999999999999E-3</v>
      </c>
      <c r="N218" s="19">
        <v>1.98E-3</v>
      </c>
      <c r="O218" s="19">
        <v>1.3600000000000001E-3</v>
      </c>
      <c r="P218" s="19">
        <v>1.75E-3</v>
      </c>
      <c r="Q218" s="19">
        <v>1.5E-3</v>
      </c>
      <c r="R218" s="19"/>
      <c r="S218" s="19">
        <f t="shared" si="27"/>
        <v>0</v>
      </c>
      <c r="T218" s="19">
        <f t="shared" si="28"/>
        <v>0</v>
      </c>
      <c r="U218" s="19">
        <f t="shared" si="29"/>
        <v>0</v>
      </c>
      <c r="V218" s="19">
        <f t="shared" si="30"/>
        <v>0</v>
      </c>
      <c r="W218" s="19">
        <f t="shared" si="31"/>
        <v>0</v>
      </c>
      <c r="X218" s="21">
        <f t="shared" si="32"/>
        <v>0</v>
      </c>
    </row>
    <row r="219" spans="1:24" ht="13.5" x14ac:dyDescent="0.35">
      <c r="A219" s="18">
        <v>109251</v>
      </c>
      <c r="B219" s="19" t="s">
        <v>307</v>
      </c>
      <c r="C219" s="19">
        <v>2.4</v>
      </c>
      <c r="D219" s="19">
        <v>101</v>
      </c>
      <c r="E219" s="19">
        <v>704</v>
      </c>
      <c r="F219" s="19">
        <v>0</v>
      </c>
      <c r="G219" s="19">
        <v>0</v>
      </c>
      <c r="H219" s="19">
        <v>0</v>
      </c>
      <c r="I219" s="20">
        <v>0</v>
      </c>
      <c r="J219" s="19">
        <f t="shared" si="25"/>
        <v>0</v>
      </c>
      <c r="K219" s="19">
        <f t="shared" si="26"/>
        <v>0</v>
      </c>
      <c r="L219" s="19">
        <v>2.6700000000000001E-3</v>
      </c>
      <c r="M219" s="19">
        <v>1.7899999999999999E-3</v>
      </c>
      <c r="N219" s="19">
        <v>1.98E-3</v>
      </c>
      <c r="O219" s="19">
        <v>1.3600000000000001E-3</v>
      </c>
      <c r="P219" s="19">
        <v>1.75E-3</v>
      </c>
      <c r="Q219" s="19">
        <v>1.5E-3</v>
      </c>
      <c r="R219" s="19"/>
      <c r="S219" s="19">
        <f t="shared" si="27"/>
        <v>0</v>
      </c>
      <c r="T219" s="19">
        <f t="shared" si="28"/>
        <v>0</v>
      </c>
      <c r="U219" s="19">
        <f t="shared" si="29"/>
        <v>0</v>
      </c>
      <c r="V219" s="19">
        <f t="shared" si="30"/>
        <v>0</v>
      </c>
      <c r="W219" s="19">
        <f t="shared" si="31"/>
        <v>0</v>
      </c>
      <c r="X219" s="21">
        <f t="shared" si="32"/>
        <v>0</v>
      </c>
    </row>
    <row r="220" spans="1:24" ht="13.5" x14ac:dyDescent="0.35">
      <c r="A220" s="18">
        <v>111110</v>
      </c>
      <c r="B220" s="19" t="s">
        <v>348</v>
      </c>
      <c r="C220" s="19">
        <v>13.8</v>
      </c>
      <c r="D220" s="19">
        <v>101</v>
      </c>
      <c r="E220" s="19">
        <v>1012</v>
      </c>
      <c r="F220" s="19">
        <v>0</v>
      </c>
      <c r="G220" s="19">
        <v>0</v>
      </c>
      <c r="H220" s="19">
        <v>0</v>
      </c>
      <c r="I220" s="20">
        <v>0</v>
      </c>
      <c r="J220" s="19">
        <f t="shared" si="25"/>
        <v>0</v>
      </c>
      <c r="K220" s="19">
        <f t="shared" si="26"/>
        <v>0</v>
      </c>
      <c r="L220" s="19">
        <v>2.6700000000000001E-3</v>
      </c>
      <c r="M220" s="19">
        <v>1.7899999999999999E-3</v>
      </c>
      <c r="N220" s="19">
        <v>1.98E-3</v>
      </c>
      <c r="O220" s="19">
        <v>1.3600000000000001E-3</v>
      </c>
      <c r="P220" s="19">
        <v>1.75E-3</v>
      </c>
      <c r="Q220" s="19">
        <v>1.5E-3</v>
      </c>
      <c r="R220" s="19"/>
      <c r="S220" s="19">
        <f t="shared" si="27"/>
        <v>0</v>
      </c>
      <c r="T220" s="19">
        <f t="shared" si="28"/>
        <v>0</v>
      </c>
      <c r="U220" s="19">
        <f t="shared" si="29"/>
        <v>0</v>
      </c>
      <c r="V220" s="19">
        <f t="shared" si="30"/>
        <v>0</v>
      </c>
      <c r="W220" s="19">
        <f t="shared" si="31"/>
        <v>0</v>
      </c>
      <c r="X220" s="21">
        <f t="shared" si="32"/>
        <v>0</v>
      </c>
    </row>
    <row r="221" spans="1:24" ht="13.5" x14ac:dyDescent="0.35">
      <c r="A221" s="18">
        <v>114050</v>
      </c>
      <c r="B221" s="19" t="s">
        <v>420</v>
      </c>
      <c r="C221" s="19">
        <v>23</v>
      </c>
      <c r="D221" s="19">
        <v>101</v>
      </c>
      <c r="E221" s="19">
        <v>1120</v>
      </c>
      <c r="F221" s="19">
        <v>0</v>
      </c>
      <c r="G221" s="19">
        <v>0</v>
      </c>
      <c r="H221" s="19">
        <v>0</v>
      </c>
      <c r="I221" s="20">
        <v>0</v>
      </c>
      <c r="J221" s="19">
        <f t="shared" si="25"/>
        <v>0</v>
      </c>
      <c r="K221" s="19">
        <f t="shared" si="26"/>
        <v>0</v>
      </c>
      <c r="L221" s="19">
        <v>2.6700000000000001E-3</v>
      </c>
      <c r="M221" s="19">
        <v>1.7899999999999999E-3</v>
      </c>
      <c r="N221" s="19">
        <v>1.98E-3</v>
      </c>
      <c r="O221" s="19">
        <v>1.3600000000000001E-3</v>
      </c>
      <c r="P221" s="19">
        <v>1.75E-3</v>
      </c>
      <c r="Q221" s="19">
        <v>1.5E-3</v>
      </c>
      <c r="R221" s="19"/>
      <c r="S221" s="19">
        <f t="shared" si="27"/>
        <v>0</v>
      </c>
      <c r="T221" s="19">
        <f t="shared" si="28"/>
        <v>0</v>
      </c>
      <c r="U221" s="19">
        <f t="shared" si="29"/>
        <v>0</v>
      </c>
      <c r="V221" s="19">
        <f t="shared" si="30"/>
        <v>0</v>
      </c>
      <c r="W221" s="19">
        <f t="shared" si="31"/>
        <v>0</v>
      </c>
      <c r="X221" s="21">
        <f t="shared" si="32"/>
        <v>0</v>
      </c>
    </row>
    <row r="222" spans="1:24" ht="13.5" x14ac:dyDescent="0.35">
      <c r="A222" s="18">
        <v>116569</v>
      </c>
      <c r="B222" s="19" t="s">
        <v>469</v>
      </c>
      <c r="C222" s="19">
        <v>13.8</v>
      </c>
      <c r="D222" s="19">
        <v>101</v>
      </c>
      <c r="E222" s="19">
        <v>1372</v>
      </c>
      <c r="F222" s="19">
        <v>0</v>
      </c>
      <c r="G222" s="19">
        <v>0</v>
      </c>
      <c r="H222" s="19">
        <v>0</v>
      </c>
      <c r="I222" s="20">
        <v>0</v>
      </c>
      <c r="J222" s="19">
        <f t="shared" si="25"/>
        <v>0</v>
      </c>
      <c r="K222" s="19">
        <f t="shared" si="26"/>
        <v>0</v>
      </c>
      <c r="L222" s="19">
        <v>2.6700000000000001E-3</v>
      </c>
      <c r="M222" s="19">
        <v>1.7899999999999999E-3</v>
      </c>
      <c r="N222" s="19">
        <v>1.98E-3</v>
      </c>
      <c r="O222" s="19">
        <v>1.3600000000000001E-3</v>
      </c>
      <c r="P222" s="19">
        <v>1.75E-3</v>
      </c>
      <c r="Q222" s="19">
        <v>1.5E-3</v>
      </c>
      <c r="R222" s="19"/>
      <c r="S222" s="19">
        <f t="shared" si="27"/>
        <v>0</v>
      </c>
      <c r="T222" s="19">
        <f t="shared" si="28"/>
        <v>0</v>
      </c>
      <c r="U222" s="19">
        <f t="shared" si="29"/>
        <v>0</v>
      </c>
      <c r="V222" s="19">
        <f t="shared" si="30"/>
        <v>0</v>
      </c>
      <c r="W222" s="19">
        <f t="shared" si="31"/>
        <v>0</v>
      </c>
      <c r="X222" s="21">
        <f t="shared" si="32"/>
        <v>0</v>
      </c>
    </row>
    <row r="223" spans="1:24" ht="13.5" x14ac:dyDescent="0.35">
      <c r="A223" s="18">
        <v>121744</v>
      </c>
      <c r="B223" s="19" t="s">
        <v>528</v>
      </c>
      <c r="C223" s="19">
        <v>13.8</v>
      </c>
      <c r="D223" s="19">
        <v>101</v>
      </c>
      <c r="E223" s="19">
        <v>1634</v>
      </c>
      <c r="F223" s="19">
        <v>0</v>
      </c>
      <c r="G223" s="19">
        <v>0</v>
      </c>
      <c r="H223" s="19">
        <v>0</v>
      </c>
      <c r="I223" s="20">
        <v>0</v>
      </c>
      <c r="J223" s="19">
        <f t="shared" si="25"/>
        <v>0</v>
      </c>
      <c r="K223" s="19">
        <f t="shared" si="26"/>
        <v>0</v>
      </c>
      <c r="L223" s="19">
        <v>2.6700000000000001E-3</v>
      </c>
      <c r="M223" s="19">
        <v>1.7899999999999999E-3</v>
      </c>
      <c r="N223" s="19">
        <v>1.98E-3</v>
      </c>
      <c r="O223" s="19">
        <v>1.3600000000000001E-3</v>
      </c>
      <c r="P223" s="19">
        <v>1.75E-3</v>
      </c>
      <c r="Q223" s="19">
        <v>1.5E-3</v>
      </c>
      <c r="R223" s="19"/>
      <c r="S223" s="19">
        <f t="shared" si="27"/>
        <v>0</v>
      </c>
      <c r="T223" s="19">
        <f t="shared" si="28"/>
        <v>0</v>
      </c>
      <c r="U223" s="19">
        <f t="shared" si="29"/>
        <v>0</v>
      </c>
      <c r="V223" s="19">
        <f t="shared" si="30"/>
        <v>0</v>
      </c>
      <c r="W223" s="19">
        <f t="shared" si="31"/>
        <v>0</v>
      </c>
      <c r="X223" s="21">
        <f t="shared" si="32"/>
        <v>0</v>
      </c>
    </row>
    <row r="224" spans="1:24" ht="13.5" x14ac:dyDescent="0.35">
      <c r="A224" s="18">
        <v>113138</v>
      </c>
      <c r="B224" s="19" t="s">
        <v>396</v>
      </c>
      <c r="C224" s="19">
        <v>0.38</v>
      </c>
      <c r="D224" s="19">
        <v>101</v>
      </c>
      <c r="E224" s="19">
        <v>1100</v>
      </c>
      <c r="F224" s="19">
        <v>0</v>
      </c>
      <c r="G224" s="19">
        <v>0</v>
      </c>
      <c r="H224" s="19">
        <v>0</v>
      </c>
      <c r="I224" s="20">
        <v>0</v>
      </c>
      <c r="J224" s="19">
        <f t="shared" si="25"/>
        <v>0</v>
      </c>
      <c r="K224" s="19">
        <f t="shared" si="26"/>
        <v>0</v>
      </c>
      <c r="L224" s="19">
        <v>2.64E-3</v>
      </c>
      <c r="M224" s="19">
        <v>1.9300000000000001E-3</v>
      </c>
      <c r="N224" s="19">
        <v>1.67E-3</v>
      </c>
      <c r="O224" s="19">
        <v>2.33E-3</v>
      </c>
      <c r="P224" s="19">
        <v>2.49E-3</v>
      </c>
      <c r="Q224" s="19">
        <v>2.1800000000000001E-3</v>
      </c>
      <c r="R224" s="19"/>
      <c r="S224" s="19">
        <f t="shared" si="27"/>
        <v>0</v>
      </c>
      <c r="T224" s="19">
        <f t="shared" si="28"/>
        <v>0</v>
      </c>
      <c r="U224" s="19">
        <f t="shared" si="29"/>
        <v>0</v>
      </c>
      <c r="V224" s="19">
        <f t="shared" si="30"/>
        <v>0</v>
      </c>
      <c r="W224" s="19">
        <f t="shared" si="31"/>
        <v>0</v>
      </c>
      <c r="X224" s="21">
        <f t="shared" si="32"/>
        <v>0</v>
      </c>
    </row>
    <row r="225" spans="1:24" ht="13.5" x14ac:dyDescent="0.35">
      <c r="A225" s="18">
        <v>113139</v>
      </c>
      <c r="B225" s="19" t="s">
        <v>397</v>
      </c>
      <c r="C225" s="19">
        <v>0.38</v>
      </c>
      <c r="D225" s="19">
        <v>101</v>
      </c>
      <c r="E225" s="19">
        <v>1100</v>
      </c>
      <c r="F225" s="19">
        <v>0</v>
      </c>
      <c r="G225" s="19">
        <v>0</v>
      </c>
      <c r="H225" s="19">
        <v>0</v>
      </c>
      <c r="I225" s="20">
        <v>0</v>
      </c>
      <c r="J225" s="19">
        <f t="shared" si="25"/>
        <v>0</v>
      </c>
      <c r="K225" s="19">
        <f t="shared" si="26"/>
        <v>0</v>
      </c>
      <c r="L225" s="19">
        <v>2.64E-3</v>
      </c>
      <c r="M225" s="19">
        <v>1.9300000000000001E-3</v>
      </c>
      <c r="N225" s="19">
        <v>1.67E-3</v>
      </c>
      <c r="O225" s="19">
        <v>2.33E-3</v>
      </c>
      <c r="P225" s="19">
        <v>2.49E-3</v>
      </c>
      <c r="Q225" s="19">
        <v>2.1800000000000001E-3</v>
      </c>
      <c r="R225" s="19"/>
      <c r="S225" s="19">
        <f t="shared" si="27"/>
        <v>0</v>
      </c>
      <c r="T225" s="19">
        <f t="shared" si="28"/>
        <v>0</v>
      </c>
      <c r="U225" s="19">
        <f t="shared" si="29"/>
        <v>0</v>
      </c>
      <c r="V225" s="19">
        <f t="shared" si="30"/>
        <v>0</v>
      </c>
      <c r="W225" s="19">
        <f t="shared" si="31"/>
        <v>0</v>
      </c>
      <c r="X225" s="21">
        <f t="shared" si="32"/>
        <v>0</v>
      </c>
    </row>
    <row r="226" spans="1:24" ht="13.5" x14ac:dyDescent="0.35">
      <c r="A226" s="18">
        <v>113011</v>
      </c>
      <c r="B226" s="19" t="s">
        <v>377</v>
      </c>
      <c r="C226" s="19">
        <v>115</v>
      </c>
      <c r="D226" s="19">
        <v>101</v>
      </c>
      <c r="E226" s="19">
        <v>1100</v>
      </c>
      <c r="F226" s="19">
        <v>0</v>
      </c>
      <c r="G226" s="19">
        <v>0</v>
      </c>
      <c r="H226" s="19">
        <v>0</v>
      </c>
      <c r="I226" s="20">
        <v>0</v>
      </c>
      <c r="J226" s="19">
        <f t="shared" si="25"/>
        <v>0</v>
      </c>
      <c r="K226" s="19">
        <f t="shared" si="26"/>
        <v>0</v>
      </c>
      <c r="L226" s="19">
        <v>2.5699999999999998E-3</v>
      </c>
      <c r="M226" s="19">
        <v>1.8500000000000001E-3</v>
      </c>
      <c r="N226" s="19">
        <v>1.65E-3</v>
      </c>
      <c r="O226" s="19">
        <v>2.1199999999999999E-3</v>
      </c>
      <c r="P226" s="19">
        <v>2.2799999999999999E-3</v>
      </c>
      <c r="Q226" s="19">
        <v>2.0100000000000001E-3</v>
      </c>
      <c r="R226" s="19"/>
      <c r="S226" s="19">
        <f t="shared" si="27"/>
        <v>0</v>
      </c>
      <c r="T226" s="19">
        <f t="shared" si="28"/>
        <v>0</v>
      </c>
      <c r="U226" s="19">
        <f t="shared" si="29"/>
        <v>0</v>
      </c>
      <c r="V226" s="19">
        <f t="shared" si="30"/>
        <v>0</v>
      </c>
      <c r="W226" s="19">
        <f t="shared" si="31"/>
        <v>0</v>
      </c>
      <c r="X226" s="21">
        <f t="shared" si="32"/>
        <v>0</v>
      </c>
    </row>
    <row r="227" spans="1:24" ht="13.5" x14ac:dyDescent="0.35">
      <c r="A227" s="18">
        <v>911531</v>
      </c>
      <c r="B227" s="19" t="s">
        <v>644</v>
      </c>
      <c r="C227" s="19">
        <v>345</v>
      </c>
      <c r="D227" s="19">
        <v>102</v>
      </c>
      <c r="E227" s="19">
        <v>12</v>
      </c>
      <c r="F227" s="19">
        <v>120.67</v>
      </c>
      <c r="G227" s="19">
        <v>0</v>
      </c>
      <c r="H227" s="19">
        <v>466.67</v>
      </c>
      <c r="I227" s="20">
        <v>120.67</v>
      </c>
      <c r="J227" s="19">
        <f t="shared" si="25"/>
        <v>0</v>
      </c>
      <c r="K227" s="19">
        <f t="shared" si="26"/>
        <v>346</v>
      </c>
      <c r="L227" s="19">
        <v>2.5500000000000002E-3</v>
      </c>
      <c r="M227" s="19">
        <v>1.6900000000000001E-3</v>
      </c>
      <c r="N227" s="19">
        <v>1.8400000000000001E-3</v>
      </c>
      <c r="O227" s="19">
        <v>1.23E-3</v>
      </c>
      <c r="P227" s="19">
        <v>1.6100000000000001E-3</v>
      </c>
      <c r="Q227" s="19">
        <v>1.3600000000000001E-3</v>
      </c>
      <c r="R227" s="19"/>
      <c r="S227" s="19">
        <f t="shared" si="27"/>
        <v>0</v>
      </c>
      <c r="T227" s="19">
        <f t="shared" si="28"/>
        <v>0</v>
      </c>
      <c r="U227" s="19">
        <f t="shared" si="29"/>
        <v>0</v>
      </c>
      <c r="V227" s="19">
        <f t="shared" si="30"/>
        <v>0</v>
      </c>
      <c r="W227" s="19">
        <f t="shared" si="31"/>
        <v>0</v>
      </c>
      <c r="X227" s="21">
        <f t="shared" si="32"/>
        <v>0</v>
      </c>
    </row>
    <row r="228" spans="1:24" ht="13.5" x14ac:dyDescent="0.35">
      <c r="A228" s="18">
        <v>113429</v>
      </c>
      <c r="B228" s="19" t="s">
        <v>407</v>
      </c>
      <c r="C228" s="19">
        <v>0.48</v>
      </c>
      <c r="D228" s="19">
        <v>101</v>
      </c>
      <c r="E228" s="19">
        <v>1110</v>
      </c>
      <c r="F228" s="19">
        <v>0</v>
      </c>
      <c r="G228" s="19">
        <v>0</v>
      </c>
      <c r="H228" s="19">
        <v>0</v>
      </c>
      <c r="I228" s="20">
        <v>0</v>
      </c>
      <c r="J228" s="19">
        <f t="shared" si="25"/>
        <v>0</v>
      </c>
      <c r="K228" s="19">
        <f t="shared" si="26"/>
        <v>0</v>
      </c>
      <c r="L228" s="19">
        <v>2.5100000000000001E-3</v>
      </c>
      <c r="M228" s="19">
        <v>1.75E-3</v>
      </c>
      <c r="N228" s="19">
        <v>1.4E-3</v>
      </c>
      <c r="O228" s="19">
        <v>1.7899999999999999E-3</v>
      </c>
      <c r="P228" s="19">
        <v>1.9499999999999999E-3</v>
      </c>
      <c r="Q228" s="19">
        <v>1.6800000000000001E-3</v>
      </c>
      <c r="R228" s="19"/>
      <c r="S228" s="19">
        <f t="shared" si="27"/>
        <v>0</v>
      </c>
      <c r="T228" s="19">
        <f t="shared" si="28"/>
        <v>0</v>
      </c>
      <c r="U228" s="19">
        <f t="shared" si="29"/>
        <v>0</v>
      </c>
      <c r="V228" s="19">
        <f t="shared" si="30"/>
        <v>0</v>
      </c>
      <c r="W228" s="19">
        <f t="shared" si="31"/>
        <v>0</v>
      </c>
      <c r="X228" s="21">
        <f t="shared" si="32"/>
        <v>0</v>
      </c>
    </row>
    <row r="229" spans="1:24" ht="13.5" x14ac:dyDescent="0.35">
      <c r="A229" s="18">
        <v>113431</v>
      </c>
      <c r="B229" s="19" t="s">
        <v>408</v>
      </c>
      <c r="C229" s="19">
        <v>0.48</v>
      </c>
      <c r="D229" s="19">
        <v>101</v>
      </c>
      <c r="E229" s="19">
        <v>1110</v>
      </c>
      <c r="F229" s="19">
        <v>0</v>
      </c>
      <c r="G229" s="19">
        <v>0</v>
      </c>
      <c r="H229" s="19">
        <v>0</v>
      </c>
      <c r="I229" s="20">
        <v>0</v>
      </c>
      <c r="J229" s="19">
        <f t="shared" si="25"/>
        <v>0</v>
      </c>
      <c r="K229" s="19">
        <f t="shared" si="26"/>
        <v>0</v>
      </c>
      <c r="L229" s="19">
        <v>2.5100000000000001E-3</v>
      </c>
      <c r="M229" s="19">
        <v>1.75E-3</v>
      </c>
      <c r="N229" s="19">
        <v>1.4E-3</v>
      </c>
      <c r="O229" s="19">
        <v>1.7899999999999999E-3</v>
      </c>
      <c r="P229" s="19">
        <v>1.9499999999999999E-3</v>
      </c>
      <c r="Q229" s="19">
        <v>1.6800000000000001E-3</v>
      </c>
      <c r="R229" s="19"/>
      <c r="S229" s="19">
        <f t="shared" si="27"/>
        <v>0</v>
      </c>
      <c r="T229" s="19">
        <f t="shared" si="28"/>
        <v>0</v>
      </c>
      <c r="U229" s="19">
        <f t="shared" si="29"/>
        <v>0</v>
      </c>
      <c r="V229" s="19">
        <f t="shared" si="30"/>
        <v>0</v>
      </c>
      <c r="W229" s="19">
        <f t="shared" si="31"/>
        <v>0</v>
      </c>
      <c r="X229" s="21">
        <f t="shared" si="32"/>
        <v>0</v>
      </c>
    </row>
    <row r="230" spans="1:24" ht="13.5" x14ac:dyDescent="0.35">
      <c r="A230" s="18">
        <v>113432</v>
      </c>
      <c r="B230" s="19" t="s">
        <v>409</v>
      </c>
      <c r="C230" s="19">
        <v>0.48</v>
      </c>
      <c r="D230" s="19">
        <v>101</v>
      </c>
      <c r="E230" s="19">
        <v>1110</v>
      </c>
      <c r="F230" s="19">
        <v>0</v>
      </c>
      <c r="G230" s="19">
        <v>0</v>
      </c>
      <c r="H230" s="19">
        <v>0</v>
      </c>
      <c r="I230" s="20">
        <v>0</v>
      </c>
      <c r="J230" s="19">
        <f t="shared" si="25"/>
        <v>0</v>
      </c>
      <c r="K230" s="19">
        <f t="shared" si="26"/>
        <v>0</v>
      </c>
      <c r="L230" s="19">
        <v>2.5100000000000001E-3</v>
      </c>
      <c r="M230" s="19">
        <v>1.75E-3</v>
      </c>
      <c r="N230" s="19">
        <v>1.4E-3</v>
      </c>
      <c r="O230" s="19">
        <v>1.7899999999999999E-3</v>
      </c>
      <c r="P230" s="19">
        <v>1.9499999999999999E-3</v>
      </c>
      <c r="Q230" s="19">
        <v>1.6800000000000001E-3</v>
      </c>
      <c r="R230" s="19"/>
      <c r="S230" s="19">
        <f t="shared" si="27"/>
        <v>0</v>
      </c>
      <c r="T230" s="19">
        <f t="shared" si="28"/>
        <v>0</v>
      </c>
      <c r="U230" s="19">
        <f t="shared" si="29"/>
        <v>0</v>
      </c>
      <c r="V230" s="19">
        <f t="shared" si="30"/>
        <v>0</v>
      </c>
      <c r="W230" s="19">
        <f t="shared" si="31"/>
        <v>0</v>
      </c>
      <c r="X230" s="21">
        <f t="shared" si="32"/>
        <v>0</v>
      </c>
    </row>
    <row r="231" spans="1:24" ht="13.5" x14ac:dyDescent="0.35">
      <c r="A231" s="18">
        <v>911554</v>
      </c>
      <c r="B231" s="19" t="s">
        <v>646</v>
      </c>
      <c r="C231" s="19">
        <v>345</v>
      </c>
      <c r="D231" s="19">
        <v>102</v>
      </c>
      <c r="E231" s="19">
        <v>12</v>
      </c>
      <c r="F231" s="19">
        <v>120.67</v>
      </c>
      <c r="G231" s="19">
        <v>0</v>
      </c>
      <c r="H231" s="19">
        <v>466.67</v>
      </c>
      <c r="I231" s="20">
        <v>120.67</v>
      </c>
      <c r="J231" s="19">
        <f t="shared" si="25"/>
        <v>0</v>
      </c>
      <c r="K231" s="19">
        <f t="shared" si="26"/>
        <v>346</v>
      </c>
      <c r="L231" s="19">
        <v>2.5100000000000001E-3</v>
      </c>
      <c r="M231" s="19">
        <v>1.66E-3</v>
      </c>
      <c r="N231" s="19">
        <v>1.8E-3</v>
      </c>
      <c r="O231" s="19">
        <v>1.1999999999999999E-3</v>
      </c>
      <c r="P231" s="19">
        <v>1.57E-3</v>
      </c>
      <c r="Q231" s="19">
        <v>1.32E-3</v>
      </c>
      <c r="R231" s="19"/>
      <c r="S231" s="19">
        <f t="shared" si="27"/>
        <v>0</v>
      </c>
      <c r="T231" s="19">
        <f t="shared" si="28"/>
        <v>0</v>
      </c>
      <c r="U231" s="19">
        <f t="shared" si="29"/>
        <v>0</v>
      </c>
      <c r="V231" s="19">
        <f t="shared" si="30"/>
        <v>0</v>
      </c>
      <c r="W231" s="19">
        <f t="shared" si="31"/>
        <v>0</v>
      </c>
      <c r="X231" s="21">
        <f t="shared" si="32"/>
        <v>0</v>
      </c>
    </row>
    <row r="232" spans="1:24" ht="13.5" x14ac:dyDescent="0.35">
      <c r="A232" s="18">
        <v>116492</v>
      </c>
      <c r="B232" s="19" t="s">
        <v>462</v>
      </c>
      <c r="C232" s="19">
        <v>13.8</v>
      </c>
      <c r="D232" s="19">
        <v>101</v>
      </c>
      <c r="E232" s="19">
        <v>1333</v>
      </c>
      <c r="F232" s="19">
        <v>39</v>
      </c>
      <c r="G232" s="19">
        <v>0</v>
      </c>
      <c r="H232" s="19">
        <v>39</v>
      </c>
      <c r="I232" s="20">
        <v>39</v>
      </c>
      <c r="J232" s="19">
        <f t="shared" si="25"/>
        <v>0</v>
      </c>
      <c r="K232" s="19">
        <f t="shared" si="26"/>
        <v>0</v>
      </c>
      <c r="L232" s="19">
        <v>2.33E-3</v>
      </c>
      <c r="M232" s="19">
        <v>1.47E-3</v>
      </c>
      <c r="N232" s="19">
        <v>1.49E-3</v>
      </c>
      <c r="O232" s="19">
        <v>8.1999999999999998E-4</v>
      </c>
      <c r="P232" s="19">
        <v>1.1800000000000001E-3</v>
      </c>
      <c r="Q232" s="19">
        <v>9.5E-4</v>
      </c>
      <c r="R232" s="19"/>
      <c r="S232" s="19">
        <f t="shared" si="27"/>
        <v>0</v>
      </c>
      <c r="T232" s="19">
        <f t="shared" si="28"/>
        <v>0</v>
      </c>
      <c r="U232" s="19">
        <f t="shared" si="29"/>
        <v>0</v>
      </c>
      <c r="V232" s="19">
        <f t="shared" si="30"/>
        <v>0</v>
      </c>
      <c r="W232" s="19">
        <f t="shared" si="31"/>
        <v>0</v>
      </c>
      <c r="X232" s="21">
        <f t="shared" si="32"/>
        <v>0</v>
      </c>
    </row>
    <row r="233" spans="1:24" ht="13.5" x14ac:dyDescent="0.35">
      <c r="A233" s="18">
        <v>116493</v>
      </c>
      <c r="B233" s="19" t="s">
        <v>463</v>
      </c>
      <c r="C233" s="19">
        <v>13.8</v>
      </c>
      <c r="D233" s="19">
        <v>101</v>
      </c>
      <c r="E233" s="19">
        <v>1333</v>
      </c>
      <c r="F233" s="19">
        <v>0</v>
      </c>
      <c r="G233" s="19">
        <v>0</v>
      </c>
      <c r="H233" s="19">
        <v>0</v>
      </c>
      <c r="I233" s="20">
        <v>0</v>
      </c>
      <c r="J233" s="19">
        <f t="shared" si="25"/>
        <v>0</v>
      </c>
      <c r="K233" s="19">
        <f t="shared" si="26"/>
        <v>0</v>
      </c>
      <c r="L233" s="19">
        <v>2.33E-3</v>
      </c>
      <c r="M233" s="19">
        <v>1.47E-3</v>
      </c>
      <c r="N233" s="19">
        <v>1.49E-3</v>
      </c>
      <c r="O233" s="19">
        <v>8.1999999999999998E-4</v>
      </c>
      <c r="P233" s="19">
        <v>1.1800000000000001E-3</v>
      </c>
      <c r="Q233" s="19">
        <v>9.5E-4</v>
      </c>
      <c r="R233" s="19"/>
      <c r="S233" s="19">
        <f t="shared" si="27"/>
        <v>0</v>
      </c>
      <c r="T233" s="19">
        <f t="shared" si="28"/>
        <v>0</v>
      </c>
      <c r="U233" s="19">
        <f t="shared" si="29"/>
        <v>0</v>
      </c>
      <c r="V233" s="19">
        <f t="shared" si="30"/>
        <v>0</v>
      </c>
      <c r="W233" s="19">
        <f t="shared" si="31"/>
        <v>0</v>
      </c>
      <c r="X233" s="21">
        <f t="shared" si="32"/>
        <v>0</v>
      </c>
    </row>
    <row r="234" spans="1:24" ht="13.5" x14ac:dyDescent="0.35">
      <c r="A234" s="18">
        <v>116494</v>
      </c>
      <c r="B234" s="19" t="s">
        <v>464</v>
      </c>
      <c r="C234" s="19">
        <v>13.8</v>
      </c>
      <c r="D234" s="19">
        <v>101</v>
      </c>
      <c r="E234" s="19">
        <v>1333</v>
      </c>
      <c r="F234" s="19">
        <v>0</v>
      </c>
      <c r="G234" s="19">
        <v>0</v>
      </c>
      <c r="H234" s="19">
        <v>0</v>
      </c>
      <c r="I234" s="20">
        <v>0</v>
      </c>
      <c r="J234" s="19">
        <f t="shared" si="25"/>
        <v>0</v>
      </c>
      <c r="K234" s="19">
        <f t="shared" si="26"/>
        <v>0</v>
      </c>
      <c r="L234" s="19">
        <v>2.33E-3</v>
      </c>
      <c r="M234" s="19">
        <v>1.47E-3</v>
      </c>
      <c r="N234" s="19">
        <v>1.49E-3</v>
      </c>
      <c r="O234" s="19">
        <v>8.1999999999999998E-4</v>
      </c>
      <c r="P234" s="19">
        <v>1.1800000000000001E-3</v>
      </c>
      <c r="Q234" s="19">
        <v>9.5E-4</v>
      </c>
      <c r="R234" s="19"/>
      <c r="S234" s="19">
        <f t="shared" si="27"/>
        <v>0</v>
      </c>
      <c r="T234" s="19">
        <f t="shared" si="28"/>
        <v>0</v>
      </c>
      <c r="U234" s="19">
        <f t="shared" si="29"/>
        <v>0</v>
      </c>
      <c r="V234" s="19">
        <f t="shared" si="30"/>
        <v>0</v>
      </c>
      <c r="W234" s="19">
        <f t="shared" si="31"/>
        <v>0</v>
      </c>
      <c r="X234" s="21">
        <f t="shared" si="32"/>
        <v>0</v>
      </c>
    </row>
    <row r="235" spans="1:24" ht="13.5" x14ac:dyDescent="0.35">
      <c r="A235" s="18">
        <v>116495</v>
      </c>
      <c r="B235" s="19" t="s">
        <v>465</v>
      </c>
      <c r="C235" s="19">
        <v>4.16</v>
      </c>
      <c r="D235" s="19">
        <v>101</v>
      </c>
      <c r="E235" s="19">
        <v>1334</v>
      </c>
      <c r="F235" s="19">
        <v>0</v>
      </c>
      <c r="G235" s="19">
        <v>0</v>
      </c>
      <c r="H235" s="19">
        <v>0</v>
      </c>
      <c r="I235" s="20">
        <v>0</v>
      </c>
      <c r="J235" s="19">
        <f t="shared" si="25"/>
        <v>0</v>
      </c>
      <c r="K235" s="19">
        <f t="shared" si="26"/>
        <v>0</v>
      </c>
      <c r="L235" s="19">
        <v>2.33E-3</v>
      </c>
      <c r="M235" s="19">
        <v>1.47E-3</v>
      </c>
      <c r="N235" s="19">
        <v>1.49E-3</v>
      </c>
      <c r="O235" s="19">
        <v>8.1999999999999998E-4</v>
      </c>
      <c r="P235" s="19">
        <v>1.1800000000000001E-3</v>
      </c>
      <c r="Q235" s="19">
        <v>9.5E-4</v>
      </c>
      <c r="R235" s="19"/>
      <c r="S235" s="19">
        <f t="shared" si="27"/>
        <v>0</v>
      </c>
      <c r="T235" s="19">
        <f t="shared" si="28"/>
        <v>0</v>
      </c>
      <c r="U235" s="19">
        <f t="shared" si="29"/>
        <v>0</v>
      </c>
      <c r="V235" s="19">
        <f t="shared" si="30"/>
        <v>0</v>
      </c>
      <c r="W235" s="19">
        <f t="shared" si="31"/>
        <v>0</v>
      </c>
      <c r="X235" s="21">
        <f t="shared" si="32"/>
        <v>0</v>
      </c>
    </row>
    <row r="236" spans="1:24" ht="13.5" x14ac:dyDescent="0.35">
      <c r="A236" s="18">
        <v>913031</v>
      </c>
      <c r="B236" s="19" t="s">
        <v>658</v>
      </c>
      <c r="C236" s="19">
        <v>69</v>
      </c>
      <c r="D236" s="19">
        <v>101</v>
      </c>
      <c r="E236" s="19">
        <v>1100</v>
      </c>
      <c r="F236" s="19">
        <v>113.12</v>
      </c>
      <c r="G236" s="19">
        <v>0</v>
      </c>
      <c r="H236" s="19">
        <v>113.12</v>
      </c>
      <c r="I236" s="20">
        <v>113.12</v>
      </c>
      <c r="J236" s="19">
        <f t="shared" si="25"/>
        <v>0</v>
      </c>
      <c r="K236" s="19">
        <f t="shared" si="26"/>
        <v>0</v>
      </c>
      <c r="L236" s="19">
        <v>2.32E-3</v>
      </c>
      <c r="M236" s="19">
        <v>1.5900000000000001E-3</v>
      </c>
      <c r="N236" s="19">
        <v>1.33E-3</v>
      </c>
      <c r="O236" s="19">
        <v>1.6000000000000001E-3</v>
      </c>
      <c r="P236" s="19">
        <v>1.7899999999999999E-3</v>
      </c>
      <c r="Q236" s="19">
        <v>1.5200000000000001E-3</v>
      </c>
      <c r="R236" s="19"/>
      <c r="S236" s="19">
        <f t="shared" si="27"/>
        <v>0</v>
      </c>
      <c r="T236" s="19">
        <f t="shared" si="28"/>
        <v>0</v>
      </c>
      <c r="U236" s="19">
        <f t="shared" si="29"/>
        <v>0</v>
      </c>
      <c r="V236" s="19">
        <f t="shared" si="30"/>
        <v>0</v>
      </c>
      <c r="W236" s="19">
        <f t="shared" si="31"/>
        <v>0</v>
      </c>
      <c r="X236" s="21">
        <f t="shared" si="32"/>
        <v>0</v>
      </c>
    </row>
    <row r="237" spans="1:24" ht="13.5" x14ac:dyDescent="0.35">
      <c r="A237" s="18">
        <v>116505</v>
      </c>
      <c r="B237" s="19" t="s">
        <v>466</v>
      </c>
      <c r="C237" s="19">
        <v>21</v>
      </c>
      <c r="D237" s="19">
        <v>101</v>
      </c>
      <c r="E237" s="19">
        <v>1333</v>
      </c>
      <c r="F237" s="19">
        <v>270</v>
      </c>
      <c r="G237" s="19">
        <v>0</v>
      </c>
      <c r="H237" s="19">
        <v>270</v>
      </c>
      <c r="I237" s="20">
        <v>270</v>
      </c>
      <c r="J237" s="19">
        <f t="shared" si="25"/>
        <v>0</v>
      </c>
      <c r="K237" s="19">
        <f t="shared" si="26"/>
        <v>0</v>
      </c>
      <c r="L237" s="19">
        <v>2.31E-3</v>
      </c>
      <c r="M237" s="19">
        <v>1.4599999999999999E-3</v>
      </c>
      <c r="N237" s="19">
        <v>1.4599999999999999E-3</v>
      </c>
      <c r="O237" s="19">
        <v>8.0000000000000004E-4</v>
      </c>
      <c r="P237" s="19">
        <v>1.15E-3</v>
      </c>
      <c r="Q237" s="19">
        <v>9.2000000000000003E-4</v>
      </c>
      <c r="R237" s="19"/>
      <c r="S237" s="19">
        <f t="shared" si="27"/>
        <v>0</v>
      </c>
      <c r="T237" s="19">
        <f t="shared" si="28"/>
        <v>0</v>
      </c>
      <c r="U237" s="19">
        <f t="shared" si="29"/>
        <v>0</v>
      </c>
      <c r="V237" s="19">
        <f t="shared" si="30"/>
        <v>0</v>
      </c>
      <c r="W237" s="19">
        <f t="shared" si="31"/>
        <v>0</v>
      </c>
      <c r="X237" s="21">
        <f t="shared" si="32"/>
        <v>0</v>
      </c>
    </row>
    <row r="238" spans="1:24" ht="13.5" x14ac:dyDescent="0.35">
      <c r="A238" s="18">
        <v>116556</v>
      </c>
      <c r="B238" s="19" t="s">
        <v>467</v>
      </c>
      <c r="C238" s="19">
        <v>6.9</v>
      </c>
      <c r="D238" s="19">
        <v>101</v>
      </c>
      <c r="E238" s="19">
        <v>1333</v>
      </c>
      <c r="F238" s="19">
        <v>19.96</v>
      </c>
      <c r="G238" s="19">
        <v>0</v>
      </c>
      <c r="H238" s="19">
        <v>19.96</v>
      </c>
      <c r="I238" s="20">
        <v>19.96</v>
      </c>
      <c r="J238" s="19">
        <f t="shared" si="25"/>
        <v>0</v>
      </c>
      <c r="K238" s="19">
        <f t="shared" si="26"/>
        <v>0</v>
      </c>
      <c r="L238" s="19">
        <v>2.2799999999999999E-3</v>
      </c>
      <c r="M238" s="19">
        <v>1.4300000000000001E-3</v>
      </c>
      <c r="N238" s="19">
        <v>1.42E-3</v>
      </c>
      <c r="O238" s="19">
        <v>7.6999999999999996E-4</v>
      </c>
      <c r="P238" s="19">
        <v>1.1199999999999999E-3</v>
      </c>
      <c r="Q238" s="19">
        <v>8.8999999999999995E-4</v>
      </c>
      <c r="R238" s="19"/>
      <c r="S238" s="19">
        <f t="shared" si="27"/>
        <v>0</v>
      </c>
      <c r="T238" s="19">
        <f t="shared" si="28"/>
        <v>0</v>
      </c>
      <c r="U238" s="19">
        <f t="shared" si="29"/>
        <v>0</v>
      </c>
      <c r="V238" s="19">
        <f t="shared" si="30"/>
        <v>0</v>
      </c>
      <c r="W238" s="19">
        <f t="shared" si="31"/>
        <v>0</v>
      </c>
      <c r="X238" s="21">
        <f t="shared" si="32"/>
        <v>0</v>
      </c>
    </row>
    <row r="239" spans="1:24" ht="13.5" x14ac:dyDescent="0.35">
      <c r="A239" s="18">
        <v>996240</v>
      </c>
      <c r="B239" s="19" t="s">
        <v>730</v>
      </c>
      <c r="C239" s="19">
        <v>115</v>
      </c>
      <c r="D239" s="19">
        <v>101</v>
      </c>
      <c r="E239" s="19">
        <v>1330</v>
      </c>
      <c r="F239" s="19">
        <v>0</v>
      </c>
      <c r="G239" s="19">
        <v>0</v>
      </c>
      <c r="H239" s="19">
        <v>0</v>
      </c>
      <c r="I239" s="20">
        <v>0</v>
      </c>
      <c r="J239" s="19">
        <f t="shared" si="25"/>
        <v>0</v>
      </c>
      <c r="K239" s="19">
        <f t="shared" si="26"/>
        <v>0</v>
      </c>
      <c r="L239" s="19">
        <v>2.2599999999999999E-3</v>
      </c>
      <c r="M239" s="19">
        <v>1.42E-3</v>
      </c>
      <c r="N239" s="19">
        <v>1.4E-3</v>
      </c>
      <c r="O239" s="19">
        <v>7.5000000000000002E-4</v>
      </c>
      <c r="P239" s="19">
        <v>1.09E-3</v>
      </c>
      <c r="Q239" s="19">
        <v>8.7000000000000001E-4</v>
      </c>
      <c r="R239" s="19"/>
      <c r="S239" s="19">
        <f t="shared" si="27"/>
        <v>0</v>
      </c>
      <c r="T239" s="19">
        <f t="shared" si="28"/>
        <v>0</v>
      </c>
      <c r="U239" s="19">
        <f t="shared" si="29"/>
        <v>0</v>
      </c>
      <c r="V239" s="19">
        <f t="shared" si="30"/>
        <v>0</v>
      </c>
      <c r="W239" s="19">
        <f t="shared" si="31"/>
        <v>0</v>
      </c>
      <c r="X239" s="21">
        <f t="shared" si="32"/>
        <v>0</v>
      </c>
    </row>
    <row r="240" spans="1:24" ht="13.5" x14ac:dyDescent="0.35">
      <c r="A240" s="18">
        <v>116458</v>
      </c>
      <c r="B240" s="19" t="s">
        <v>461</v>
      </c>
      <c r="C240" s="19">
        <v>4.16</v>
      </c>
      <c r="D240" s="19">
        <v>101</v>
      </c>
      <c r="E240" s="19">
        <v>1334</v>
      </c>
      <c r="F240" s="19">
        <v>0</v>
      </c>
      <c r="G240" s="19">
        <v>0</v>
      </c>
      <c r="H240" s="19">
        <v>0</v>
      </c>
      <c r="I240" s="20">
        <v>0</v>
      </c>
      <c r="J240" s="19">
        <f t="shared" si="25"/>
        <v>0</v>
      </c>
      <c r="K240" s="19">
        <f t="shared" si="26"/>
        <v>0</v>
      </c>
      <c r="L240" s="19">
        <v>2.2300000000000002E-3</v>
      </c>
      <c r="M240" s="19">
        <v>1.39E-3</v>
      </c>
      <c r="N240" s="19">
        <v>1.3600000000000001E-3</v>
      </c>
      <c r="O240" s="19">
        <v>6.9999999999999999E-4</v>
      </c>
      <c r="P240" s="19">
        <v>1.0499999999999999E-3</v>
      </c>
      <c r="Q240" s="19">
        <v>8.3000000000000001E-4</v>
      </c>
      <c r="R240" s="19"/>
      <c r="S240" s="19">
        <f t="shared" si="27"/>
        <v>0</v>
      </c>
      <c r="T240" s="19">
        <f t="shared" si="28"/>
        <v>0</v>
      </c>
      <c r="U240" s="19">
        <f t="shared" si="29"/>
        <v>0</v>
      </c>
      <c r="V240" s="19">
        <f t="shared" si="30"/>
        <v>0</v>
      </c>
      <c r="W240" s="19">
        <f t="shared" si="31"/>
        <v>0</v>
      </c>
      <c r="X240" s="21">
        <f t="shared" si="32"/>
        <v>0</v>
      </c>
    </row>
    <row r="241" spans="1:24" ht="13.5" x14ac:dyDescent="0.35">
      <c r="A241" s="18">
        <v>116452</v>
      </c>
      <c r="B241" s="19" t="s">
        <v>460</v>
      </c>
      <c r="C241" s="19">
        <v>6.6</v>
      </c>
      <c r="D241" s="19">
        <v>101</v>
      </c>
      <c r="E241" s="19">
        <v>1334</v>
      </c>
      <c r="F241" s="19">
        <v>14.95</v>
      </c>
      <c r="G241" s="19">
        <v>0</v>
      </c>
      <c r="H241" s="19">
        <v>14.95</v>
      </c>
      <c r="I241" s="20">
        <v>14.95</v>
      </c>
      <c r="J241" s="19">
        <f t="shared" si="25"/>
        <v>0</v>
      </c>
      <c r="K241" s="19">
        <f t="shared" si="26"/>
        <v>0</v>
      </c>
      <c r="L241" s="19">
        <v>2.2000000000000001E-3</v>
      </c>
      <c r="M241" s="19">
        <v>1.3600000000000001E-3</v>
      </c>
      <c r="N241" s="19">
        <v>1.32E-3</v>
      </c>
      <c r="O241" s="19">
        <v>6.7000000000000002E-4</v>
      </c>
      <c r="P241" s="19">
        <v>1.01E-3</v>
      </c>
      <c r="Q241" s="19">
        <v>7.9000000000000001E-4</v>
      </c>
      <c r="R241" s="19"/>
      <c r="S241" s="19">
        <f t="shared" si="27"/>
        <v>0</v>
      </c>
      <c r="T241" s="19">
        <f t="shared" si="28"/>
        <v>0</v>
      </c>
      <c r="U241" s="19">
        <f t="shared" si="29"/>
        <v>0</v>
      </c>
      <c r="V241" s="19">
        <f t="shared" si="30"/>
        <v>0</v>
      </c>
      <c r="W241" s="19">
        <f t="shared" si="31"/>
        <v>0</v>
      </c>
      <c r="X241" s="21">
        <f t="shared" si="32"/>
        <v>0</v>
      </c>
    </row>
    <row r="242" spans="1:24" ht="13.5" x14ac:dyDescent="0.35">
      <c r="A242" s="18">
        <v>913118</v>
      </c>
      <c r="B242" s="19" t="s">
        <v>664</v>
      </c>
      <c r="C242" s="19">
        <v>115</v>
      </c>
      <c r="D242" s="19">
        <v>101</v>
      </c>
      <c r="E242" s="19">
        <v>1100</v>
      </c>
      <c r="F242" s="19">
        <v>8.65</v>
      </c>
      <c r="G242" s="19">
        <v>0</v>
      </c>
      <c r="H242" s="19">
        <v>8.65</v>
      </c>
      <c r="I242" s="20">
        <v>8.65</v>
      </c>
      <c r="J242" s="19">
        <f t="shared" si="25"/>
        <v>0</v>
      </c>
      <c r="K242" s="19">
        <f t="shared" si="26"/>
        <v>0</v>
      </c>
      <c r="L242" s="19">
        <v>2.2000000000000001E-3</v>
      </c>
      <c r="M242" s="19">
        <v>1.3600000000000001E-3</v>
      </c>
      <c r="N242" s="19">
        <v>1.32E-3</v>
      </c>
      <c r="O242" s="19">
        <v>6.7000000000000002E-4</v>
      </c>
      <c r="P242" s="19">
        <v>1.01E-3</v>
      </c>
      <c r="Q242" s="19">
        <v>7.9000000000000001E-4</v>
      </c>
      <c r="R242" s="19"/>
      <c r="S242" s="19">
        <f t="shared" si="27"/>
        <v>0</v>
      </c>
      <c r="T242" s="19">
        <f t="shared" si="28"/>
        <v>0</v>
      </c>
      <c r="U242" s="19">
        <f t="shared" si="29"/>
        <v>0</v>
      </c>
      <c r="V242" s="19">
        <f t="shared" si="30"/>
        <v>0</v>
      </c>
      <c r="W242" s="19">
        <f t="shared" si="31"/>
        <v>0</v>
      </c>
      <c r="X242" s="21">
        <f t="shared" si="32"/>
        <v>0</v>
      </c>
    </row>
    <row r="243" spans="1:24" ht="13.5" x14ac:dyDescent="0.35">
      <c r="A243" s="18">
        <v>113907</v>
      </c>
      <c r="B243" s="19" t="s">
        <v>415</v>
      </c>
      <c r="C243" s="19">
        <v>69</v>
      </c>
      <c r="D243" s="19">
        <v>101</v>
      </c>
      <c r="E243" s="19">
        <v>1214</v>
      </c>
      <c r="F243" s="19">
        <v>0</v>
      </c>
      <c r="G243" s="19">
        <v>0</v>
      </c>
      <c r="H243" s="19">
        <v>0</v>
      </c>
      <c r="I243" s="20">
        <v>0</v>
      </c>
      <c r="J243" s="19">
        <f t="shared" si="25"/>
        <v>0</v>
      </c>
      <c r="K243" s="19">
        <f t="shared" si="26"/>
        <v>0</v>
      </c>
      <c r="L243" s="19">
        <v>2.16E-3</v>
      </c>
      <c r="M243" s="19">
        <v>1.5E-3</v>
      </c>
      <c r="N243" s="19">
        <v>1.0399999999999999E-3</v>
      </c>
      <c r="O243" s="19">
        <v>1.6999999999999999E-3</v>
      </c>
      <c r="P243" s="19">
        <v>1.7700000000000001E-3</v>
      </c>
      <c r="Q243" s="19">
        <v>1.5299999999999999E-3</v>
      </c>
      <c r="R243" s="19"/>
      <c r="S243" s="19">
        <f t="shared" si="27"/>
        <v>0</v>
      </c>
      <c r="T243" s="19">
        <f t="shared" si="28"/>
        <v>0</v>
      </c>
      <c r="U243" s="19">
        <f t="shared" si="29"/>
        <v>0</v>
      </c>
      <c r="V243" s="19">
        <f t="shared" si="30"/>
        <v>0</v>
      </c>
      <c r="W243" s="19">
        <f t="shared" si="31"/>
        <v>0</v>
      </c>
      <c r="X243" s="21">
        <f t="shared" si="32"/>
        <v>0</v>
      </c>
    </row>
    <row r="244" spans="1:24" ht="13.5" x14ac:dyDescent="0.35">
      <c r="A244" s="18">
        <v>116438</v>
      </c>
      <c r="B244" s="19" t="s">
        <v>457</v>
      </c>
      <c r="C244" s="19">
        <v>13.8</v>
      </c>
      <c r="D244" s="19">
        <v>101</v>
      </c>
      <c r="E244" s="19">
        <v>1333</v>
      </c>
      <c r="F244" s="19">
        <v>84.65</v>
      </c>
      <c r="G244" s="19">
        <v>0</v>
      </c>
      <c r="H244" s="19">
        <v>84.65</v>
      </c>
      <c r="I244" s="20">
        <v>84.65</v>
      </c>
      <c r="J244" s="19">
        <f t="shared" si="25"/>
        <v>0</v>
      </c>
      <c r="K244" s="19">
        <f t="shared" si="26"/>
        <v>0</v>
      </c>
      <c r="L244" s="19">
        <v>2.15E-3</v>
      </c>
      <c r="M244" s="19">
        <v>1.32E-3</v>
      </c>
      <c r="N244" s="19">
        <v>1.25E-3</v>
      </c>
      <c r="O244" s="19">
        <v>5.9999999999999995E-4</v>
      </c>
      <c r="P244" s="19">
        <v>9.3999999999999997E-4</v>
      </c>
      <c r="Q244" s="19">
        <v>7.2000000000000005E-4</v>
      </c>
      <c r="R244" s="19"/>
      <c r="S244" s="19">
        <f t="shared" si="27"/>
        <v>0</v>
      </c>
      <c r="T244" s="19">
        <f t="shared" si="28"/>
        <v>0</v>
      </c>
      <c r="U244" s="19">
        <f t="shared" si="29"/>
        <v>0</v>
      </c>
      <c r="V244" s="19">
        <f t="shared" si="30"/>
        <v>0</v>
      </c>
      <c r="W244" s="19">
        <f t="shared" si="31"/>
        <v>0</v>
      </c>
      <c r="X244" s="21">
        <f t="shared" si="32"/>
        <v>0</v>
      </c>
    </row>
    <row r="245" spans="1:24" ht="13.5" x14ac:dyDescent="0.35">
      <c r="A245" s="18">
        <v>116439</v>
      </c>
      <c r="B245" s="19" t="s">
        <v>458</v>
      </c>
      <c r="C245" s="19">
        <v>13.8</v>
      </c>
      <c r="D245" s="19">
        <v>101</v>
      </c>
      <c r="E245" s="19">
        <v>1333</v>
      </c>
      <c r="F245" s="19">
        <v>76.010000000000005</v>
      </c>
      <c r="G245" s="19">
        <v>0</v>
      </c>
      <c r="H245" s="19">
        <v>76.010000000000005</v>
      </c>
      <c r="I245" s="20">
        <v>76.010000000000005</v>
      </c>
      <c r="J245" s="19">
        <f t="shared" si="25"/>
        <v>0</v>
      </c>
      <c r="K245" s="19">
        <f t="shared" si="26"/>
        <v>0</v>
      </c>
      <c r="L245" s="19">
        <v>2.15E-3</v>
      </c>
      <c r="M245" s="19">
        <v>1.32E-3</v>
      </c>
      <c r="N245" s="19">
        <v>1.25E-3</v>
      </c>
      <c r="O245" s="19">
        <v>5.9999999999999995E-4</v>
      </c>
      <c r="P245" s="19">
        <v>9.3999999999999997E-4</v>
      </c>
      <c r="Q245" s="19">
        <v>7.2000000000000005E-4</v>
      </c>
      <c r="R245" s="19"/>
      <c r="S245" s="19">
        <f t="shared" si="27"/>
        <v>0</v>
      </c>
      <c r="T245" s="19">
        <f t="shared" si="28"/>
        <v>0</v>
      </c>
      <c r="U245" s="19">
        <f t="shared" si="29"/>
        <v>0</v>
      </c>
      <c r="V245" s="19">
        <f t="shared" si="30"/>
        <v>0</v>
      </c>
      <c r="W245" s="19">
        <f t="shared" si="31"/>
        <v>0</v>
      </c>
      <c r="X245" s="21">
        <f t="shared" si="32"/>
        <v>0</v>
      </c>
    </row>
    <row r="246" spans="1:24" ht="13.5" x14ac:dyDescent="0.35">
      <c r="A246" s="18">
        <v>116440</v>
      </c>
      <c r="B246" s="19" t="s">
        <v>459</v>
      </c>
      <c r="C246" s="19">
        <v>13.8</v>
      </c>
      <c r="D246" s="19">
        <v>101</v>
      </c>
      <c r="E246" s="19">
        <v>1333</v>
      </c>
      <c r="F246" s="19">
        <v>84.65</v>
      </c>
      <c r="G246" s="19">
        <v>0</v>
      </c>
      <c r="H246" s="19">
        <v>84.65</v>
      </c>
      <c r="I246" s="20">
        <v>84.65</v>
      </c>
      <c r="J246" s="19">
        <f t="shared" si="25"/>
        <v>0</v>
      </c>
      <c r="K246" s="19">
        <f t="shared" si="26"/>
        <v>0</v>
      </c>
      <c r="L246" s="19">
        <v>2.15E-3</v>
      </c>
      <c r="M246" s="19">
        <v>1.32E-3</v>
      </c>
      <c r="N246" s="19">
        <v>1.25E-3</v>
      </c>
      <c r="O246" s="19">
        <v>5.9999999999999995E-4</v>
      </c>
      <c r="P246" s="19">
        <v>9.3999999999999997E-4</v>
      </c>
      <c r="Q246" s="19">
        <v>7.2000000000000005E-4</v>
      </c>
      <c r="R246" s="19"/>
      <c r="S246" s="19">
        <f t="shared" si="27"/>
        <v>0</v>
      </c>
      <c r="T246" s="19">
        <f t="shared" si="28"/>
        <v>0</v>
      </c>
      <c r="U246" s="19">
        <f t="shared" si="29"/>
        <v>0</v>
      </c>
      <c r="V246" s="19">
        <f t="shared" si="30"/>
        <v>0</v>
      </c>
      <c r="W246" s="19">
        <f t="shared" si="31"/>
        <v>0</v>
      </c>
      <c r="X246" s="21">
        <f t="shared" si="32"/>
        <v>0</v>
      </c>
    </row>
    <row r="247" spans="1:24" ht="13.5" x14ac:dyDescent="0.35">
      <c r="A247" s="18">
        <v>121841</v>
      </c>
      <c r="B247" s="19" t="s">
        <v>531</v>
      </c>
      <c r="C247" s="19">
        <v>0.42</v>
      </c>
      <c r="D247" s="19">
        <v>101</v>
      </c>
      <c r="E247" s="19">
        <v>1653</v>
      </c>
      <c r="F247" s="19">
        <v>0</v>
      </c>
      <c r="G247" s="19">
        <v>0</v>
      </c>
      <c r="H247" s="19">
        <v>0</v>
      </c>
      <c r="I247" s="20">
        <v>0</v>
      </c>
      <c r="J247" s="19">
        <f t="shared" si="25"/>
        <v>0</v>
      </c>
      <c r="K247" s="19">
        <f t="shared" si="26"/>
        <v>0</v>
      </c>
      <c r="L247" s="19">
        <v>2.14E-3</v>
      </c>
      <c r="M247" s="19">
        <v>1.31E-3</v>
      </c>
      <c r="N247" s="19">
        <v>1.2199999999999999E-3</v>
      </c>
      <c r="O247" s="19">
        <v>6.3000000000000003E-4</v>
      </c>
      <c r="P247" s="19">
        <v>9.5E-4</v>
      </c>
      <c r="Q247" s="19">
        <v>7.3999999999999999E-4</v>
      </c>
      <c r="R247" s="19"/>
      <c r="S247" s="19">
        <f t="shared" si="27"/>
        <v>0</v>
      </c>
      <c r="T247" s="19">
        <f t="shared" si="28"/>
        <v>0</v>
      </c>
      <c r="U247" s="19">
        <f t="shared" si="29"/>
        <v>0</v>
      </c>
      <c r="V247" s="19">
        <f t="shared" si="30"/>
        <v>0</v>
      </c>
      <c r="W247" s="19">
        <f t="shared" si="31"/>
        <v>0</v>
      </c>
      <c r="X247" s="21">
        <f t="shared" si="32"/>
        <v>0</v>
      </c>
    </row>
    <row r="248" spans="1:24" ht="13.5" x14ac:dyDescent="0.35">
      <c r="A248" s="18">
        <v>919993</v>
      </c>
      <c r="B248" s="19" t="s">
        <v>703</v>
      </c>
      <c r="C248" s="19">
        <v>115</v>
      </c>
      <c r="D248" s="19">
        <v>101</v>
      </c>
      <c r="E248" s="19">
        <v>1650</v>
      </c>
      <c r="F248" s="19">
        <v>0</v>
      </c>
      <c r="G248" s="19">
        <v>0</v>
      </c>
      <c r="H248" s="19">
        <v>0</v>
      </c>
      <c r="I248" s="20">
        <v>0</v>
      </c>
      <c r="J248" s="19">
        <f t="shared" si="25"/>
        <v>0</v>
      </c>
      <c r="K248" s="19">
        <f t="shared" si="26"/>
        <v>0</v>
      </c>
      <c r="L248" s="19">
        <v>2.14E-3</v>
      </c>
      <c r="M248" s="19">
        <v>1.31E-3</v>
      </c>
      <c r="N248" s="19">
        <v>1.2199999999999999E-3</v>
      </c>
      <c r="O248" s="19">
        <v>6.3000000000000003E-4</v>
      </c>
      <c r="P248" s="19">
        <v>9.5E-4</v>
      </c>
      <c r="Q248" s="19">
        <v>7.3999999999999999E-4</v>
      </c>
      <c r="R248" s="19"/>
      <c r="S248" s="19">
        <f t="shared" si="27"/>
        <v>0</v>
      </c>
      <c r="T248" s="19">
        <f t="shared" si="28"/>
        <v>0</v>
      </c>
      <c r="U248" s="19">
        <f t="shared" si="29"/>
        <v>0</v>
      </c>
      <c r="V248" s="19">
        <f t="shared" si="30"/>
        <v>0</v>
      </c>
      <c r="W248" s="19">
        <f t="shared" si="31"/>
        <v>0</v>
      </c>
      <c r="X248" s="21">
        <f t="shared" si="32"/>
        <v>0</v>
      </c>
    </row>
    <row r="249" spans="1:24" ht="13.5" x14ac:dyDescent="0.35">
      <c r="A249" s="18">
        <v>116433</v>
      </c>
      <c r="B249" s="19" t="s">
        <v>456</v>
      </c>
      <c r="C249" s="19">
        <v>13.8</v>
      </c>
      <c r="D249" s="19">
        <v>101</v>
      </c>
      <c r="E249" s="19">
        <v>1332</v>
      </c>
      <c r="F249" s="19">
        <v>0</v>
      </c>
      <c r="G249" s="19">
        <v>0</v>
      </c>
      <c r="H249" s="19">
        <v>0</v>
      </c>
      <c r="I249" s="20">
        <v>0</v>
      </c>
      <c r="J249" s="19">
        <f t="shared" si="25"/>
        <v>0</v>
      </c>
      <c r="K249" s="19">
        <f t="shared" si="26"/>
        <v>0</v>
      </c>
      <c r="L249" s="19">
        <v>2.1099999999999999E-3</v>
      </c>
      <c r="M249" s="19">
        <v>1.2899999999999999E-3</v>
      </c>
      <c r="N249" s="19">
        <v>1.1999999999999999E-3</v>
      </c>
      <c r="O249" s="19">
        <v>5.5999999999999995E-4</v>
      </c>
      <c r="P249" s="19">
        <v>8.8999999999999995E-4</v>
      </c>
      <c r="Q249" s="19">
        <v>6.8000000000000005E-4</v>
      </c>
      <c r="R249" s="19"/>
      <c r="S249" s="19">
        <f t="shared" si="27"/>
        <v>0</v>
      </c>
      <c r="T249" s="19">
        <f t="shared" si="28"/>
        <v>0</v>
      </c>
      <c r="U249" s="19">
        <f t="shared" si="29"/>
        <v>0</v>
      </c>
      <c r="V249" s="19">
        <f t="shared" si="30"/>
        <v>0</v>
      </c>
      <c r="W249" s="19">
        <f t="shared" si="31"/>
        <v>0</v>
      </c>
      <c r="X249" s="21">
        <f t="shared" si="32"/>
        <v>0</v>
      </c>
    </row>
    <row r="250" spans="1:24" ht="13.5" x14ac:dyDescent="0.35">
      <c r="A250" s="18">
        <v>116651</v>
      </c>
      <c r="B250" s="19" t="s">
        <v>479</v>
      </c>
      <c r="C250" s="19">
        <v>2.2999999999999998</v>
      </c>
      <c r="D250" s="19">
        <v>101</v>
      </c>
      <c r="E250" s="19">
        <v>1334</v>
      </c>
      <c r="F250" s="19">
        <v>0</v>
      </c>
      <c r="G250" s="19">
        <v>0</v>
      </c>
      <c r="H250" s="19">
        <v>0</v>
      </c>
      <c r="I250" s="20">
        <v>0</v>
      </c>
      <c r="J250" s="19">
        <f t="shared" si="25"/>
        <v>0</v>
      </c>
      <c r="K250" s="19">
        <f t="shared" si="26"/>
        <v>0</v>
      </c>
      <c r="L250" s="19">
        <v>2.0999999999999999E-3</v>
      </c>
      <c r="M250" s="19">
        <v>1.2899999999999999E-3</v>
      </c>
      <c r="N250" s="19">
        <v>1.24E-3</v>
      </c>
      <c r="O250" s="19">
        <v>6.3000000000000003E-4</v>
      </c>
      <c r="P250" s="19">
        <v>9.5E-4</v>
      </c>
      <c r="Q250" s="19">
        <v>7.3999999999999999E-4</v>
      </c>
      <c r="R250" s="19"/>
      <c r="S250" s="19">
        <f t="shared" si="27"/>
        <v>0</v>
      </c>
      <c r="T250" s="19">
        <f t="shared" si="28"/>
        <v>0</v>
      </c>
      <c r="U250" s="19">
        <f t="shared" si="29"/>
        <v>0</v>
      </c>
      <c r="V250" s="19">
        <f t="shared" si="30"/>
        <v>0</v>
      </c>
      <c r="W250" s="19">
        <f t="shared" si="31"/>
        <v>0</v>
      </c>
      <c r="X250" s="21">
        <f t="shared" si="32"/>
        <v>0</v>
      </c>
    </row>
    <row r="251" spans="1:24" ht="13.5" x14ac:dyDescent="0.35">
      <c r="A251" s="18">
        <v>916364</v>
      </c>
      <c r="B251" s="19" t="s">
        <v>678</v>
      </c>
      <c r="C251" s="19">
        <v>115</v>
      </c>
      <c r="D251" s="19">
        <v>101</v>
      </c>
      <c r="E251" s="19">
        <v>1330</v>
      </c>
      <c r="F251" s="19">
        <v>0</v>
      </c>
      <c r="G251" s="19">
        <v>0</v>
      </c>
      <c r="H251" s="19">
        <v>0</v>
      </c>
      <c r="I251" s="20">
        <v>0</v>
      </c>
      <c r="J251" s="19">
        <f t="shared" si="25"/>
        <v>0</v>
      </c>
      <c r="K251" s="19">
        <f t="shared" si="26"/>
        <v>0</v>
      </c>
      <c r="L251" s="19">
        <v>2.0999999999999999E-3</v>
      </c>
      <c r="M251" s="19">
        <v>1.2899999999999999E-3</v>
      </c>
      <c r="N251" s="19">
        <v>1.24E-3</v>
      </c>
      <c r="O251" s="19">
        <v>6.3000000000000003E-4</v>
      </c>
      <c r="P251" s="19">
        <v>9.5E-4</v>
      </c>
      <c r="Q251" s="19">
        <v>7.3999999999999999E-4</v>
      </c>
      <c r="R251" s="19"/>
      <c r="S251" s="19">
        <f t="shared" si="27"/>
        <v>0</v>
      </c>
      <c r="T251" s="19">
        <f t="shared" si="28"/>
        <v>0</v>
      </c>
      <c r="U251" s="19">
        <f t="shared" si="29"/>
        <v>0</v>
      </c>
      <c r="V251" s="19">
        <f t="shared" si="30"/>
        <v>0</v>
      </c>
      <c r="W251" s="19">
        <f t="shared" si="31"/>
        <v>0</v>
      </c>
      <c r="X251" s="21">
        <f t="shared" si="32"/>
        <v>0</v>
      </c>
    </row>
    <row r="252" spans="1:24" ht="13.5" x14ac:dyDescent="0.35">
      <c r="A252" s="18">
        <v>913049</v>
      </c>
      <c r="B252" s="19" t="s">
        <v>662</v>
      </c>
      <c r="C252" s="19">
        <v>69</v>
      </c>
      <c r="D252" s="19">
        <v>101</v>
      </c>
      <c r="E252" s="19">
        <v>1100</v>
      </c>
      <c r="F252" s="19">
        <v>15.67</v>
      </c>
      <c r="G252" s="19">
        <v>0</v>
      </c>
      <c r="H252" s="19">
        <v>15.67</v>
      </c>
      <c r="I252" s="20">
        <v>15.67</v>
      </c>
      <c r="J252" s="19">
        <f t="shared" si="25"/>
        <v>0</v>
      </c>
      <c r="K252" s="19">
        <f t="shared" si="26"/>
        <v>0</v>
      </c>
      <c r="L252" s="19">
        <v>2.0699999999999998E-3</v>
      </c>
      <c r="M252" s="19">
        <v>1.2600000000000001E-3</v>
      </c>
      <c r="N252" s="19">
        <v>1.1199999999999999E-3</v>
      </c>
      <c r="O252" s="19">
        <v>5.6999999999999998E-4</v>
      </c>
      <c r="P252" s="19">
        <v>8.7000000000000001E-4</v>
      </c>
      <c r="Q252" s="19">
        <v>6.6E-4</v>
      </c>
      <c r="R252" s="19"/>
      <c r="S252" s="19">
        <f t="shared" si="27"/>
        <v>0</v>
      </c>
      <c r="T252" s="19">
        <f t="shared" si="28"/>
        <v>0</v>
      </c>
      <c r="U252" s="19">
        <f t="shared" si="29"/>
        <v>0</v>
      </c>
      <c r="V252" s="19">
        <f t="shared" si="30"/>
        <v>0</v>
      </c>
      <c r="W252" s="19">
        <f t="shared" si="31"/>
        <v>0</v>
      </c>
      <c r="X252" s="21">
        <f t="shared" si="32"/>
        <v>0</v>
      </c>
    </row>
    <row r="253" spans="1:24" ht="13.5" x14ac:dyDescent="0.35">
      <c r="A253" s="18">
        <v>913036</v>
      </c>
      <c r="B253" s="19" t="s">
        <v>659</v>
      </c>
      <c r="C253" s="19">
        <v>69</v>
      </c>
      <c r="D253" s="19">
        <v>101</v>
      </c>
      <c r="E253" s="19">
        <v>1100</v>
      </c>
      <c r="F253" s="19">
        <v>9.51</v>
      </c>
      <c r="G253" s="19">
        <v>0</v>
      </c>
      <c r="H253" s="19">
        <v>9.51</v>
      </c>
      <c r="I253" s="20">
        <v>9.51</v>
      </c>
      <c r="J253" s="19">
        <f t="shared" si="25"/>
        <v>0</v>
      </c>
      <c r="K253" s="19">
        <f t="shared" si="26"/>
        <v>0</v>
      </c>
      <c r="L253" s="19">
        <v>2.0600000000000002E-3</v>
      </c>
      <c r="M253" s="19">
        <v>1.2899999999999999E-3</v>
      </c>
      <c r="N253" s="19">
        <v>1.06E-3</v>
      </c>
      <c r="O253" s="19">
        <v>7.6999999999999996E-4</v>
      </c>
      <c r="P253" s="19">
        <v>1.0300000000000001E-3</v>
      </c>
      <c r="Q253" s="19">
        <v>8.0999999999999996E-4</v>
      </c>
      <c r="R253" s="19"/>
      <c r="S253" s="19">
        <f t="shared" si="27"/>
        <v>0</v>
      </c>
      <c r="T253" s="19">
        <f t="shared" si="28"/>
        <v>0</v>
      </c>
      <c r="U253" s="19">
        <f t="shared" si="29"/>
        <v>0</v>
      </c>
      <c r="V253" s="19">
        <f t="shared" si="30"/>
        <v>0</v>
      </c>
      <c r="W253" s="19">
        <f t="shared" si="31"/>
        <v>0</v>
      </c>
      <c r="X253" s="21">
        <f t="shared" si="32"/>
        <v>0</v>
      </c>
    </row>
    <row r="254" spans="1:24" ht="13.5" x14ac:dyDescent="0.35">
      <c r="A254" s="18">
        <v>913047</v>
      </c>
      <c r="B254" s="19" t="s">
        <v>661</v>
      </c>
      <c r="C254" s="19">
        <v>69</v>
      </c>
      <c r="D254" s="19">
        <v>101</v>
      </c>
      <c r="E254" s="19">
        <v>1100</v>
      </c>
      <c r="F254" s="19">
        <v>8.5299999999999994</v>
      </c>
      <c r="G254" s="19">
        <v>0</v>
      </c>
      <c r="H254" s="19">
        <v>8.5299999999999994</v>
      </c>
      <c r="I254" s="20">
        <v>8.5299999999999994</v>
      </c>
      <c r="J254" s="19">
        <f t="shared" si="25"/>
        <v>0</v>
      </c>
      <c r="K254" s="19">
        <f t="shared" si="26"/>
        <v>0</v>
      </c>
      <c r="L254" s="19">
        <v>2.0600000000000002E-3</v>
      </c>
      <c r="M254" s="19">
        <v>1.2899999999999999E-3</v>
      </c>
      <c r="N254" s="19">
        <v>1.06E-3</v>
      </c>
      <c r="O254" s="19">
        <v>7.6999999999999996E-4</v>
      </c>
      <c r="P254" s="19">
        <v>1.0300000000000001E-3</v>
      </c>
      <c r="Q254" s="19">
        <v>8.0999999999999996E-4</v>
      </c>
      <c r="R254" s="19"/>
      <c r="S254" s="19">
        <f t="shared" si="27"/>
        <v>0</v>
      </c>
      <c r="T254" s="19">
        <f t="shared" si="28"/>
        <v>0</v>
      </c>
      <c r="U254" s="19">
        <f t="shared" si="29"/>
        <v>0</v>
      </c>
      <c r="V254" s="19">
        <f t="shared" si="30"/>
        <v>0</v>
      </c>
      <c r="W254" s="19">
        <f t="shared" si="31"/>
        <v>0</v>
      </c>
      <c r="X254" s="21">
        <f t="shared" si="32"/>
        <v>0</v>
      </c>
    </row>
    <row r="255" spans="1:24" ht="13.5" x14ac:dyDescent="0.35">
      <c r="A255" s="18">
        <v>113073</v>
      </c>
      <c r="B255" s="19" t="s">
        <v>380</v>
      </c>
      <c r="C255" s="19">
        <v>23</v>
      </c>
      <c r="D255" s="19">
        <v>101</v>
      </c>
      <c r="E255" s="19">
        <v>1100</v>
      </c>
      <c r="F255" s="19">
        <v>0</v>
      </c>
      <c r="G255" s="19">
        <v>0</v>
      </c>
      <c r="H255" s="19">
        <v>0</v>
      </c>
      <c r="I255" s="20">
        <v>0</v>
      </c>
      <c r="J255" s="19">
        <f t="shared" si="25"/>
        <v>0</v>
      </c>
      <c r="K255" s="19">
        <f t="shared" si="26"/>
        <v>0</v>
      </c>
      <c r="L255" s="19">
        <v>1.99E-3</v>
      </c>
      <c r="M255" s="19">
        <v>1.1999999999999999E-3</v>
      </c>
      <c r="N255" s="19">
        <v>9.8999999999999999E-4</v>
      </c>
      <c r="O255" s="19">
        <v>5.5000000000000003E-4</v>
      </c>
      <c r="P255" s="19">
        <v>8.1999999999999998E-4</v>
      </c>
      <c r="Q255" s="19">
        <v>6.0999999999999997E-4</v>
      </c>
      <c r="R255" s="19"/>
      <c r="S255" s="19">
        <f t="shared" si="27"/>
        <v>0</v>
      </c>
      <c r="T255" s="19">
        <f t="shared" si="28"/>
        <v>0</v>
      </c>
      <c r="U255" s="19">
        <f t="shared" si="29"/>
        <v>0</v>
      </c>
      <c r="V255" s="19">
        <f t="shared" si="30"/>
        <v>0</v>
      </c>
      <c r="W255" s="19">
        <f t="shared" si="31"/>
        <v>0</v>
      </c>
      <c r="X255" s="21">
        <f t="shared" si="32"/>
        <v>0</v>
      </c>
    </row>
    <row r="256" spans="1:24" ht="13.5" x14ac:dyDescent="0.35">
      <c r="A256" s="18">
        <v>116417</v>
      </c>
      <c r="B256" s="19" t="s">
        <v>450</v>
      </c>
      <c r="C256" s="19">
        <v>13.8</v>
      </c>
      <c r="D256" s="19">
        <v>101</v>
      </c>
      <c r="E256" s="19">
        <v>1333</v>
      </c>
      <c r="F256" s="19">
        <v>103.17</v>
      </c>
      <c r="G256" s="19">
        <v>0</v>
      </c>
      <c r="H256" s="19">
        <v>103.17</v>
      </c>
      <c r="I256" s="20">
        <v>103.17</v>
      </c>
      <c r="J256" s="19">
        <f t="shared" si="25"/>
        <v>0</v>
      </c>
      <c r="K256" s="19">
        <f t="shared" si="26"/>
        <v>0</v>
      </c>
      <c r="L256" s="19">
        <v>1.99E-3</v>
      </c>
      <c r="M256" s="19">
        <v>1.17E-3</v>
      </c>
      <c r="N256" s="19">
        <v>1.07E-3</v>
      </c>
      <c r="O256" s="19">
        <v>3.5E-4</v>
      </c>
      <c r="P256" s="19">
        <v>6.8000000000000005E-4</v>
      </c>
      <c r="Q256" s="19">
        <v>4.8000000000000001E-4</v>
      </c>
      <c r="R256" s="19"/>
      <c r="S256" s="19">
        <f t="shared" si="27"/>
        <v>0</v>
      </c>
      <c r="T256" s="19">
        <f t="shared" si="28"/>
        <v>0</v>
      </c>
      <c r="U256" s="19">
        <f t="shared" si="29"/>
        <v>0</v>
      </c>
      <c r="V256" s="19">
        <f t="shared" si="30"/>
        <v>0</v>
      </c>
      <c r="W256" s="19">
        <f t="shared" si="31"/>
        <v>0</v>
      </c>
      <c r="X256" s="21">
        <f t="shared" si="32"/>
        <v>0</v>
      </c>
    </row>
    <row r="257" spans="1:24" ht="13.5" x14ac:dyDescent="0.35">
      <c r="A257" s="18">
        <v>116418</v>
      </c>
      <c r="B257" s="19" t="s">
        <v>451</v>
      </c>
      <c r="C257" s="19">
        <v>13.8</v>
      </c>
      <c r="D257" s="19">
        <v>101</v>
      </c>
      <c r="E257" s="19">
        <v>1333</v>
      </c>
      <c r="F257" s="19">
        <v>101.67</v>
      </c>
      <c r="G257" s="19">
        <v>0</v>
      </c>
      <c r="H257" s="19">
        <v>101.67</v>
      </c>
      <c r="I257" s="20">
        <v>101.67</v>
      </c>
      <c r="J257" s="19">
        <f t="shared" si="25"/>
        <v>0</v>
      </c>
      <c r="K257" s="19">
        <f t="shared" si="26"/>
        <v>0</v>
      </c>
      <c r="L257" s="19">
        <v>1.99E-3</v>
      </c>
      <c r="M257" s="19">
        <v>1.17E-3</v>
      </c>
      <c r="N257" s="19">
        <v>1.07E-3</v>
      </c>
      <c r="O257" s="19">
        <v>3.5E-4</v>
      </c>
      <c r="P257" s="19">
        <v>6.8000000000000005E-4</v>
      </c>
      <c r="Q257" s="19">
        <v>4.8000000000000001E-4</v>
      </c>
      <c r="R257" s="19"/>
      <c r="S257" s="19">
        <f t="shared" si="27"/>
        <v>0</v>
      </c>
      <c r="T257" s="19">
        <f t="shared" si="28"/>
        <v>0</v>
      </c>
      <c r="U257" s="19">
        <f t="shared" si="29"/>
        <v>0</v>
      </c>
      <c r="V257" s="19">
        <f t="shared" si="30"/>
        <v>0</v>
      </c>
      <c r="W257" s="19">
        <f t="shared" si="31"/>
        <v>0</v>
      </c>
      <c r="X257" s="21">
        <f t="shared" si="32"/>
        <v>0</v>
      </c>
    </row>
    <row r="258" spans="1:24" ht="13.5" x14ac:dyDescent="0.35">
      <c r="A258" s="18">
        <v>116419</v>
      </c>
      <c r="B258" s="19" t="s">
        <v>452</v>
      </c>
      <c r="C258" s="19">
        <v>13.8</v>
      </c>
      <c r="D258" s="19">
        <v>101</v>
      </c>
      <c r="E258" s="19">
        <v>1333</v>
      </c>
      <c r="F258" s="19">
        <v>103.17</v>
      </c>
      <c r="G258" s="19">
        <v>0</v>
      </c>
      <c r="H258" s="19">
        <v>103.17</v>
      </c>
      <c r="I258" s="20">
        <v>103.17</v>
      </c>
      <c r="J258" s="19">
        <f t="shared" si="25"/>
        <v>0</v>
      </c>
      <c r="K258" s="19">
        <f t="shared" si="26"/>
        <v>0</v>
      </c>
      <c r="L258" s="19">
        <v>1.99E-3</v>
      </c>
      <c r="M258" s="19">
        <v>1.17E-3</v>
      </c>
      <c r="N258" s="19">
        <v>1.07E-3</v>
      </c>
      <c r="O258" s="19">
        <v>3.5E-4</v>
      </c>
      <c r="P258" s="19">
        <v>6.8000000000000005E-4</v>
      </c>
      <c r="Q258" s="19">
        <v>4.8000000000000001E-4</v>
      </c>
      <c r="R258" s="19"/>
      <c r="S258" s="19">
        <f t="shared" si="27"/>
        <v>0</v>
      </c>
      <c r="T258" s="19">
        <f t="shared" si="28"/>
        <v>0</v>
      </c>
      <c r="U258" s="19">
        <f t="shared" si="29"/>
        <v>0</v>
      </c>
      <c r="V258" s="19">
        <f t="shared" si="30"/>
        <v>0</v>
      </c>
      <c r="W258" s="19">
        <f t="shared" si="31"/>
        <v>0</v>
      </c>
      <c r="X258" s="21">
        <f t="shared" si="32"/>
        <v>0</v>
      </c>
    </row>
    <row r="259" spans="1:24" ht="13.5" x14ac:dyDescent="0.35">
      <c r="A259" s="18">
        <v>116420</v>
      </c>
      <c r="B259" s="19" t="s">
        <v>453</v>
      </c>
      <c r="C259" s="19">
        <v>13.8</v>
      </c>
      <c r="D259" s="19">
        <v>101</v>
      </c>
      <c r="E259" s="19">
        <v>1333</v>
      </c>
      <c r="F259" s="19">
        <v>82.36</v>
      </c>
      <c r="G259" s="19">
        <v>0</v>
      </c>
      <c r="H259" s="19">
        <v>82.36</v>
      </c>
      <c r="I259" s="20">
        <v>82.36</v>
      </c>
      <c r="J259" s="19">
        <f t="shared" si="25"/>
        <v>0</v>
      </c>
      <c r="K259" s="19">
        <f t="shared" si="26"/>
        <v>0</v>
      </c>
      <c r="L259" s="19">
        <v>1.99E-3</v>
      </c>
      <c r="M259" s="19">
        <v>1.17E-3</v>
      </c>
      <c r="N259" s="19">
        <v>1.07E-3</v>
      </c>
      <c r="O259" s="19">
        <v>3.5E-4</v>
      </c>
      <c r="P259" s="19">
        <v>6.8000000000000005E-4</v>
      </c>
      <c r="Q259" s="19">
        <v>4.8000000000000001E-4</v>
      </c>
      <c r="R259" s="19"/>
      <c r="S259" s="19">
        <f t="shared" si="27"/>
        <v>0</v>
      </c>
      <c r="T259" s="19">
        <f t="shared" si="28"/>
        <v>0</v>
      </c>
      <c r="U259" s="19">
        <f t="shared" si="29"/>
        <v>0</v>
      </c>
      <c r="V259" s="19">
        <f t="shared" si="30"/>
        <v>0</v>
      </c>
      <c r="W259" s="19">
        <f t="shared" si="31"/>
        <v>0</v>
      </c>
      <c r="X259" s="21">
        <f t="shared" si="32"/>
        <v>0</v>
      </c>
    </row>
    <row r="260" spans="1:24" ht="13.5" x14ac:dyDescent="0.35">
      <c r="A260" s="18">
        <v>116421</v>
      </c>
      <c r="B260" s="19" t="s">
        <v>454</v>
      </c>
      <c r="C260" s="19">
        <v>13.8</v>
      </c>
      <c r="D260" s="19">
        <v>101</v>
      </c>
      <c r="E260" s="19">
        <v>1333</v>
      </c>
      <c r="F260" s="19">
        <v>0</v>
      </c>
      <c r="G260" s="19">
        <v>0</v>
      </c>
      <c r="H260" s="19">
        <v>0</v>
      </c>
      <c r="I260" s="20">
        <v>0</v>
      </c>
      <c r="J260" s="19">
        <f t="shared" si="25"/>
        <v>0</v>
      </c>
      <c r="K260" s="19">
        <f t="shared" si="26"/>
        <v>0</v>
      </c>
      <c r="L260" s="19">
        <v>1.99E-3</v>
      </c>
      <c r="M260" s="19">
        <v>1.17E-3</v>
      </c>
      <c r="N260" s="19">
        <v>1.07E-3</v>
      </c>
      <c r="O260" s="19">
        <v>3.5E-4</v>
      </c>
      <c r="P260" s="19">
        <v>6.8000000000000005E-4</v>
      </c>
      <c r="Q260" s="19">
        <v>4.8000000000000001E-4</v>
      </c>
      <c r="R260" s="19"/>
      <c r="S260" s="19">
        <f t="shared" si="27"/>
        <v>0</v>
      </c>
      <c r="T260" s="19">
        <f t="shared" si="28"/>
        <v>0</v>
      </c>
      <c r="U260" s="19">
        <f t="shared" si="29"/>
        <v>0</v>
      </c>
      <c r="V260" s="19">
        <f t="shared" si="30"/>
        <v>0</v>
      </c>
      <c r="W260" s="19">
        <f t="shared" si="31"/>
        <v>0</v>
      </c>
      <c r="X260" s="21">
        <f t="shared" si="32"/>
        <v>0</v>
      </c>
    </row>
    <row r="261" spans="1:24" ht="13.5" x14ac:dyDescent="0.35">
      <c r="A261" s="18">
        <v>116422</v>
      </c>
      <c r="B261" s="19" t="s">
        <v>455</v>
      </c>
      <c r="C261" s="19">
        <v>13.8</v>
      </c>
      <c r="D261" s="19">
        <v>101</v>
      </c>
      <c r="E261" s="19">
        <v>1333</v>
      </c>
      <c r="F261" s="19">
        <v>0</v>
      </c>
      <c r="G261" s="19">
        <v>0</v>
      </c>
      <c r="H261" s="19">
        <v>0</v>
      </c>
      <c r="I261" s="20">
        <v>0</v>
      </c>
      <c r="J261" s="19">
        <f t="shared" si="25"/>
        <v>0</v>
      </c>
      <c r="K261" s="19">
        <f t="shared" si="26"/>
        <v>0</v>
      </c>
      <c r="L261" s="19">
        <v>1.99E-3</v>
      </c>
      <c r="M261" s="19">
        <v>1.17E-3</v>
      </c>
      <c r="N261" s="19">
        <v>1.07E-3</v>
      </c>
      <c r="O261" s="19">
        <v>3.5E-4</v>
      </c>
      <c r="P261" s="19">
        <v>6.8000000000000005E-4</v>
      </c>
      <c r="Q261" s="19">
        <v>4.8000000000000001E-4</v>
      </c>
      <c r="R261" s="19"/>
      <c r="S261" s="19">
        <f t="shared" si="27"/>
        <v>0</v>
      </c>
      <c r="T261" s="19">
        <f t="shared" si="28"/>
        <v>0</v>
      </c>
      <c r="U261" s="19">
        <f t="shared" si="29"/>
        <v>0</v>
      </c>
      <c r="V261" s="19">
        <f t="shared" si="30"/>
        <v>0</v>
      </c>
      <c r="W261" s="19">
        <f t="shared" si="31"/>
        <v>0</v>
      </c>
      <c r="X261" s="21">
        <f t="shared" si="32"/>
        <v>0</v>
      </c>
    </row>
    <row r="262" spans="1:24" ht="13.5" x14ac:dyDescent="0.35">
      <c r="A262" s="18">
        <v>913012</v>
      </c>
      <c r="B262" s="19" t="s">
        <v>654</v>
      </c>
      <c r="C262" s="19">
        <v>115</v>
      </c>
      <c r="D262" s="19">
        <v>101</v>
      </c>
      <c r="E262" s="19">
        <v>1100</v>
      </c>
      <c r="F262" s="19">
        <v>21.2</v>
      </c>
      <c r="G262" s="19">
        <v>0</v>
      </c>
      <c r="H262" s="19">
        <v>21.2</v>
      </c>
      <c r="I262" s="20">
        <v>21.2</v>
      </c>
      <c r="J262" s="19">
        <f t="shared" si="25"/>
        <v>0</v>
      </c>
      <c r="K262" s="19">
        <f t="shared" si="26"/>
        <v>0</v>
      </c>
      <c r="L262" s="19">
        <v>1.99E-3</v>
      </c>
      <c r="M262" s="19">
        <v>1.1999999999999999E-3</v>
      </c>
      <c r="N262" s="19">
        <v>9.8999999999999999E-4</v>
      </c>
      <c r="O262" s="19">
        <v>5.5000000000000003E-4</v>
      </c>
      <c r="P262" s="19">
        <v>8.1999999999999998E-4</v>
      </c>
      <c r="Q262" s="19">
        <v>6.0999999999999997E-4</v>
      </c>
      <c r="R262" s="19"/>
      <c r="S262" s="19">
        <f t="shared" si="27"/>
        <v>0</v>
      </c>
      <c r="T262" s="19">
        <f t="shared" si="28"/>
        <v>0</v>
      </c>
      <c r="U262" s="19">
        <f t="shared" si="29"/>
        <v>0</v>
      </c>
      <c r="V262" s="19">
        <f t="shared" si="30"/>
        <v>0</v>
      </c>
      <c r="W262" s="19">
        <f t="shared" si="31"/>
        <v>0</v>
      </c>
      <c r="X262" s="21">
        <f t="shared" si="32"/>
        <v>0</v>
      </c>
    </row>
    <row r="263" spans="1:24" ht="13.5" x14ac:dyDescent="0.35">
      <c r="A263" s="18">
        <v>996045</v>
      </c>
      <c r="B263" s="19" t="s">
        <v>729</v>
      </c>
      <c r="C263" s="19">
        <v>345</v>
      </c>
      <c r="D263" s="19">
        <v>101</v>
      </c>
      <c r="E263" s="19">
        <v>1330</v>
      </c>
      <c r="F263" s="19">
        <v>0</v>
      </c>
      <c r="G263" s="19">
        <v>0</v>
      </c>
      <c r="H263" s="19">
        <v>0</v>
      </c>
      <c r="I263" s="20">
        <v>0</v>
      </c>
      <c r="J263" s="19">
        <f t="shared" si="25"/>
        <v>0</v>
      </c>
      <c r="K263" s="19">
        <f t="shared" si="26"/>
        <v>0</v>
      </c>
      <c r="L263" s="19">
        <v>1.99E-3</v>
      </c>
      <c r="M263" s="19">
        <v>1.17E-3</v>
      </c>
      <c r="N263" s="19">
        <v>1.07E-3</v>
      </c>
      <c r="O263" s="19">
        <v>3.5E-4</v>
      </c>
      <c r="P263" s="19">
        <v>6.8000000000000005E-4</v>
      </c>
      <c r="Q263" s="19">
        <v>4.8000000000000001E-4</v>
      </c>
      <c r="R263" s="19"/>
      <c r="S263" s="19">
        <f t="shared" si="27"/>
        <v>0</v>
      </c>
      <c r="T263" s="19">
        <f t="shared" si="28"/>
        <v>0</v>
      </c>
      <c r="U263" s="19">
        <f t="shared" si="29"/>
        <v>0</v>
      </c>
      <c r="V263" s="19">
        <f t="shared" si="30"/>
        <v>0</v>
      </c>
      <c r="W263" s="19">
        <f t="shared" si="31"/>
        <v>0</v>
      </c>
      <c r="X263" s="21">
        <f t="shared" si="32"/>
        <v>0</v>
      </c>
    </row>
    <row r="264" spans="1:24" ht="13.5" x14ac:dyDescent="0.35">
      <c r="A264" s="18">
        <v>913029</v>
      </c>
      <c r="B264" s="19" t="s">
        <v>657</v>
      </c>
      <c r="C264" s="19">
        <v>69</v>
      </c>
      <c r="D264" s="19">
        <v>101</v>
      </c>
      <c r="E264" s="19">
        <v>1100</v>
      </c>
      <c r="F264" s="19">
        <v>0</v>
      </c>
      <c r="G264" s="19">
        <v>0</v>
      </c>
      <c r="H264" s="19">
        <v>0</v>
      </c>
      <c r="I264" s="20">
        <v>0</v>
      </c>
      <c r="J264" s="19">
        <f t="shared" si="25"/>
        <v>0</v>
      </c>
      <c r="K264" s="19">
        <f t="shared" si="26"/>
        <v>0</v>
      </c>
      <c r="L264" s="19">
        <v>1.9E-3</v>
      </c>
      <c r="M264" s="19">
        <v>1.2099999999999999E-3</v>
      </c>
      <c r="N264" s="19">
        <v>9.2000000000000003E-4</v>
      </c>
      <c r="O264" s="19">
        <v>9.6000000000000002E-4</v>
      </c>
      <c r="P264" s="19">
        <v>1.14E-3</v>
      </c>
      <c r="Q264" s="19">
        <v>9.2000000000000003E-4</v>
      </c>
      <c r="R264" s="19"/>
      <c r="S264" s="19">
        <f t="shared" si="27"/>
        <v>0</v>
      </c>
      <c r="T264" s="19">
        <f t="shared" si="28"/>
        <v>0</v>
      </c>
      <c r="U264" s="19">
        <f t="shared" si="29"/>
        <v>0</v>
      </c>
      <c r="V264" s="19">
        <f t="shared" si="30"/>
        <v>0</v>
      </c>
      <c r="W264" s="19">
        <f t="shared" si="31"/>
        <v>0</v>
      </c>
      <c r="X264" s="21">
        <f t="shared" si="32"/>
        <v>0</v>
      </c>
    </row>
    <row r="265" spans="1:24" ht="13.5" x14ac:dyDescent="0.35">
      <c r="A265" s="18">
        <v>113061</v>
      </c>
      <c r="B265" s="19" t="s">
        <v>379</v>
      </c>
      <c r="C265" s="19">
        <v>23</v>
      </c>
      <c r="D265" s="19">
        <v>101</v>
      </c>
      <c r="E265" s="19">
        <v>1100</v>
      </c>
      <c r="F265" s="19">
        <v>0</v>
      </c>
      <c r="G265" s="19">
        <v>0</v>
      </c>
      <c r="H265" s="19">
        <v>0</v>
      </c>
      <c r="I265" s="20">
        <v>0</v>
      </c>
      <c r="J265" s="19">
        <f t="shared" si="25"/>
        <v>0</v>
      </c>
      <c r="K265" s="19">
        <f t="shared" si="26"/>
        <v>0</v>
      </c>
      <c r="L265" s="19">
        <v>1.8600000000000001E-3</v>
      </c>
      <c r="M265" s="19">
        <v>1.1000000000000001E-3</v>
      </c>
      <c r="N265" s="19">
        <v>9.8999999999999999E-4</v>
      </c>
      <c r="O265" s="19">
        <v>4.4999999999999999E-4</v>
      </c>
      <c r="P265" s="19">
        <v>7.2999999999999996E-4</v>
      </c>
      <c r="Q265" s="19">
        <v>5.4000000000000001E-4</v>
      </c>
      <c r="R265" s="19"/>
      <c r="S265" s="19">
        <f t="shared" si="27"/>
        <v>0</v>
      </c>
      <c r="T265" s="19">
        <f t="shared" si="28"/>
        <v>0</v>
      </c>
      <c r="U265" s="19">
        <f t="shared" si="29"/>
        <v>0</v>
      </c>
      <c r="V265" s="19">
        <f t="shared" si="30"/>
        <v>0</v>
      </c>
      <c r="W265" s="19">
        <f t="shared" si="31"/>
        <v>0</v>
      </c>
      <c r="X265" s="21">
        <f t="shared" si="32"/>
        <v>0</v>
      </c>
    </row>
    <row r="266" spans="1:24" ht="13.5" x14ac:dyDescent="0.35">
      <c r="A266" s="18">
        <v>113128</v>
      </c>
      <c r="B266" s="19" t="s">
        <v>393</v>
      </c>
      <c r="C266" s="19">
        <v>0.34</v>
      </c>
      <c r="D266" s="19">
        <v>101</v>
      </c>
      <c r="E266" s="19">
        <v>1100</v>
      </c>
      <c r="F266" s="19">
        <v>0</v>
      </c>
      <c r="G266" s="19">
        <v>0</v>
      </c>
      <c r="H266" s="19">
        <v>0</v>
      </c>
      <c r="I266" s="20">
        <v>0</v>
      </c>
      <c r="J266" s="19">
        <f t="shared" si="25"/>
        <v>0</v>
      </c>
      <c r="K266" s="19">
        <f t="shared" si="26"/>
        <v>0</v>
      </c>
      <c r="L266" s="19">
        <v>1.8400000000000001E-3</v>
      </c>
      <c r="M266" s="19">
        <v>1.07E-3</v>
      </c>
      <c r="N266" s="19">
        <v>7.5000000000000002E-4</v>
      </c>
      <c r="O266" s="19">
        <v>3.5E-4</v>
      </c>
      <c r="P266" s="19">
        <v>5.9999999999999995E-4</v>
      </c>
      <c r="Q266" s="19">
        <v>4.0000000000000002E-4</v>
      </c>
      <c r="R266" s="19"/>
      <c r="S266" s="19">
        <f t="shared" si="27"/>
        <v>0</v>
      </c>
      <c r="T266" s="19">
        <f t="shared" si="28"/>
        <v>0</v>
      </c>
      <c r="U266" s="19">
        <f t="shared" si="29"/>
        <v>0</v>
      </c>
      <c r="V266" s="19">
        <f t="shared" si="30"/>
        <v>0</v>
      </c>
      <c r="W266" s="19">
        <f t="shared" si="31"/>
        <v>0</v>
      </c>
      <c r="X266" s="21">
        <f t="shared" si="32"/>
        <v>0</v>
      </c>
    </row>
    <row r="267" spans="1:24" ht="13.5" x14ac:dyDescent="0.35">
      <c r="A267" s="18">
        <v>113129</v>
      </c>
      <c r="B267" s="19" t="s">
        <v>394</v>
      </c>
      <c r="C267" s="19">
        <v>0.34</v>
      </c>
      <c r="D267" s="19">
        <v>101</v>
      </c>
      <c r="E267" s="19">
        <v>1100</v>
      </c>
      <c r="F267" s="19">
        <v>0</v>
      </c>
      <c r="G267" s="19">
        <v>0</v>
      </c>
      <c r="H267" s="19">
        <v>0</v>
      </c>
      <c r="I267" s="20">
        <v>0</v>
      </c>
      <c r="J267" s="19">
        <f t="shared" si="25"/>
        <v>0</v>
      </c>
      <c r="K267" s="19">
        <f t="shared" si="26"/>
        <v>0</v>
      </c>
      <c r="L267" s="19">
        <v>1.8400000000000001E-3</v>
      </c>
      <c r="M267" s="19">
        <v>1.07E-3</v>
      </c>
      <c r="N267" s="19">
        <v>7.5000000000000002E-4</v>
      </c>
      <c r="O267" s="19">
        <v>3.5E-4</v>
      </c>
      <c r="P267" s="19">
        <v>5.9999999999999995E-4</v>
      </c>
      <c r="Q267" s="19">
        <v>4.0000000000000002E-4</v>
      </c>
      <c r="R267" s="19"/>
      <c r="S267" s="19">
        <f t="shared" si="27"/>
        <v>0</v>
      </c>
      <c r="T267" s="19">
        <f t="shared" si="28"/>
        <v>0</v>
      </c>
      <c r="U267" s="19">
        <f t="shared" si="29"/>
        <v>0</v>
      </c>
      <c r="V267" s="19">
        <f t="shared" si="30"/>
        <v>0</v>
      </c>
      <c r="W267" s="19">
        <f t="shared" si="31"/>
        <v>0</v>
      </c>
      <c r="X267" s="21">
        <f t="shared" si="32"/>
        <v>0</v>
      </c>
    </row>
    <row r="268" spans="1:24" ht="13.5" x14ac:dyDescent="0.35">
      <c r="A268" s="18">
        <v>113130</v>
      </c>
      <c r="B268" s="19" t="s">
        <v>395</v>
      </c>
      <c r="C268" s="19">
        <v>0.36</v>
      </c>
      <c r="D268" s="19">
        <v>101</v>
      </c>
      <c r="E268" s="19">
        <v>1100</v>
      </c>
      <c r="F268" s="19">
        <v>0</v>
      </c>
      <c r="G268" s="19">
        <v>0</v>
      </c>
      <c r="H268" s="19">
        <v>0</v>
      </c>
      <c r="I268" s="20">
        <v>0</v>
      </c>
      <c r="J268" s="19">
        <f t="shared" si="25"/>
        <v>0</v>
      </c>
      <c r="K268" s="19">
        <f t="shared" si="26"/>
        <v>0</v>
      </c>
      <c r="L268" s="19">
        <v>1.8400000000000001E-3</v>
      </c>
      <c r="M268" s="19">
        <v>1.07E-3</v>
      </c>
      <c r="N268" s="19">
        <v>7.5000000000000002E-4</v>
      </c>
      <c r="O268" s="19">
        <v>3.5E-4</v>
      </c>
      <c r="P268" s="19">
        <v>5.9999999999999995E-4</v>
      </c>
      <c r="Q268" s="19">
        <v>4.0000000000000002E-4</v>
      </c>
      <c r="R268" s="19"/>
      <c r="S268" s="19">
        <f t="shared" si="27"/>
        <v>0</v>
      </c>
      <c r="T268" s="19">
        <f t="shared" si="28"/>
        <v>0</v>
      </c>
      <c r="U268" s="19">
        <f t="shared" si="29"/>
        <v>0</v>
      </c>
      <c r="V268" s="19">
        <f t="shared" si="30"/>
        <v>0</v>
      </c>
      <c r="W268" s="19">
        <f t="shared" si="31"/>
        <v>0</v>
      </c>
      <c r="X268" s="21">
        <f t="shared" si="32"/>
        <v>0</v>
      </c>
    </row>
    <row r="269" spans="1:24" ht="13.5" x14ac:dyDescent="0.35">
      <c r="A269" s="18">
        <v>116638</v>
      </c>
      <c r="B269" s="19" t="s">
        <v>478</v>
      </c>
      <c r="C269" s="19">
        <v>13.2</v>
      </c>
      <c r="D269" s="19">
        <v>101</v>
      </c>
      <c r="E269" s="19">
        <v>1374</v>
      </c>
      <c r="F269" s="19">
        <v>0</v>
      </c>
      <c r="G269" s="19">
        <v>0</v>
      </c>
      <c r="H269" s="19">
        <v>0</v>
      </c>
      <c r="I269" s="20">
        <v>0</v>
      </c>
      <c r="J269" s="19">
        <f t="shared" si="25"/>
        <v>0</v>
      </c>
      <c r="K269" s="19">
        <f t="shared" si="26"/>
        <v>0</v>
      </c>
      <c r="L269" s="19">
        <v>1.81E-3</v>
      </c>
      <c r="M269" s="19">
        <v>1.0499999999999999E-3</v>
      </c>
      <c r="N269" s="19">
        <v>9.3000000000000005E-4</v>
      </c>
      <c r="O269" s="19">
        <v>4.0000000000000002E-4</v>
      </c>
      <c r="P269" s="19">
        <v>6.8000000000000005E-4</v>
      </c>
      <c r="Q269" s="19">
        <v>4.8999999999999998E-4</v>
      </c>
      <c r="R269" s="19"/>
      <c r="S269" s="19">
        <f t="shared" si="27"/>
        <v>0</v>
      </c>
      <c r="T269" s="19">
        <f t="shared" si="28"/>
        <v>0</v>
      </c>
      <c r="U269" s="19">
        <f t="shared" si="29"/>
        <v>0</v>
      </c>
      <c r="V269" s="19">
        <f t="shared" si="30"/>
        <v>0</v>
      </c>
      <c r="W269" s="19">
        <f t="shared" si="31"/>
        <v>0</v>
      </c>
      <c r="X269" s="21">
        <f t="shared" si="32"/>
        <v>0</v>
      </c>
    </row>
    <row r="270" spans="1:24" ht="13.5" x14ac:dyDescent="0.35">
      <c r="A270" s="18">
        <v>113085</v>
      </c>
      <c r="B270" s="19" t="s">
        <v>382</v>
      </c>
      <c r="C270" s="19">
        <v>13.8</v>
      </c>
      <c r="D270" s="19">
        <v>101</v>
      </c>
      <c r="E270" s="19">
        <v>1100</v>
      </c>
      <c r="F270" s="19">
        <v>0</v>
      </c>
      <c r="G270" s="19">
        <v>0</v>
      </c>
      <c r="H270" s="19">
        <v>0</v>
      </c>
      <c r="I270" s="20">
        <v>0</v>
      </c>
      <c r="J270" s="19">
        <f t="shared" si="25"/>
        <v>0</v>
      </c>
      <c r="K270" s="19">
        <f t="shared" si="26"/>
        <v>0</v>
      </c>
      <c r="L270" s="19">
        <v>1.75E-3</v>
      </c>
      <c r="M270" s="19">
        <v>1.06E-3</v>
      </c>
      <c r="N270" s="19">
        <v>8.3000000000000001E-4</v>
      </c>
      <c r="O270" s="19">
        <v>6.6E-4</v>
      </c>
      <c r="P270" s="19">
        <v>8.5999999999999998E-4</v>
      </c>
      <c r="Q270" s="19">
        <v>6.7000000000000002E-4</v>
      </c>
      <c r="R270" s="19"/>
      <c r="S270" s="19">
        <f t="shared" si="27"/>
        <v>0</v>
      </c>
      <c r="T270" s="19">
        <f t="shared" si="28"/>
        <v>0</v>
      </c>
      <c r="U270" s="19">
        <f t="shared" si="29"/>
        <v>0</v>
      </c>
      <c r="V270" s="19">
        <f t="shared" si="30"/>
        <v>0</v>
      </c>
      <c r="W270" s="19">
        <f t="shared" si="31"/>
        <v>0</v>
      </c>
      <c r="X270" s="21">
        <f t="shared" si="32"/>
        <v>0</v>
      </c>
    </row>
    <row r="271" spans="1:24" ht="13.5" x14ac:dyDescent="0.35">
      <c r="A271" s="18">
        <v>913015</v>
      </c>
      <c r="B271" s="19" t="s">
        <v>655</v>
      </c>
      <c r="C271" s="19">
        <v>115</v>
      </c>
      <c r="D271" s="19">
        <v>101</v>
      </c>
      <c r="E271" s="19">
        <v>1100</v>
      </c>
      <c r="F271" s="19">
        <v>46.16</v>
      </c>
      <c r="G271" s="19">
        <v>0</v>
      </c>
      <c r="H271" s="19">
        <v>46.16</v>
      </c>
      <c r="I271" s="20">
        <v>46.16</v>
      </c>
      <c r="J271" s="19">
        <f t="shared" ref="J271:J334" si="33">I271-F271</f>
        <v>0</v>
      </c>
      <c r="K271" s="19">
        <f t="shared" ref="K271:K334" si="34">H271-I271</f>
        <v>0</v>
      </c>
      <c r="L271" s="19">
        <v>1.75E-3</v>
      </c>
      <c r="M271" s="19">
        <v>1.06E-3</v>
      </c>
      <c r="N271" s="19">
        <v>8.3000000000000001E-4</v>
      </c>
      <c r="O271" s="19">
        <v>6.6E-4</v>
      </c>
      <c r="P271" s="19">
        <v>8.5999999999999998E-4</v>
      </c>
      <c r="Q271" s="19">
        <v>6.7000000000000002E-4</v>
      </c>
      <c r="R271" s="19"/>
      <c r="S271" s="19">
        <f t="shared" ref="S271:S334" si="35">L271*J271</f>
        <v>0</v>
      </c>
      <c r="T271" s="19">
        <f t="shared" ref="T271:T334" si="36">M271*J271</f>
        <v>0</v>
      </c>
      <c r="U271" s="19">
        <f t="shared" ref="U271:U334" si="37">N271*J271</f>
        <v>0</v>
      </c>
      <c r="V271" s="19">
        <f t="shared" ref="V271:V334" si="38">O271*J271</f>
        <v>0</v>
      </c>
      <c r="W271" s="19">
        <f t="shared" ref="W271:W334" si="39">P271*J271</f>
        <v>0</v>
      </c>
      <c r="X271" s="21">
        <f t="shared" ref="X271:X334" si="40">Q271*J271</f>
        <v>0</v>
      </c>
    </row>
    <row r="272" spans="1:24" ht="13.5" x14ac:dyDescent="0.35">
      <c r="A272" s="18">
        <v>109296</v>
      </c>
      <c r="B272" s="19" t="s">
        <v>315</v>
      </c>
      <c r="C272" s="19">
        <v>12.5</v>
      </c>
      <c r="D272" s="19">
        <v>101</v>
      </c>
      <c r="E272" s="19">
        <v>704</v>
      </c>
      <c r="F272" s="19">
        <v>0</v>
      </c>
      <c r="G272" s="19">
        <v>0</v>
      </c>
      <c r="H272" s="19">
        <v>0</v>
      </c>
      <c r="I272" s="20">
        <v>0</v>
      </c>
      <c r="J272" s="19">
        <f t="shared" si="33"/>
        <v>0</v>
      </c>
      <c r="K272" s="19">
        <f t="shared" si="34"/>
        <v>0</v>
      </c>
      <c r="L272" s="19">
        <v>1.7099999999999999E-3</v>
      </c>
      <c r="M272" s="19">
        <v>1E-3</v>
      </c>
      <c r="N272" s="19">
        <v>8.0999999999999996E-4</v>
      </c>
      <c r="O272" s="19">
        <v>4.4000000000000002E-4</v>
      </c>
      <c r="P272" s="19">
        <v>6.8000000000000005E-4</v>
      </c>
      <c r="Q272" s="19">
        <v>4.8999999999999998E-4</v>
      </c>
      <c r="R272" s="19"/>
      <c r="S272" s="19">
        <f t="shared" si="35"/>
        <v>0</v>
      </c>
      <c r="T272" s="19">
        <f t="shared" si="36"/>
        <v>0</v>
      </c>
      <c r="U272" s="19">
        <f t="shared" si="37"/>
        <v>0</v>
      </c>
      <c r="V272" s="19">
        <f t="shared" si="38"/>
        <v>0</v>
      </c>
      <c r="W272" s="19">
        <f t="shared" si="39"/>
        <v>0</v>
      </c>
      <c r="X272" s="21">
        <f t="shared" si="40"/>
        <v>0</v>
      </c>
    </row>
    <row r="273" spans="1:24" ht="13.5" x14ac:dyDescent="0.35">
      <c r="A273" s="18">
        <v>109297</v>
      </c>
      <c r="B273" s="19" t="s">
        <v>316</v>
      </c>
      <c r="C273" s="19">
        <v>12.5</v>
      </c>
      <c r="D273" s="19">
        <v>101</v>
      </c>
      <c r="E273" s="19">
        <v>704</v>
      </c>
      <c r="F273" s="19">
        <v>0</v>
      </c>
      <c r="G273" s="19">
        <v>0</v>
      </c>
      <c r="H273" s="19">
        <v>0</v>
      </c>
      <c r="I273" s="20">
        <v>0</v>
      </c>
      <c r="J273" s="19">
        <f t="shared" si="33"/>
        <v>0</v>
      </c>
      <c r="K273" s="19">
        <f t="shared" si="34"/>
        <v>0</v>
      </c>
      <c r="L273" s="19">
        <v>1.7099999999999999E-3</v>
      </c>
      <c r="M273" s="19">
        <v>1E-3</v>
      </c>
      <c r="N273" s="19">
        <v>8.0999999999999996E-4</v>
      </c>
      <c r="O273" s="19">
        <v>4.4000000000000002E-4</v>
      </c>
      <c r="P273" s="19">
        <v>6.8000000000000005E-4</v>
      </c>
      <c r="Q273" s="19">
        <v>4.8999999999999998E-4</v>
      </c>
      <c r="R273" s="19"/>
      <c r="S273" s="19">
        <f t="shared" si="35"/>
        <v>0</v>
      </c>
      <c r="T273" s="19">
        <f t="shared" si="36"/>
        <v>0</v>
      </c>
      <c r="U273" s="19">
        <f t="shared" si="37"/>
        <v>0</v>
      </c>
      <c r="V273" s="19">
        <f t="shared" si="38"/>
        <v>0</v>
      </c>
      <c r="W273" s="19">
        <f t="shared" si="39"/>
        <v>0</v>
      </c>
      <c r="X273" s="21">
        <f t="shared" si="40"/>
        <v>0</v>
      </c>
    </row>
    <row r="274" spans="1:24" ht="13.5" x14ac:dyDescent="0.35">
      <c r="A274" s="18">
        <v>109403</v>
      </c>
      <c r="B274" s="19" t="s">
        <v>318</v>
      </c>
      <c r="C274" s="19">
        <v>0.69</v>
      </c>
      <c r="D274" s="19">
        <v>101</v>
      </c>
      <c r="E274" s="19">
        <v>704</v>
      </c>
      <c r="F274" s="19">
        <v>0</v>
      </c>
      <c r="G274" s="19">
        <v>0</v>
      </c>
      <c r="H274" s="19">
        <v>0</v>
      </c>
      <c r="I274" s="20">
        <v>0</v>
      </c>
      <c r="J274" s="19">
        <f t="shared" si="33"/>
        <v>0</v>
      </c>
      <c r="K274" s="19">
        <f t="shared" si="34"/>
        <v>0</v>
      </c>
      <c r="L274" s="19">
        <v>1.7099999999999999E-3</v>
      </c>
      <c r="M274" s="19">
        <v>1E-3</v>
      </c>
      <c r="N274" s="19">
        <v>8.1999999999999998E-4</v>
      </c>
      <c r="O274" s="19">
        <v>4.4000000000000002E-4</v>
      </c>
      <c r="P274" s="19">
        <v>6.8000000000000005E-4</v>
      </c>
      <c r="Q274" s="19">
        <v>5.0000000000000001E-4</v>
      </c>
      <c r="R274" s="19"/>
      <c r="S274" s="19">
        <f t="shared" si="35"/>
        <v>0</v>
      </c>
      <c r="T274" s="19">
        <f t="shared" si="36"/>
        <v>0</v>
      </c>
      <c r="U274" s="19">
        <f t="shared" si="37"/>
        <v>0</v>
      </c>
      <c r="V274" s="19">
        <f t="shared" si="38"/>
        <v>0</v>
      </c>
      <c r="W274" s="19">
        <f t="shared" si="39"/>
        <v>0</v>
      </c>
      <c r="X274" s="21">
        <f t="shared" si="40"/>
        <v>0</v>
      </c>
    </row>
    <row r="275" spans="1:24" ht="13.5" x14ac:dyDescent="0.35">
      <c r="A275" s="18">
        <v>109404</v>
      </c>
      <c r="B275" s="19" t="s">
        <v>319</v>
      </c>
      <c r="C275" s="19">
        <v>0.69</v>
      </c>
      <c r="D275" s="19">
        <v>101</v>
      </c>
      <c r="E275" s="19">
        <v>704</v>
      </c>
      <c r="F275" s="19">
        <v>0</v>
      </c>
      <c r="G275" s="19">
        <v>0</v>
      </c>
      <c r="H275" s="19">
        <v>0</v>
      </c>
      <c r="I275" s="20">
        <v>0</v>
      </c>
      <c r="J275" s="19">
        <f t="shared" si="33"/>
        <v>0</v>
      </c>
      <c r="K275" s="19">
        <f t="shared" si="34"/>
        <v>0</v>
      </c>
      <c r="L275" s="19">
        <v>1.7099999999999999E-3</v>
      </c>
      <c r="M275" s="19">
        <v>1E-3</v>
      </c>
      <c r="N275" s="19">
        <v>8.1999999999999998E-4</v>
      </c>
      <c r="O275" s="19">
        <v>4.4000000000000002E-4</v>
      </c>
      <c r="P275" s="19">
        <v>6.8000000000000005E-4</v>
      </c>
      <c r="Q275" s="19">
        <v>5.0000000000000001E-4</v>
      </c>
      <c r="R275" s="19"/>
      <c r="S275" s="19">
        <f t="shared" si="35"/>
        <v>0</v>
      </c>
      <c r="T275" s="19">
        <f t="shared" si="36"/>
        <v>0</v>
      </c>
      <c r="U275" s="19">
        <f t="shared" si="37"/>
        <v>0</v>
      </c>
      <c r="V275" s="19">
        <f t="shared" si="38"/>
        <v>0</v>
      </c>
      <c r="W275" s="19">
        <f t="shared" si="39"/>
        <v>0</v>
      </c>
      <c r="X275" s="21">
        <f t="shared" si="40"/>
        <v>0</v>
      </c>
    </row>
    <row r="276" spans="1:24" ht="13.5" x14ac:dyDescent="0.35">
      <c r="A276" s="18">
        <v>116608</v>
      </c>
      <c r="B276" s="19" t="s">
        <v>472</v>
      </c>
      <c r="C276" s="19">
        <v>13.2</v>
      </c>
      <c r="D276" s="19">
        <v>101</v>
      </c>
      <c r="E276" s="19">
        <v>1374</v>
      </c>
      <c r="F276" s="19">
        <v>0</v>
      </c>
      <c r="G276" s="19">
        <v>0</v>
      </c>
      <c r="H276" s="19">
        <v>0</v>
      </c>
      <c r="I276" s="20">
        <v>0</v>
      </c>
      <c r="J276" s="19">
        <f t="shared" si="33"/>
        <v>0</v>
      </c>
      <c r="K276" s="19">
        <f t="shared" si="34"/>
        <v>0</v>
      </c>
      <c r="L276" s="19">
        <v>1.7099999999999999E-3</v>
      </c>
      <c r="M276" s="19">
        <v>9.7999999999999997E-4</v>
      </c>
      <c r="N276" s="19">
        <v>8.3000000000000001E-4</v>
      </c>
      <c r="O276" s="19">
        <v>3.3E-4</v>
      </c>
      <c r="P276" s="19">
        <v>5.9000000000000003E-4</v>
      </c>
      <c r="Q276" s="19">
        <v>4.0999999999999999E-4</v>
      </c>
      <c r="R276" s="19"/>
      <c r="S276" s="19">
        <f t="shared" si="35"/>
        <v>0</v>
      </c>
      <c r="T276" s="19">
        <f t="shared" si="36"/>
        <v>0</v>
      </c>
      <c r="U276" s="19">
        <f t="shared" si="37"/>
        <v>0</v>
      </c>
      <c r="V276" s="19">
        <f t="shared" si="38"/>
        <v>0</v>
      </c>
      <c r="W276" s="19">
        <f t="shared" si="39"/>
        <v>0</v>
      </c>
      <c r="X276" s="21">
        <f t="shared" si="40"/>
        <v>0</v>
      </c>
    </row>
    <row r="277" spans="1:24" ht="13.5" x14ac:dyDescent="0.35">
      <c r="A277" s="18">
        <v>116618</v>
      </c>
      <c r="B277" s="19" t="s">
        <v>473</v>
      </c>
      <c r="C277" s="19">
        <v>13.8</v>
      </c>
      <c r="D277" s="19">
        <v>101</v>
      </c>
      <c r="E277" s="19">
        <v>1373</v>
      </c>
      <c r="F277" s="19">
        <v>33.65</v>
      </c>
      <c r="G277" s="19">
        <v>0</v>
      </c>
      <c r="H277" s="19">
        <v>33.65</v>
      </c>
      <c r="I277" s="20">
        <v>33.65</v>
      </c>
      <c r="J277" s="19">
        <f t="shared" si="33"/>
        <v>0</v>
      </c>
      <c r="K277" s="19">
        <f t="shared" si="34"/>
        <v>0</v>
      </c>
      <c r="L277" s="19">
        <v>1.7099999999999999E-3</v>
      </c>
      <c r="M277" s="19">
        <v>9.7999999999999997E-4</v>
      </c>
      <c r="N277" s="19">
        <v>8.3000000000000001E-4</v>
      </c>
      <c r="O277" s="19">
        <v>3.3E-4</v>
      </c>
      <c r="P277" s="19">
        <v>5.9000000000000003E-4</v>
      </c>
      <c r="Q277" s="19">
        <v>4.0999999999999999E-4</v>
      </c>
      <c r="R277" s="19"/>
      <c r="S277" s="19">
        <f t="shared" si="35"/>
        <v>0</v>
      </c>
      <c r="T277" s="19">
        <f t="shared" si="36"/>
        <v>0</v>
      </c>
      <c r="U277" s="19">
        <f t="shared" si="37"/>
        <v>0</v>
      </c>
      <c r="V277" s="19">
        <f t="shared" si="38"/>
        <v>0</v>
      </c>
      <c r="W277" s="19">
        <f t="shared" si="39"/>
        <v>0</v>
      </c>
      <c r="X277" s="21">
        <f t="shared" si="40"/>
        <v>0</v>
      </c>
    </row>
    <row r="278" spans="1:24" ht="13.5" x14ac:dyDescent="0.35">
      <c r="A278" s="18">
        <v>116619</v>
      </c>
      <c r="B278" s="19" t="s">
        <v>474</v>
      </c>
      <c r="C278" s="19">
        <v>13.8</v>
      </c>
      <c r="D278" s="19">
        <v>101</v>
      </c>
      <c r="E278" s="19">
        <v>1373</v>
      </c>
      <c r="F278" s="19">
        <v>33.65</v>
      </c>
      <c r="G278" s="19">
        <v>0</v>
      </c>
      <c r="H278" s="19">
        <v>33.65</v>
      </c>
      <c r="I278" s="20">
        <v>33.65</v>
      </c>
      <c r="J278" s="19">
        <f t="shared" si="33"/>
        <v>0</v>
      </c>
      <c r="K278" s="19">
        <f t="shared" si="34"/>
        <v>0</v>
      </c>
      <c r="L278" s="19">
        <v>1.7099999999999999E-3</v>
      </c>
      <c r="M278" s="19">
        <v>9.7999999999999997E-4</v>
      </c>
      <c r="N278" s="19">
        <v>8.3000000000000001E-4</v>
      </c>
      <c r="O278" s="19">
        <v>3.3E-4</v>
      </c>
      <c r="P278" s="19">
        <v>5.9000000000000003E-4</v>
      </c>
      <c r="Q278" s="19">
        <v>4.0999999999999999E-4</v>
      </c>
      <c r="R278" s="19"/>
      <c r="S278" s="19">
        <f t="shared" si="35"/>
        <v>0</v>
      </c>
      <c r="T278" s="19">
        <f t="shared" si="36"/>
        <v>0</v>
      </c>
      <c r="U278" s="19">
        <f t="shared" si="37"/>
        <v>0</v>
      </c>
      <c r="V278" s="19">
        <f t="shared" si="38"/>
        <v>0</v>
      </c>
      <c r="W278" s="19">
        <f t="shared" si="39"/>
        <v>0</v>
      </c>
      <c r="X278" s="21">
        <f t="shared" si="40"/>
        <v>0</v>
      </c>
    </row>
    <row r="279" spans="1:24" ht="13.5" x14ac:dyDescent="0.35">
      <c r="A279" s="18">
        <v>116620</v>
      </c>
      <c r="B279" s="19" t="s">
        <v>475</v>
      </c>
      <c r="C279" s="19">
        <v>13.8</v>
      </c>
      <c r="D279" s="19">
        <v>101</v>
      </c>
      <c r="E279" s="19">
        <v>1373</v>
      </c>
      <c r="F279" s="19">
        <v>31.58</v>
      </c>
      <c r="G279" s="19">
        <v>0</v>
      </c>
      <c r="H279" s="19">
        <v>33.65</v>
      </c>
      <c r="I279" s="20">
        <v>31.58</v>
      </c>
      <c r="J279" s="19">
        <f t="shared" si="33"/>
        <v>0</v>
      </c>
      <c r="K279" s="19">
        <f t="shared" si="34"/>
        <v>2.0700000000000003</v>
      </c>
      <c r="L279" s="19">
        <v>1.7099999999999999E-3</v>
      </c>
      <c r="M279" s="19">
        <v>9.7999999999999997E-4</v>
      </c>
      <c r="N279" s="19">
        <v>8.3000000000000001E-4</v>
      </c>
      <c r="O279" s="19">
        <v>3.3E-4</v>
      </c>
      <c r="P279" s="19">
        <v>5.9000000000000003E-4</v>
      </c>
      <c r="Q279" s="19">
        <v>4.0999999999999999E-4</v>
      </c>
      <c r="R279" s="19"/>
      <c r="S279" s="19">
        <f t="shared" si="35"/>
        <v>0</v>
      </c>
      <c r="T279" s="19">
        <f t="shared" si="36"/>
        <v>0</v>
      </c>
      <c r="U279" s="19">
        <f t="shared" si="37"/>
        <v>0</v>
      </c>
      <c r="V279" s="19">
        <f t="shared" si="38"/>
        <v>0</v>
      </c>
      <c r="W279" s="19">
        <f t="shared" si="39"/>
        <v>0</v>
      </c>
      <c r="X279" s="21">
        <f t="shared" si="40"/>
        <v>0</v>
      </c>
    </row>
    <row r="280" spans="1:24" ht="13.5" x14ac:dyDescent="0.35">
      <c r="A280" s="18">
        <v>116621</v>
      </c>
      <c r="B280" s="19" t="s">
        <v>476</v>
      </c>
      <c r="C280" s="19">
        <v>13.8</v>
      </c>
      <c r="D280" s="19">
        <v>101</v>
      </c>
      <c r="E280" s="19">
        <v>1373</v>
      </c>
      <c r="F280" s="19">
        <v>0</v>
      </c>
      <c r="G280" s="19">
        <v>0</v>
      </c>
      <c r="H280" s="19">
        <v>0</v>
      </c>
      <c r="I280" s="20">
        <v>0</v>
      </c>
      <c r="J280" s="19">
        <f t="shared" si="33"/>
        <v>0</v>
      </c>
      <c r="K280" s="19">
        <f t="shared" si="34"/>
        <v>0</v>
      </c>
      <c r="L280" s="19">
        <v>1.7099999999999999E-3</v>
      </c>
      <c r="M280" s="19">
        <v>9.7999999999999997E-4</v>
      </c>
      <c r="N280" s="19">
        <v>8.3000000000000001E-4</v>
      </c>
      <c r="O280" s="19">
        <v>3.3E-4</v>
      </c>
      <c r="P280" s="19">
        <v>5.9000000000000003E-4</v>
      </c>
      <c r="Q280" s="19">
        <v>4.0999999999999999E-4</v>
      </c>
      <c r="R280" s="19"/>
      <c r="S280" s="19">
        <f t="shared" si="35"/>
        <v>0</v>
      </c>
      <c r="T280" s="19">
        <f t="shared" si="36"/>
        <v>0</v>
      </c>
      <c r="U280" s="19">
        <f t="shared" si="37"/>
        <v>0</v>
      </c>
      <c r="V280" s="19">
        <f t="shared" si="38"/>
        <v>0</v>
      </c>
      <c r="W280" s="19">
        <f t="shared" si="39"/>
        <v>0</v>
      </c>
      <c r="X280" s="21">
        <f t="shared" si="40"/>
        <v>0</v>
      </c>
    </row>
    <row r="281" spans="1:24" ht="13.5" x14ac:dyDescent="0.35">
      <c r="A281" s="18">
        <v>109517</v>
      </c>
      <c r="B281" s="19" t="s">
        <v>323</v>
      </c>
      <c r="C281" s="19">
        <v>2.4</v>
      </c>
      <c r="D281" s="19">
        <v>101</v>
      </c>
      <c r="E281" s="19">
        <v>1100</v>
      </c>
      <c r="F281" s="19">
        <v>0</v>
      </c>
      <c r="G281" s="19">
        <v>0</v>
      </c>
      <c r="H281" s="19">
        <v>0</v>
      </c>
      <c r="I281" s="20">
        <v>0</v>
      </c>
      <c r="J281" s="19">
        <f t="shared" si="33"/>
        <v>0</v>
      </c>
      <c r="K281" s="19">
        <f t="shared" si="34"/>
        <v>0</v>
      </c>
      <c r="L281" s="19">
        <v>1.6999999999999999E-3</v>
      </c>
      <c r="M281" s="19">
        <v>9.8999999999999999E-4</v>
      </c>
      <c r="N281" s="19">
        <v>8.0999999999999996E-4</v>
      </c>
      <c r="O281" s="19">
        <v>4.4000000000000002E-4</v>
      </c>
      <c r="P281" s="19">
        <v>6.7000000000000002E-4</v>
      </c>
      <c r="Q281" s="19">
        <v>4.8999999999999998E-4</v>
      </c>
      <c r="R281" s="19"/>
      <c r="S281" s="19">
        <f t="shared" si="35"/>
        <v>0</v>
      </c>
      <c r="T281" s="19">
        <f t="shared" si="36"/>
        <v>0</v>
      </c>
      <c r="U281" s="19">
        <f t="shared" si="37"/>
        <v>0</v>
      </c>
      <c r="V281" s="19">
        <f t="shared" si="38"/>
        <v>0</v>
      </c>
      <c r="W281" s="19">
        <f t="shared" si="39"/>
        <v>0</v>
      </c>
      <c r="X281" s="21">
        <f t="shared" si="40"/>
        <v>0</v>
      </c>
    </row>
    <row r="282" spans="1:24" ht="13.5" x14ac:dyDescent="0.35">
      <c r="A282" s="18">
        <v>116627</v>
      </c>
      <c r="B282" s="19" t="s">
        <v>477</v>
      </c>
      <c r="C282" s="19">
        <v>0.56999999999999995</v>
      </c>
      <c r="D282" s="19">
        <v>101</v>
      </c>
      <c r="E282" s="19">
        <v>1374</v>
      </c>
      <c r="F282" s="19">
        <v>0</v>
      </c>
      <c r="G282" s="19">
        <v>0</v>
      </c>
      <c r="H282" s="19">
        <v>0</v>
      </c>
      <c r="I282" s="20">
        <v>0</v>
      </c>
      <c r="J282" s="19">
        <f t="shared" si="33"/>
        <v>0</v>
      </c>
      <c r="K282" s="19">
        <f t="shared" si="34"/>
        <v>0</v>
      </c>
      <c r="L282" s="19">
        <v>1.6999999999999999E-3</v>
      </c>
      <c r="M282" s="19">
        <v>9.7000000000000005E-4</v>
      </c>
      <c r="N282" s="19">
        <v>8.0999999999999996E-4</v>
      </c>
      <c r="O282" s="19">
        <v>3.3E-4</v>
      </c>
      <c r="P282" s="19">
        <v>5.8E-4</v>
      </c>
      <c r="Q282" s="19">
        <v>4.0999999999999999E-4</v>
      </c>
      <c r="R282" s="19"/>
      <c r="S282" s="19">
        <f t="shared" si="35"/>
        <v>0</v>
      </c>
      <c r="T282" s="19">
        <f t="shared" si="36"/>
        <v>0</v>
      </c>
      <c r="U282" s="19">
        <f t="shared" si="37"/>
        <v>0</v>
      </c>
      <c r="V282" s="19">
        <f t="shared" si="38"/>
        <v>0</v>
      </c>
      <c r="W282" s="19">
        <f t="shared" si="39"/>
        <v>0</v>
      </c>
      <c r="X282" s="21">
        <f t="shared" si="40"/>
        <v>0</v>
      </c>
    </row>
    <row r="283" spans="1:24" ht="13.5" x14ac:dyDescent="0.35">
      <c r="A283" s="18">
        <v>916337</v>
      </c>
      <c r="B283" s="19" t="s">
        <v>677</v>
      </c>
      <c r="C283" s="19">
        <v>115</v>
      </c>
      <c r="D283" s="19">
        <v>101</v>
      </c>
      <c r="E283" s="19">
        <v>1370</v>
      </c>
      <c r="F283" s="19">
        <v>4.8899999999999997</v>
      </c>
      <c r="G283" s="19">
        <v>0</v>
      </c>
      <c r="H283" s="19">
        <v>4.8899999999999997</v>
      </c>
      <c r="I283" s="20">
        <v>4.8899999999999997</v>
      </c>
      <c r="J283" s="19">
        <f t="shared" si="33"/>
        <v>0</v>
      </c>
      <c r="K283" s="19">
        <f t="shared" si="34"/>
        <v>0</v>
      </c>
      <c r="L283" s="19">
        <v>1.6999999999999999E-3</v>
      </c>
      <c r="M283" s="19">
        <v>9.7000000000000005E-4</v>
      </c>
      <c r="N283" s="19">
        <v>8.0999999999999996E-4</v>
      </c>
      <c r="O283" s="19">
        <v>3.3E-4</v>
      </c>
      <c r="P283" s="19">
        <v>5.8E-4</v>
      </c>
      <c r="Q283" s="19">
        <v>4.0999999999999999E-4</v>
      </c>
      <c r="R283" s="19"/>
      <c r="S283" s="19">
        <f t="shared" si="35"/>
        <v>0</v>
      </c>
      <c r="T283" s="19">
        <f t="shared" si="36"/>
        <v>0</v>
      </c>
      <c r="U283" s="19">
        <f t="shared" si="37"/>
        <v>0</v>
      </c>
      <c r="V283" s="19">
        <f t="shared" si="38"/>
        <v>0</v>
      </c>
      <c r="W283" s="19">
        <f t="shared" si="39"/>
        <v>0</v>
      </c>
      <c r="X283" s="21">
        <f t="shared" si="40"/>
        <v>0</v>
      </c>
    </row>
    <row r="284" spans="1:24" ht="13.5" x14ac:dyDescent="0.35">
      <c r="A284" s="18">
        <v>996336</v>
      </c>
      <c r="B284" s="19" t="s">
        <v>731</v>
      </c>
      <c r="C284" s="19">
        <v>115</v>
      </c>
      <c r="D284" s="19">
        <v>101</v>
      </c>
      <c r="E284" s="19">
        <v>1370</v>
      </c>
      <c r="F284" s="19">
        <v>0</v>
      </c>
      <c r="G284" s="19">
        <v>0</v>
      </c>
      <c r="H284" s="19">
        <v>0</v>
      </c>
      <c r="I284" s="20">
        <v>0</v>
      </c>
      <c r="J284" s="19">
        <f t="shared" si="33"/>
        <v>0</v>
      </c>
      <c r="K284" s="19">
        <f t="shared" si="34"/>
        <v>0</v>
      </c>
      <c r="L284" s="19">
        <v>1.6999999999999999E-3</v>
      </c>
      <c r="M284" s="19">
        <v>9.7000000000000005E-4</v>
      </c>
      <c r="N284" s="19">
        <v>8.0999999999999996E-4</v>
      </c>
      <c r="O284" s="19">
        <v>3.3E-4</v>
      </c>
      <c r="P284" s="19">
        <v>5.8E-4</v>
      </c>
      <c r="Q284" s="19">
        <v>4.0999999999999999E-4</v>
      </c>
      <c r="R284" s="19"/>
      <c r="S284" s="19">
        <f t="shared" si="35"/>
        <v>0</v>
      </c>
      <c r="T284" s="19">
        <f t="shared" si="36"/>
        <v>0</v>
      </c>
      <c r="U284" s="19">
        <f t="shared" si="37"/>
        <v>0</v>
      </c>
      <c r="V284" s="19">
        <f t="shared" si="38"/>
        <v>0</v>
      </c>
      <c r="W284" s="19">
        <f t="shared" si="39"/>
        <v>0</v>
      </c>
      <c r="X284" s="21">
        <f t="shared" si="40"/>
        <v>0</v>
      </c>
    </row>
    <row r="285" spans="1:24" ht="13.5" x14ac:dyDescent="0.35">
      <c r="A285" s="18">
        <v>109503</v>
      </c>
      <c r="B285" s="19" t="s">
        <v>320</v>
      </c>
      <c r="C285" s="19">
        <v>6.9</v>
      </c>
      <c r="D285" s="19">
        <v>101</v>
      </c>
      <c r="E285" s="19">
        <v>1100</v>
      </c>
      <c r="F285" s="19">
        <v>0</v>
      </c>
      <c r="G285" s="19">
        <v>0</v>
      </c>
      <c r="H285" s="19">
        <v>0</v>
      </c>
      <c r="I285" s="20">
        <v>0</v>
      </c>
      <c r="J285" s="19">
        <f t="shared" si="33"/>
        <v>0</v>
      </c>
      <c r="K285" s="19">
        <f t="shared" si="34"/>
        <v>0</v>
      </c>
      <c r="L285" s="19">
        <v>1.6800000000000001E-3</v>
      </c>
      <c r="M285" s="19">
        <v>9.7999999999999997E-4</v>
      </c>
      <c r="N285" s="19">
        <v>7.7999999999999999E-4</v>
      </c>
      <c r="O285" s="19">
        <v>4.2999999999999999E-4</v>
      </c>
      <c r="P285" s="19">
        <v>6.6E-4</v>
      </c>
      <c r="Q285" s="19">
        <v>4.8000000000000001E-4</v>
      </c>
      <c r="R285" s="19"/>
      <c r="S285" s="19">
        <f t="shared" si="35"/>
        <v>0</v>
      </c>
      <c r="T285" s="19">
        <f t="shared" si="36"/>
        <v>0</v>
      </c>
      <c r="U285" s="19">
        <f t="shared" si="37"/>
        <v>0</v>
      </c>
      <c r="V285" s="19">
        <f t="shared" si="38"/>
        <v>0</v>
      </c>
      <c r="W285" s="19">
        <f t="shared" si="39"/>
        <v>0</v>
      </c>
      <c r="X285" s="21">
        <f t="shared" si="40"/>
        <v>0</v>
      </c>
    </row>
    <row r="286" spans="1:24" ht="13.5" x14ac:dyDescent="0.35">
      <c r="A286" s="18">
        <v>109504</v>
      </c>
      <c r="B286" s="19" t="s">
        <v>321</v>
      </c>
      <c r="C286" s="19">
        <v>6.9</v>
      </c>
      <c r="D286" s="19">
        <v>101</v>
      </c>
      <c r="E286" s="19">
        <v>1100</v>
      </c>
      <c r="F286" s="19">
        <v>13.71</v>
      </c>
      <c r="G286" s="19">
        <v>0</v>
      </c>
      <c r="H286" s="19">
        <v>13.71</v>
      </c>
      <c r="I286" s="20">
        <v>13.71</v>
      </c>
      <c r="J286" s="19">
        <f t="shared" si="33"/>
        <v>0</v>
      </c>
      <c r="K286" s="19">
        <f t="shared" si="34"/>
        <v>0</v>
      </c>
      <c r="L286" s="19">
        <v>1.6800000000000001E-3</v>
      </c>
      <c r="M286" s="19">
        <v>9.7999999999999997E-4</v>
      </c>
      <c r="N286" s="19">
        <v>7.5000000000000002E-4</v>
      </c>
      <c r="O286" s="19">
        <v>4.8999999999999998E-4</v>
      </c>
      <c r="P286" s="19">
        <v>6.9999999999999999E-4</v>
      </c>
      <c r="Q286" s="19">
        <v>5.1999999999999995E-4</v>
      </c>
      <c r="R286" s="19"/>
      <c r="S286" s="19">
        <f t="shared" si="35"/>
        <v>0</v>
      </c>
      <c r="T286" s="19">
        <f t="shared" si="36"/>
        <v>0</v>
      </c>
      <c r="U286" s="19">
        <f t="shared" si="37"/>
        <v>0</v>
      </c>
      <c r="V286" s="19">
        <f t="shared" si="38"/>
        <v>0</v>
      </c>
      <c r="W286" s="19">
        <f t="shared" si="39"/>
        <v>0</v>
      </c>
      <c r="X286" s="21">
        <f t="shared" si="40"/>
        <v>0</v>
      </c>
    </row>
    <row r="287" spans="1:24" ht="13.5" x14ac:dyDescent="0.35">
      <c r="A287" s="18">
        <v>109505</v>
      </c>
      <c r="B287" s="19" t="s">
        <v>322</v>
      </c>
      <c r="C287" s="19">
        <v>6.9</v>
      </c>
      <c r="D287" s="19">
        <v>101</v>
      </c>
      <c r="E287" s="19">
        <v>1100</v>
      </c>
      <c r="F287" s="19">
        <v>13.71</v>
      </c>
      <c r="G287" s="19">
        <v>0</v>
      </c>
      <c r="H287" s="19">
        <v>13.71</v>
      </c>
      <c r="I287" s="20">
        <v>13.71</v>
      </c>
      <c r="J287" s="19">
        <f t="shared" si="33"/>
        <v>0</v>
      </c>
      <c r="K287" s="19">
        <f t="shared" si="34"/>
        <v>0</v>
      </c>
      <c r="L287" s="19">
        <v>1.6800000000000001E-3</v>
      </c>
      <c r="M287" s="19">
        <v>9.7999999999999997E-4</v>
      </c>
      <c r="N287" s="19">
        <v>7.5000000000000002E-4</v>
      </c>
      <c r="O287" s="19">
        <v>4.8999999999999998E-4</v>
      </c>
      <c r="P287" s="19">
        <v>6.9999999999999999E-4</v>
      </c>
      <c r="Q287" s="19">
        <v>5.1999999999999995E-4</v>
      </c>
      <c r="R287" s="19"/>
      <c r="S287" s="19">
        <f t="shared" si="35"/>
        <v>0</v>
      </c>
      <c r="T287" s="19">
        <f t="shared" si="36"/>
        <v>0</v>
      </c>
      <c r="U287" s="19">
        <f t="shared" si="37"/>
        <v>0</v>
      </c>
      <c r="V287" s="19">
        <f t="shared" si="38"/>
        <v>0</v>
      </c>
      <c r="W287" s="19">
        <f t="shared" si="39"/>
        <v>0</v>
      </c>
      <c r="X287" s="21">
        <f t="shared" si="40"/>
        <v>0</v>
      </c>
    </row>
    <row r="288" spans="1:24" ht="13.5" x14ac:dyDescent="0.35">
      <c r="A288" s="18">
        <v>113101</v>
      </c>
      <c r="B288" s="19" t="s">
        <v>388</v>
      </c>
      <c r="C288" s="19">
        <v>13.8</v>
      </c>
      <c r="D288" s="19">
        <v>101</v>
      </c>
      <c r="E288" s="19">
        <v>1100</v>
      </c>
      <c r="F288" s="19">
        <v>0</v>
      </c>
      <c r="G288" s="19">
        <v>0</v>
      </c>
      <c r="H288" s="19">
        <v>0</v>
      </c>
      <c r="I288" s="20">
        <v>0</v>
      </c>
      <c r="J288" s="19">
        <f t="shared" si="33"/>
        <v>0</v>
      </c>
      <c r="K288" s="19">
        <f t="shared" si="34"/>
        <v>0</v>
      </c>
      <c r="L288" s="19">
        <v>1.67E-3</v>
      </c>
      <c r="M288" s="19">
        <v>9.7000000000000005E-4</v>
      </c>
      <c r="N288" s="19">
        <v>7.6000000000000004E-4</v>
      </c>
      <c r="O288" s="19">
        <v>4.2000000000000002E-4</v>
      </c>
      <c r="P288" s="19">
        <v>6.4000000000000005E-4</v>
      </c>
      <c r="Q288" s="19">
        <v>4.6000000000000001E-4</v>
      </c>
      <c r="R288" s="19"/>
      <c r="S288" s="19">
        <f t="shared" si="35"/>
        <v>0</v>
      </c>
      <c r="T288" s="19">
        <f t="shared" si="36"/>
        <v>0</v>
      </c>
      <c r="U288" s="19">
        <f t="shared" si="37"/>
        <v>0</v>
      </c>
      <c r="V288" s="19">
        <f t="shared" si="38"/>
        <v>0</v>
      </c>
      <c r="W288" s="19">
        <f t="shared" si="39"/>
        <v>0</v>
      </c>
      <c r="X288" s="21">
        <f t="shared" si="40"/>
        <v>0</v>
      </c>
    </row>
    <row r="289" spans="1:24" ht="13.5" x14ac:dyDescent="0.35">
      <c r="A289" s="18">
        <v>113102</v>
      </c>
      <c r="B289" s="19" t="s">
        <v>389</v>
      </c>
      <c r="C289" s="19">
        <v>13.8</v>
      </c>
      <c r="D289" s="19">
        <v>101</v>
      </c>
      <c r="E289" s="19">
        <v>1100</v>
      </c>
      <c r="F289" s="19">
        <v>9.9</v>
      </c>
      <c r="G289" s="19">
        <v>0</v>
      </c>
      <c r="H289" s="19">
        <v>9.9</v>
      </c>
      <c r="I289" s="20">
        <v>9.9</v>
      </c>
      <c r="J289" s="19">
        <f t="shared" si="33"/>
        <v>0</v>
      </c>
      <c r="K289" s="19">
        <f t="shared" si="34"/>
        <v>0</v>
      </c>
      <c r="L289" s="19">
        <v>1.67E-3</v>
      </c>
      <c r="M289" s="19">
        <v>9.7000000000000005E-4</v>
      </c>
      <c r="N289" s="19">
        <v>7.6000000000000004E-4</v>
      </c>
      <c r="O289" s="19">
        <v>4.2000000000000002E-4</v>
      </c>
      <c r="P289" s="19">
        <v>6.4000000000000005E-4</v>
      </c>
      <c r="Q289" s="19">
        <v>4.6000000000000001E-4</v>
      </c>
      <c r="R289" s="19"/>
      <c r="S289" s="19">
        <f t="shared" si="35"/>
        <v>0</v>
      </c>
      <c r="T289" s="19">
        <f t="shared" si="36"/>
        <v>0</v>
      </c>
      <c r="U289" s="19">
        <f t="shared" si="37"/>
        <v>0</v>
      </c>
      <c r="V289" s="19">
        <f t="shared" si="38"/>
        <v>0</v>
      </c>
      <c r="W289" s="19">
        <f t="shared" si="39"/>
        <v>0</v>
      </c>
      <c r="X289" s="21">
        <f t="shared" si="40"/>
        <v>0</v>
      </c>
    </row>
    <row r="290" spans="1:24" ht="13.5" x14ac:dyDescent="0.35">
      <c r="A290" s="18">
        <v>113104</v>
      </c>
      <c r="B290" s="19" t="s">
        <v>390</v>
      </c>
      <c r="C290" s="19">
        <v>2.4</v>
      </c>
      <c r="D290" s="19">
        <v>101</v>
      </c>
      <c r="E290" s="19">
        <v>1100</v>
      </c>
      <c r="F290" s="19">
        <v>0</v>
      </c>
      <c r="G290" s="19">
        <v>0</v>
      </c>
      <c r="H290" s="19">
        <v>0</v>
      </c>
      <c r="I290" s="20">
        <v>0</v>
      </c>
      <c r="J290" s="19">
        <f t="shared" si="33"/>
        <v>0</v>
      </c>
      <c r="K290" s="19">
        <f t="shared" si="34"/>
        <v>0</v>
      </c>
      <c r="L290" s="19">
        <v>1.67E-3</v>
      </c>
      <c r="M290" s="19">
        <v>9.7999999999999997E-4</v>
      </c>
      <c r="N290" s="19">
        <v>7.5000000000000002E-4</v>
      </c>
      <c r="O290" s="19">
        <v>4.8000000000000001E-4</v>
      </c>
      <c r="P290" s="19">
        <v>6.8999999999999997E-4</v>
      </c>
      <c r="Q290" s="19">
        <v>5.1000000000000004E-4</v>
      </c>
      <c r="R290" s="19"/>
      <c r="S290" s="19">
        <f t="shared" si="35"/>
        <v>0</v>
      </c>
      <c r="T290" s="19">
        <f t="shared" si="36"/>
        <v>0</v>
      </c>
      <c r="U290" s="19">
        <f t="shared" si="37"/>
        <v>0</v>
      </c>
      <c r="V290" s="19">
        <f t="shared" si="38"/>
        <v>0</v>
      </c>
      <c r="W290" s="19">
        <f t="shared" si="39"/>
        <v>0</v>
      </c>
      <c r="X290" s="21">
        <f t="shared" si="40"/>
        <v>0</v>
      </c>
    </row>
    <row r="291" spans="1:24" ht="13.5" x14ac:dyDescent="0.35">
      <c r="A291" s="18">
        <v>113123</v>
      </c>
      <c r="B291" s="19" t="s">
        <v>391</v>
      </c>
      <c r="C291" s="19">
        <v>0.69</v>
      </c>
      <c r="D291" s="19">
        <v>101</v>
      </c>
      <c r="E291" s="19">
        <v>1100</v>
      </c>
      <c r="F291" s="19">
        <v>0</v>
      </c>
      <c r="G291" s="19">
        <v>0</v>
      </c>
      <c r="H291" s="19">
        <v>0</v>
      </c>
      <c r="I291" s="20">
        <v>0</v>
      </c>
      <c r="J291" s="19">
        <f t="shared" si="33"/>
        <v>0</v>
      </c>
      <c r="K291" s="19">
        <f t="shared" si="34"/>
        <v>0</v>
      </c>
      <c r="L291" s="19">
        <v>1.67E-3</v>
      </c>
      <c r="M291" s="19">
        <v>9.7000000000000005E-4</v>
      </c>
      <c r="N291" s="19">
        <v>7.6000000000000004E-4</v>
      </c>
      <c r="O291" s="19">
        <v>4.2999999999999999E-4</v>
      </c>
      <c r="P291" s="19">
        <v>6.4999999999999997E-4</v>
      </c>
      <c r="Q291" s="19">
        <v>4.6999999999999999E-4</v>
      </c>
      <c r="R291" s="19"/>
      <c r="S291" s="19">
        <f t="shared" si="35"/>
        <v>0</v>
      </c>
      <c r="T291" s="19">
        <f t="shared" si="36"/>
        <v>0</v>
      </c>
      <c r="U291" s="19">
        <f t="shared" si="37"/>
        <v>0</v>
      </c>
      <c r="V291" s="19">
        <f t="shared" si="38"/>
        <v>0</v>
      </c>
      <c r="W291" s="19">
        <f t="shared" si="39"/>
        <v>0</v>
      </c>
      <c r="X291" s="21">
        <f t="shared" si="40"/>
        <v>0</v>
      </c>
    </row>
    <row r="292" spans="1:24" ht="13.5" x14ac:dyDescent="0.35">
      <c r="A292" s="18">
        <v>113125</v>
      </c>
      <c r="B292" s="19" t="s">
        <v>392</v>
      </c>
      <c r="C292" s="19">
        <v>0.69</v>
      </c>
      <c r="D292" s="19">
        <v>101</v>
      </c>
      <c r="E292" s="19">
        <v>1100</v>
      </c>
      <c r="F292" s="19">
        <v>0</v>
      </c>
      <c r="G292" s="19">
        <v>0</v>
      </c>
      <c r="H292" s="19">
        <v>0</v>
      </c>
      <c r="I292" s="20">
        <v>0</v>
      </c>
      <c r="J292" s="19">
        <f t="shared" si="33"/>
        <v>0</v>
      </c>
      <c r="K292" s="19">
        <f t="shared" si="34"/>
        <v>0</v>
      </c>
      <c r="L292" s="19">
        <v>1.67E-3</v>
      </c>
      <c r="M292" s="19">
        <v>9.7000000000000005E-4</v>
      </c>
      <c r="N292" s="19">
        <v>7.6000000000000004E-4</v>
      </c>
      <c r="O292" s="19">
        <v>4.2999999999999999E-4</v>
      </c>
      <c r="P292" s="19">
        <v>6.4999999999999997E-4</v>
      </c>
      <c r="Q292" s="19">
        <v>4.6999999999999999E-4</v>
      </c>
      <c r="R292" s="19"/>
      <c r="S292" s="19">
        <f t="shared" si="35"/>
        <v>0</v>
      </c>
      <c r="T292" s="19">
        <f t="shared" si="36"/>
        <v>0</v>
      </c>
      <c r="U292" s="19">
        <f t="shared" si="37"/>
        <v>0</v>
      </c>
      <c r="V292" s="19">
        <f t="shared" si="38"/>
        <v>0</v>
      </c>
      <c r="W292" s="19">
        <f t="shared" si="39"/>
        <v>0</v>
      </c>
      <c r="X292" s="21">
        <f t="shared" si="40"/>
        <v>0</v>
      </c>
    </row>
    <row r="293" spans="1:24" ht="13.5" x14ac:dyDescent="0.35">
      <c r="A293" s="18">
        <v>116568</v>
      </c>
      <c r="B293" s="19" t="s">
        <v>468</v>
      </c>
      <c r="C293" s="19">
        <v>13.8</v>
      </c>
      <c r="D293" s="19">
        <v>101</v>
      </c>
      <c r="E293" s="19">
        <v>1372</v>
      </c>
      <c r="F293" s="19">
        <v>0</v>
      </c>
      <c r="G293" s="19">
        <v>0</v>
      </c>
      <c r="H293" s="19">
        <v>0</v>
      </c>
      <c r="I293" s="20">
        <v>0</v>
      </c>
      <c r="J293" s="19">
        <f t="shared" si="33"/>
        <v>0</v>
      </c>
      <c r="K293" s="19">
        <f t="shared" si="34"/>
        <v>0</v>
      </c>
      <c r="L293" s="19">
        <v>1.6199999999999999E-3</v>
      </c>
      <c r="M293" s="19">
        <v>9.2000000000000003E-4</v>
      </c>
      <c r="N293" s="19">
        <v>7.1000000000000002E-4</v>
      </c>
      <c r="O293" s="19">
        <v>3.5E-4</v>
      </c>
      <c r="P293" s="19">
        <v>5.6999999999999998E-4</v>
      </c>
      <c r="Q293" s="19">
        <v>4.0000000000000002E-4</v>
      </c>
      <c r="R293" s="19"/>
      <c r="S293" s="19">
        <f t="shared" si="35"/>
        <v>0</v>
      </c>
      <c r="T293" s="19">
        <f t="shared" si="36"/>
        <v>0</v>
      </c>
      <c r="U293" s="19">
        <f t="shared" si="37"/>
        <v>0</v>
      </c>
      <c r="V293" s="19">
        <f t="shared" si="38"/>
        <v>0</v>
      </c>
      <c r="W293" s="19">
        <f t="shared" si="39"/>
        <v>0</v>
      </c>
      <c r="X293" s="21">
        <f t="shared" si="40"/>
        <v>0</v>
      </c>
    </row>
    <row r="294" spans="1:24" ht="13.5" x14ac:dyDescent="0.35">
      <c r="A294" s="18">
        <v>116578</v>
      </c>
      <c r="B294" s="19" t="s">
        <v>470</v>
      </c>
      <c r="C294" s="19">
        <v>2.4</v>
      </c>
      <c r="D294" s="19">
        <v>101</v>
      </c>
      <c r="E294" s="19">
        <v>1374</v>
      </c>
      <c r="F294" s="19">
        <v>0</v>
      </c>
      <c r="G294" s="19">
        <v>0</v>
      </c>
      <c r="H294" s="19">
        <v>0</v>
      </c>
      <c r="I294" s="20">
        <v>0</v>
      </c>
      <c r="J294" s="19">
        <f t="shared" si="33"/>
        <v>0</v>
      </c>
      <c r="K294" s="19">
        <f t="shared" si="34"/>
        <v>0</v>
      </c>
      <c r="L294" s="19">
        <v>1.6199999999999999E-3</v>
      </c>
      <c r="M294" s="19">
        <v>9.2000000000000003E-4</v>
      </c>
      <c r="N294" s="19">
        <v>7.1000000000000002E-4</v>
      </c>
      <c r="O294" s="19">
        <v>3.5E-4</v>
      </c>
      <c r="P294" s="19">
        <v>5.6999999999999998E-4</v>
      </c>
      <c r="Q294" s="19">
        <v>4.0000000000000002E-4</v>
      </c>
      <c r="R294" s="19"/>
      <c r="S294" s="19">
        <f t="shared" si="35"/>
        <v>0</v>
      </c>
      <c r="T294" s="19">
        <f t="shared" si="36"/>
        <v>0</v>
      </c>
      <c r="U294" s="19">
        <f t="shared" si="37"/>
        <v>0</v>
      </c>
      <c r="V294" s="19">
        <f t="shared" si="38"/>
        <v>0</v>
      </c>
      <c r="W294" s="19">
        <f t="shared" si="39"/>
        <v>0</v>
      </c>
      <c r="X294" s="21">
        <f t="shared" si="40"/>
        <v>0</v>
      </c>
    </row>
    <row r="295" spans="1:24" ht="13.5" x14ac:dyDescent="0.35">
      <c r="A295" s="18">
        <v>116579</v>
      </c>
      <c r="B295" s="19" t="s">
        <v>471</v>
      </c>
      <c r="C295" s="19">
        <v>13.8</v>
      </c>
      <c r="D295" s="19">
        <v>101</v>
      </c>
      <c r="E295" s="19">
        <v>1373</v>
      </c>
      <c r="F295" s="19">
        <v>64.66</v>
      </c>
      <c r="G295" s="19">
        <v>0</v>
      </c>
      <c r="H295" s="19">
        <v>64.66</v>
      </c>
      <c r="I295" s="20">
        <v>64.66</v>
      </c>
      <c r="J295" s="19">
        <f t="shared" si="33"/>
        <v>0</v>
      </c>
      <c r="K295" s="19">
        <f t="shared" si="34"/>
        <v>0</v>
      </c>
      <c r="L295" s="19">
        <v>1.6199999999999999E-3</v>
      </c>
      <c r="M295" s="19">
        <v>9.2000000000000003E-4</v>
      </c>
      <c r="N295" s="19">
        <v>7.1000000000000002E-4</v>
      </c>
      <c r="O295" s="19">
        <v>3.5E-4</v>
      </c>
      <c r="P295" s="19">
        <v>5.6999999999999998E-4</v>
      </c>
      <c r="Q295" s="19">
        <v>4.0000000000000002E-4</v>
      </c>
      <c r="R295" s="19"/>
      <c r="S295" s="19">
        <f t="shared" si="35"/>
        <v>0</v>
      </c>
      <c r="T295" s="19">
        <f t="shared" si="36"/>
        <v>0</v>
      </c>
      <c r="U295" s="19">
        <f t="shared" si="37"/>
        <v>0</v>
      </c>
      <c r="V295" s="19">
        <f t="shared" si="38"/>
        <v>0</v>
      </c>
      <c r="W295" s="19">
        <f t="shared" si="39"/>
        <v>0</v>
      </c>
      <c r="X295" s="21">
        <f t="shared" si="40"/>
        <v>0</v>
      </c>
    </row>
    <row r="296" spans="1:24" ht="13.5" x14ac:dyDescent="0.35">
      <c r="A296" s="18">
        <v>913005</v>
      </c>
      <c r="B296" s="19" t="s">
        <v>652</v>
      </c>
      <c r="C296" s="19">
        <v>115</v>
      </c>
      <c r="D296" s="19">
        <v>101</v>
      </c>
      <c r="E296" s="19">
        <v>1100</v>
      </c>
      <c r="F296" s="19">
        <v>0</v>
      </c>
      <c r="G296" s="19">
        <v>0</v>
      </c>
      <c r="H296" s="19">
        <v>0</v>
      </c>
      <c r="I296" s="20">
        <v>0</v>
      </c>
      <c r="J296" s="19">
        <f t="shared" si="33"/>
        <v>0</v>
      </c>
      <c r="K296" s="19">
        <f t="shared" si="34"/>
        <v>0</v>
      </c>
      <c r="L296" s="19">
        <v>1.6199999999999999E-3</v>
      </c>
      <c r="M296" s="19">
        <v>9.2000000000000003E-4</v>
      </c>
      <c r="N296" s="19">
        <v>7.1000000000000002E-4</v>
      </c>
      <c r="O296" s="19">
        <v>3.2000000000000003E-4</v>
      </c>
      <c r="P296" s="19">
        <v>5.5000000000000003E-4</v>
      </c>
      <c r="Q296" s="19">
        <v>3.8000000000000002E-4</v>
      </c>
      <c r="R296" s="19"/>
      <c r="S296" s="19">
        <f t="shared" si="35"/>
        <v>0</v>
      </c>
      <c r="T296" s="19">
        <f t="shared" si="36"/>
        <v>0</v>
      </c>
      <c r="U296" s="19">
        <f t="shared" si="37"/>
        <v>0</v>
      </c>
      <c r="V296" s="19">
        <f t="shared" si="38"/>
        <v>0</v>
      </c>
      <c r="W296" s="19">
        <f t="shared" si="39"/>
        <v>0</v>
      </c>
      <c r="X296" s="21">
        <f t="shared" si="40"/>
        <v>0</v>
      </c>
    </row>
    <row r="297" spans="1:24" ht="13.5" x14ac:dyDescent="0.35">
      <c r="A297" s="18">
        <v>913300</v>
      </c>
      <c r="B297" s="19" t="s">
        <v>668</v>
      </c>
      <c r="C297" s="19">
        <v>115</v>
      </c>
      <c r="D297" s="19">
        <v>101</v>
      </c>
      <c r="E297" s="19">
        <v>1110</v>
      </c>
      <c r="F297" s="19">
        <v>17.57</v>
      </c>
      <c r="G297" s="19">
        <v>0</v>
      </c>
      <c r="H297" s="19">
        <v>17.57</v>
      </c>
      <c r="I297" s="20">
        <v>17.57</v>
      </c>
      <c r="J297" s="19">
        <f t="shared" si="33"/>
        <v>0</v>
      </c>
      <c r="K297" s="19">
        <f t="shared" si="34"/>
        <v>0</v>
      </c>
      <c r="L297" s="19">
        <v>1.6199999999999999E-3</v>
      </c>
      <c r="M297" s="19">
        <v>8.8000000000000003E-4</v>
      </c>
      <c r="N297" s="19">
        <v>4.2000000000000002E-4</v>
      </c>
      <c r="O297" s="19">
        <v>6.9999999999999994E-5</v>
      </c>
      <c r="P297" s="19">
        <v>2.7E-4</v>
      </c>
      <c r="Q297" s="19">
        <v>9.0000000000000006E-5</v>
      </c>
      <c r="R297" s="19"/>
      <c r="S297" s="19">
        <f t="shared" si="35"/>
        <v>0</v>
      </c>
      <c r="T297" s="19">
        <f t="shared" si="36"/>
        <v>0</v>
      </c>
      <c r="U297" s="19">
        <f t="shared" si="37"/>
        <v>0</v>
      </c>
      <c r="V297" s="19">
        <f t="shared" si="38"/>
        <v>0</v>
      </c>
      <c r="W297" s="19">
        <f t="shared" si="39"/>
        <v>0</v>
      </c>
      <c r="X297" s="21">
        <f t="shared" si="40"/>
        <v>0</v>
      </c>
    </row>
    <row r="298" spans="1:24" ht="13.5" x14ac:dyDescent="0.35">
      <c r="A298" s="18">
        <v>916284</v>
      </c>
      <c r="B298" s="19" t="s">
        <v>676</v>
      </c>
      <c r="C298" s="19">
        <v>115</v>
      </c>
      <c r="D298" s="19">
        <v>101</v>
      </c>
      <c r="E298" s="19">
        <v>1370</v>
      </c>
      <c r="F298" s="19">
        <v>0</v>
      </c>
      <c r="G298" s="19">
        <v>0</v>
      </c>
      <c r="H298" s="19">
        <v>0</v>
      </c>
      <c r="I298" s="20">
        <v>0</v>
      </c>
      <c r="J298" s="19">
        <f t="shared" si="33"/>
        <v>0</v>
      </c>
      <c r="K298" s="19">
        <f t="shared" si="34"/>
        <v>0</v>
      </c>
      <c r="L298" s="19">
        <v>1.6199999999999999E-3</v>
      </c>
      <c r="M298" s="19">
        <v>9.2000000000000003E-4</v>
      </c>
      <c r="N298" s="19">
        <v>7.1000000000000002E-4</v>
      </c>
      <c r="O298" s="19">
        <v>3.5E-4</v>
      </c>
      <c r="P298" s="19">
        <v>5.6999999999999998E-4</v>
      </c>
      <c r="Q298" s="19">
        <v>4.0000000000000002E-4</v>
      </c>
      <c r="R298" s="19"/>
      <c r="S298" s="19">
        <f t="shared" si="35"/>
        <v>0</v>
      </c>
      <c r="T298" s="19">
        <f t="shared" si="36"/>
        <v>0</v>
      </c>
      <c r="U298" s="19">
        <f t="shared" si="37"/>
        <v>0</v>
      </c>
      <c r="V298" s="19">
        <f t="shared" si="38"/>
        <v>0</v>
      </c>
      <c r="W298" s="19">
        <f t="shared" si="39"/>
        <v>0</v>
      </c>
      <c r="X298" s="21">
        <f t="shared" si="40"/>
        <v>0</v>
      </c>
    </row>
    <row r="299" spans="1:24" ht="13.5" x14ac:dyDescent="0.35">
      <c r="A299" s="18">
        <v>113389</v>
      </c>
      <c r="B299" s="19" t="s">
        <v>403</v>
      </c>
      <c r="C299" s="19">
        <v>13.2</v>
      </c>
      <c r="D299" s="19">
        <v>101</v>
      </c>
      <c r="E299" s="19">
        <v>1110</v>
      </c>
      <c r="F299" s="19">
        <v>0</v>
      </c>
      <c r="G299" s="19">
        <v>0</v>
      </c>
      <c r="H299" s="19">
        <v>0</v>
      </c>
      <c r="I299" s="20">
        <v>0</v>
      </c>
      <c r="J299" s="19">
        <f t="shared" si="33"/>
        <v>0</v>
      </c>
      <c r="K299" s="19">
        <f t="shared" si="34"/>
        <v>0</v>
      </c>
      <c r="L299" s="19">
        <v>1.58E-3</v>
      </c>
      <c r="M299" s="19">
        <v>8.4000000000000003E-4</v>
      </c>
      <c r="N299" s="19">
        <v>3.6000000000000002E-4</v>
      </c>
      <c r="O299" s="19">
        <v>2.0000000000000002E-5</v>
      </c>
      <c r="P299" s="19">
        <v>2.2000000000000001E-4</v>
      </c>
      <c r="Q299" s="19">
        <v>4.0000000000000003E-5</v>
      </c>
      <c r="R299" s="19"/>
      <c r="S299" s="19">
        <f t="shared" si="35"/>
        <v>0</v>
      </c>
      <c r="T299" s="19">
        <f t="shared" si="36"/>
        <v>0</v>
      </c>
      <c r="U299" s="19">
        <f t="shared" si="37"/>
        <v>0</v>
      </c>
      <c r="V299" s="19">
        <f t="shared" si="38"/>
        <v>0</v>
      </c>
      <c r="W299" s="19">
        <f t="shared" si="39"/>
        <v>0</v>
      </c>
      <c r="X299" s="21">
        <f t="shared" si="40"/>
        <v>0</v>
      </c>
    </row>
    <row r="300" spans="1:24" ht="13.5" x14ac:dyDescent="0.35">
      <c r="A300" s="18">
        <v>113405</v>
      </c>
      <c r="B300" s="19" t="s">
        <v>405</v>
      </c>
      <c r="C300" s="19">
        <v>16</v>
      </c>
      <c r="D300" s="19">
        <v>101</v>
      </c>
      <c r="E300" s="19">
        <v>1110</v>
      </c>
      <c r="F300" s="19">
        <v>228.56</v>
      </c>
      <c r="G300" s="19">
        <v>0</v>
      </c>
      <c r="H300" s="19">
        <v>228.56</v>
      </c>
      <c r="I300" s="20">
        <v>228.56</v>
      </c>
      <c r="J300" s="19">
        <f t="shared" si="33"/>
        <v>0</v>
      </c>
      <c r="K300" s="19">
        <f t="shared" si="34"/>
        <v>0</v>
      </c>
      <c r="L300" s="19">
        <v>1.58E-3</v>
      </c>
      <c r="M300" s="19">
        <v>8.4000000000000003E-4</v>
      </c>
      <c r="N300" s="19">
        <v>3.6000000000000002E-4</v>
      </c>
      <c r="O300" s="19">
        <v>2.0000000000000002E-5</v>
      </c>
      <c r="P300" s="19">
        <v>2.2000000000000001E-4</v>
      </c>
      <c r="Q300" s="19">
        <v>4.0000000000000003E-5</v>
      </c>
      <c r="R300" s="19"/>
      <c r="S300" s="19">
        <f t="shared" si="35"/>
        <v>0</v>
      </c>
      <c r="T300" s="19">
        <f t="shared" si="36"/>
        <v>0</v>
      </c>
      <c r="U300" s="19">
        <f t="shared" si="37"/>
        <v>0</v>
      </c>
      <c r="V300" s="19">
        <f t="shared" si="38"/>
        <v>0</v>
      </c>
      <c r="W300" s="19">
        <f t="shared" si="39"/>
        <v>0</v>
      </c>
      <c r="X300" s="21">
        <f t="shared" si="40"/>
        <v>0</v>
      </c>
    </row>
    <row r="301" spans="1:24" ht="13.5" x14ac:dyDescent="0.35">
      <c r="A301" s="18">
        <v>113406</v>
      </c>
      <c r="B301" s="19" t="s">
        <v>406</v>
      </c>
      <c r="C301" s="19">
        <v>13.8</v>
      </c>
      <c r="D301" s="19">
        <v>101</v>
      </c>
      <c r="E301" s="19">
        <v>1110</v>
      </c>
      <c r="F301" s="19">
        <v>102.44</v>
      </c>
      <c r="G301" s="19">
        <v>0</v>
      </c>
      <c r="H301" s="19">
        <v>102.44</v>
      </c>
      <c r="I301" s="20">
        <v>102.44</v>
      </c>
      <c r="J301" s="19">
        <f t="shared" si="33"/>
        <v>0</v>
      </c>
      <c r="K301" s="19">
        <f t="shared" si="34"/>
        <v>0</v>
      </c>
      <c r="L301" s="19">
        <v>1.58E-3</v>
      </c>
      <c r="M301" s="19">
        <v>8.4000000000000003E-4</v>
      </c>
      <c r="N301" s="19">
        <v>3.6000000000000002E-4</v>
      </c>
      <c r="O301" s="19">
        <v>2.0000000000000002E-5</v>
      </c>
      <c r="P301" s="19">
        <v>2.2000000000000001E-4</v>
      </c>
      <c r="Q301" s="19">
        <v>4.0000000000000003E-5</v>
      </c>
      <c r="R301" s="19"/>
      <c r="S301" s="19">
        <f t="shared" si="35"/>
        <v>0</v>
      </c>
      <c r="T301" s="19">
        <f t="shared" si="36"/>
        <v>0</v>
      </c>
      <c r="U301" s="19">
        <f t="shared" si="37"/>
        <v>0</v>
      </c>
      <c r="V301" s="19">
        <f t="shared" si="38"/>
        <v>0</v>
      </c>
      <c r="W301" s="19">
        <f t="shared" si="39"/>
        <v>0</v>
      </c>
      <c r="X301" s="21">
        <f t="shared" si="40"/>
        <v>0</v>
      </c>
    </row>
    <row r="302" spans="1:24" ht="13.5" x14ac:dyDescent="0.35">
      <c r="A302" s="18">
        <v>913295</v>
      </c>
      <c r="B302" s="19" t="s">
        <v>667</v>
      </c>
      <c r="C302" s="19">
        <v>115</v>
      </c>
      <c r="D302" s="19">
        <v>101</v>
      </c>
      <c r="E302" s="19">
        <v>1100</v>
      </c>
      <c r="F302" s="19">
        <v>0</v>
      </c>
      <c r="G302" s="19">
        <v>0</v>
      </c>
      <c r="H302" s="19">
        <v>0</v>
      </c>
      <c r="I302" s="20">
        <v>0</v>
      </c>
      <c r="J302" s="19">
        <f t="shared" si="33"/>
        <v>0</v>
      </c>
      <c r="K302" s="19">
        <f t="shared" si="34"/>
        <v>0</v>
      </c>
      <c r="L302" s="19">
        <v>1.58E-3</v>
      </c>
      <c r="M302" s="19">
        <v>8.4000000000000003E-4</v>
      </c>
      <c r="N302" s="19">
        <v>3.6000000000000002E-4</v>
      </c>
      <c r="O302" s="19">
        <v>2.0000000000000002E-5</v>
      </c>
      <c r="P302" s="19">
        <v>2.2000000000000001E-4</v>
      </c>
      <c r="Q302" s="19">
        <v>4.0000000000000003E-5</v>
      </c>
      <c r="R302" s="19"/>
      <c r="S302" s="19">
        <f t="shared" si="35"/>
        <v>0</v>
      </c>
      <c r="T302" s="19">
        <f t="shared" si="36"/>
        <v>0</v>
      </c>
      <c r="U302" s="19">
        <f t="shared" si="37"/>
        <v>0</v>
      </c>
      <c r="V302" s="19">
        <f t="shared" si="38"/>
        <v>0</v>
      </c>
      <c r="W302" s="19">
        <f t="shared" si="39"/>
        <v>0</v>
      </c>
      <c r="X302" s="21">
        <f t="shared" si="40"/>
        <v>0</v>
      </c>
    </row>
    <row r="303" spans="1:24" ht="13.5" x14ac:dyDescent="0.35">
      <c r="A303" s="18">
        <v>113098</v>
      </c>
      <c r="B303" s="19" t="s">
        <v>385</v>
      </c>
      <c r="C303" s="19">
        <v>2.4</v>
      </c>
      <c r="D303" s="19">
        <v>101</v>
      </c>
      <c r="E303" s="19">
        <v>1100</v>
      </c>
      <c r="F303" s="19">
        <v>0</v>
      </c>
      <c r="G303" s="19">
        <v>0</v>
      </c>
      <c r="H303" s="19">
        <v>0</v>
      </c>
      <c r="I303" s="20">
        <v>0</v>
      </c>
      <c r="J303" s="19">
        <f t="shared" si="33"/>
        <v>0</v>
      </c>
      <c r="K303" s="19">
        <f t="shared" si="34"/>
        <v>0</v>
      </c>
      <c r="L303" s="19">
        <v>1.5399999999999999E-3</v>
      </c>
      <c r="M303" s="19">
        <v>8.7000000000000001E-4</v>
      </c>
      <c r="N303" s="19">
        <v>5.5000000000000003E-4</v>
      </c>
      <c r="O303" s="19">
        <v>3.8999999999999999E-4</v>
      </c>
      <c r="P303" s="19">
        <v>5.6999999999999998E-4</v>
      </c>
      <c r="Q303" s="19">
        <v>3.8999999999999999E-4</v>
      </c>
      <c r="R303" s="19"/>
      <c r="S303" s="19">
        <f t="shared" si="35"/>
        <v>0</v>
      </c>
      <c r="T303" s="19">
        <f t="shared" si="36"/>
        <v>0</v>
      </c>
      <c r="U303" s="19">
        <f t="shared" si="37"/>
        <v>0</v>
      </c>
      <c r="V303" s="19">
        <f t="shared" si="38"/>
        <v>0</v>
      </c>
      <c r="W303" s="19">
        <f t="shared" si="39"/>
        <v>0</v>
      </c>
      <c r="X303" s="21">
        <f t="shared" si="40"/>
        <v>0</v>
      </c>
    </row>
    <row r="304" spans="1:24" ht="13.5" x14ac:dyDescent="0.35">
      <c r="A304" s="18">
        <v>113099</v>
      </c>
      <c r="B304" s="19" t="s">
        <v>386</v>
      </c>
      <c r="C304" s="19">
        <v>2.4</v>
      </c>
      <c r="D304" s="19">
        <v>101</v>
      </c>
      <c r="E304" s="19">
        <v>1100</v>
      </c>
      <c r="F304" s="19">
        <v>0</v>
      </c>
      <c r="G304" s="19">
        <v>0</v>
      </c>
      <c r="H304" s="19">
        <v>0</v>
      </c>
      <c r="I304" s="20">
        <v>0</v>
      </c>
      <c r="J304" s="19">
        <f t="shared" si="33"/>
        <v>0</v>
      </c>
      <c r="K304" s="19">
        <f t="shared" si="34"/>
        <v>0</v>
      </c>
      <c r="L304" s="19">
        <v>1.49E-3</v>
      </c>
      <c r="M304" s="19">
        <v>8.3000000000000001E-4</v>
      </c>
      <c r="N304" s="19">
        <v>5.0000000000000001E-4</v>
      </c>
      <c r="O304" s="19">
        <v>3.2000000000000003E-4</v>
      </c>
      <c r="P304" s="19">
        <v>5.0000000000000001E-4</v>
      </c>
      <c r="Q304" s="19">
        <v>3.2000000000000003E-4</v>
      </c>
      <c r="R304" s="19"/>
      <c r="S304" s="19">
        <f t="shared" si="35"/>
        <v>0</v>
      </c>
      <c r="T304" s="19">
        <f t="shared" si="36"/>
        <v>0</v>
      </c>
      <c r="U304" s="19">
        <f t="shared" si="37"/>
        <v>0</v>
      </c>
      <c r="V304" s="19">
        <f t="shared" si="38"/>
        <v>0</v>
      </c>
      <c r="W304" s="19">
        <f t="shared" si="39"/>
        <v>0</v>
      </c>
      <c r="X304" s="21">
        <f t="shared" si="40"/>
        <v>0</v>
      </c>
    </row>
    <row r="305" spans="1:24" ht="13.5" x14ac:dyDescent="0.35">
      <c r="A305" s="18">
        <v>113100</v>
      </c>
      <c r="B305" s="19" t="s">
        <v>387</v>
      </c>
      <c r="C305" s="19">
        <v>2.4</v>
      </c>
      <c r="D305" s="19">
        <v>101</v>
      </c>
      <c r="E305" s="19">
        <v>1100</v>
      </c>
      <c r="F305" s="19">
        <v>0</v>
      </c>
      <c r="G305" s="19">
        <v>0</v>
      </c>
      <c r="H305" s="19">
        <v>0</v>
      </c>
      <c r="I305" s="20">
        <v>0</v>
      </c>
      <c r="J305" s="19">
        <f t="shared" si="33"/>
        <v>0</v>
      </c>
      <c r="K305" s="19">
        <f t="shared" si="34"/>
        <v>0</v>
      </c>
      <c r="L305" s="19">
        <v>1.4499999999999999E-3</v>
      </c>
      <c r="M305" s="19">
        <v>7.9000000000000001E-4</v>
      </c>
      <c r="N305" s="19">
        <v>4.6000000000000001E-4</v>
      </c>
      <c r="O305" s="19">
        <v>2.5999999999999998E-4</v>
      </c>
      <c r="P305" s="19">
        <v>4.4000000000000002E-4</v>
      </c>
      <c r="Q305" s="19">
        <v>2.7E-4</v>
      </c>
      <c r="R305" s="19"/>
      <c r="S305" s="19">
        <f t="shared" si="35"/>
        <v>0</v>
      </c>
      <c r="T305" s="19">
        <f t="shared" si="36"/>
        <v>0</v>
      </c>
      <c r="U305" s="19">
        <f t="shared" si="37"/>
        <v>0</v>
      </c>
      <c r="V305" s="19">
        <f t="shared" si="38"/>
        <v>0</v>
      </c>
      <c r="W305" s="19">
        <f t="shared" si="39"/>
        <v>0</v>
      </c>
      <c r="X305" s="21">
        <f t="shared" si="40"/>
        <v>0</v>
      </c>
    </row>
    <row r="306" spans="1:24" ht="13.5" x14ac:dyDescent="0.35">
      <c r="A306" s="18">
        <v>113096</v>
      </c>
      <c r="B306" s="19" t="s">
        <v>383</v>
      </c>
      <c r="C306" s="19">
        <v>13.8</v>
      </c>
      <c r="D306" s="19">
        <v>101</v>
      </c>
      <c r="E306" s="19">
        <v>1100</v>
      </c>
      <c r="F306" s="19">
        <v>331.5</v>
      </c>
      <c r="G306" s="19">
        <v>0</v>
      </c>
      <c r="H306" s="19">
        <v>331.5</v>
      </c>
      <c r="I306" s="20">
        <v>331.5</v>
      </c>
      <c r="J306" s="19">
        <f t="shared" si="33"/>
        <v>0</v>
      </c>
      <c r="K306" s="19">
        <f t="shared" si="34"/>
        <v>0</v>
      </c>
      <c r="L306" s="19">
        <v>1.39E-3</v>
      </c>
      <c r="M306" s="19">
        <v>7.2000000000000005E-4</v>
      </c>
      <c r="N306" s="19">
        <v>4.4000000000000002E-4</v>
      </c>
      <c r="O306" s="19">
        <v>5.0000000000000002E-5</v>
      </c>
      <c r="P306" s="19">
        <v>2.5999999999999998E-4</v>
      </c>
      <c r="Q306" s="19">
        <v>1E-4</v>
      </c>
      <c r="R306" s="19"/>
      <c r="S306" s="19">
        <f t="shared" si="35"/>
        <v>0</v>
      </c>
      <c r="T306" s="19">
        <f t="shared" si="36"/>
        <v>0</v>
      </c>
      <c r="U306" s="19">
        <f t="shared" si="37"/>
        <v>0</v>
      </c>
      <c r="V306" s="19">
        <f t="shared" si="38"/>
        <v>0</v>
      </c>
      <c r="W306" s="19">
        <f t="shared" si="39"/>
        <v>0</v>
      </c>
      <c r="X306" s="21">
        <f t="shared" si="40"/>
        <v>0</v>
      </c>
    </row>
    <row r="307" spans="1:24" ht="13.5" x14ac:dyDescent="0.35">
      <c r="A307" s="18">
        <v>113097</v>
      </c>
      <c r="B307" s="19" t="s">
        <v>384</v>
      </c>
      <c r="C307" s="19">
        <v>13.8</v>
      </c>
      <c r="D307" s="19">
        <v>101</v>
      </c>
      <c r="E307" s="19">
        <v>1100</v>
      </c>
      <c r="F307" s="19">
        <v>331.5</v>
      </c>
      <c r="G307" s="19">
        <v>0</v>
      </c>
      <c r="H307" s="19">
        <v>331.5</v>
      </c>
      <c r="I307" s="20">
        <v>331.5</v>
      </c>
      <c r="J307" s="19">
        <f t="shared" si="33"/>
        <v>0</v>
      </c>
      <c r="K307" s="19">
        <f t="shared" si="34"/>
        <v>0</v>
      </c>
      <c r="L307" s="19">
        <v>1.39E-3</v>
      </c>
      <c r="M307" s="19">
        <v>7.2000000000000005E-4</v>
      </c>
      <c r="N307" s="19">
        <v>4.4000000000000002E-4</v>
      </c>
      <c r="O307" s="19">
        <v>5.0000000000000002E-5</v>
      </c>
      <c r="P307" s="19">
        <v>2.5999999999999998E-4</v>
      </c>
      <c r="Q307" s="19">
        <v>1E-4</v>
      </c>
      <c r="R307" s="19"/>
      <c r="S307" s="19">
        <f t="shared" si="35"/>
        <v>0</v>
      </c>
      <c r="T307" s="19">
        <f t="shared" si="36"/>
        <v>0</v>
      </c>
      <c r="U307" s="19">
        <f t="shared" si="37"/>
        <v>0</v>
      </c>
      <c r="V307" s="19">
        <f t="shared" si="38"/>
        <v>0</v>
      </c>
      <c r="W307" s="19">
        <f t="shared" si="39"/>
        <v>0</v>
      </c>
      <c r="X307" s="21">
        <f t="shared" si="40"/>
        <v>0</v>
      </c>
    </row>
    <row r="308" spans="1:24" ht="13.5" x14ac:dyDescent="0.35">
      <c r="A308" s="18">
        <v>913001</v>
      </c>
      <c r="B308" s="19" t="s">
        <v>651</v>
      </c>
      <c r="C308" s="19">
        <v>230</v>
      </c>
      <c r="D308" s="19">
        <v>101</v>
      </c>
      <c r="E308" s="19">
        <v>1110</v>
      </c>
      <c r="F308" s="19">
        <v>17.71</v>
      </c>
      <c r="G308" s="19">
        <v>0</v>
      </c>
      <c r="H308" s="19">
        <v>17.71</v>
      </c>
      <c r="I308" s="20">
        <v>17.71</v>
      </c>
      <c r="J308" s="19">
        <f t="shared" si="33"/>
        <v>0</v>
      </c>
      <c r="K308" s="19">
        <f t="shared" si="34"/>
        <v>0</v>
      </c>
      <c r="L308" s="19">
        <v>1.39E-3</v>
      </c>
      <c r="M308" s="19">
        <v>7.2000000000000005E-4</v>
      </c>
      <c r="N308" s="19">
        <v>4.4000000000000002E-4</v>
      </c>
      <c r="O308" s="19">
        <v>5.0000000000000002E-5</v>
      </c>
      <c r="P308" s="19">
        <v>2.5999999999999998E-4</v>
      </c>
      <c r="Q308" s="19">
        <v>1E-4</v>
      </c>
      <c r="R308" s="19"/>
      <c r="S308" s="19">
        <f t="shared" si="35"/>
        <v>0</v>
      </c>
      <c r="T308" s="19">
        <f t="shared" si="36"/>
        <v>0</v>
      </c>
      <c r="U308" s="19">
        <f t="shared" si="37"/>
        <v>0</v>
      </c>
      <c r="V308" s="19">
        <f t="shared" si="38"/>
        <v>0</v>
      </c>
      <c r="W308" s="19">
        <f t="shared" si="39"/>
        <v>0</v>
      </c>
      <c r="X308" s="21">
        <f t="shared" si="40"/>
        <v>0</v>
      </c>
    </row>
    <row r="309" spans="1:24" ht="13.5" x14ac:dyDescent="0.35">
      <c r="A309" s="18">
        <v>911140</v>
      </c>
      <c r="B309" s="19" t="s">
        <v>615</v>
      </c>
      <c r="C309" s="19">
        <v>115</v>
      </c>
      <c r="D309" s="19">
        <v>101</v>
      </c>
      <c r="E309" s="19">
        <v>1030</v>
      </c>
      <c r="F309" s="19">
        <v>46.62</v>
      </c>
      <c r="G309" s="19">
        <v>0</v>
      </c>
      <c r="H309" s="19">
        <v>46.62</v>
      </c>
      <c r="I309" s="20">
        <v>46.62</v>
      </c>
      <c r="J309" s="19">
        <f t="shared" si="33"/>
        <v>0</v>
      </c>
      <c r="K309" s="19">
        <f t="shared" si="34"/>
        <v>0</v>
      </c>
      <c r="L309" s="19">
        <v>1.17E-3</v>
      </c>
      <c r="M309" s="19">
        <v>5.8E-4</v>
      </c>
      <c r="N309" s="19">
        <v>1.7099999999999999E-3</v>
      </c>
      <c r="O309" s="19">
        <v>1.6999999999999999E-3</v>
      </c>
      <c r="P309" s="19">
        <v>1.5200000000000001E-3</v>
      </c>
      <c r="Q309" s="19">
        <v>1.81E-3</v>
      </c>
      <c r="R309" s="19"/>
      <c r="S309" s="19">
        <f t="shared" si="35"/>
        <v>0</v>
      </c>
      <c r="T309" s="19">
        <f t="shared" si="36"/>
        <v>0</v>
      </c>
      <c r="U309" s="19">
        <f t="shared" si="37"/>
        <v>0</v>
      </c>
      <c r="V309" s="19">
        <f t="shared" si="38"/>
        <v>0</v>
      </c>
      <c r="W309" s="19">
        <f t="shared" si="39"/>
        <v>0</v>
      </c>
      <c r="X309" s="21">
        <f t="shared" si="40"/>
        <v>0</v>
      </c>
    </row>
    <row r="310" spans="1:24" ht="13.5" x14ac:dyDescent="0.35">
      <c r="A310" s="18">
        <v>116411</v>
      </c>
      <c r="B310" s="19" t="s">
        <v>446</v>
      </c>
      <c r="C310" s="19">
        <v>13.8</v>
      </c>
      <c r="D310" s="19">
        <v>101</v>
      </c>
      <c r="E310" s="19">
        <v>1373</v>
      </c>
      <c r="F310" s="19">
        <v>292</v>
      </c>
      <c r="G310" s="19">
        <v>0</v>
      </c>
      <c r="H310" s="19">
        <v>292</v>
      </c>
      <c r="I310" s="20">
        <v>292</v>
      </c>
      <c r="J310" s="19">
        <f t="shared" si="33"/>
        <v>0</v>
      </c>
      <c r="K310" s="19">
        <f t="shared" si="34"/>
        <v>0</v>
      </c>
      <c r="L310" s="19">
        <v>1.07E-3</v>
      </c>
      <c r="M310" s="19">
        <v>4.2000000000000002E-4</v>
      </c>
      <c r="N310" s="19">
        <v>1.3999999999999999E-4</v>
      </c>
      <c r="O310" s="19">
        <v>-4.8000000000000001E-4</v>
      </c>
      <c r="P310" s="19">
        <v>-2.7E-4</v>
      </c>
      <c r="Q310" s="19">
        <v>-3.8999999999999999E-4</v>
      </c>
      <c r="R310" s="19"/>
      <c r="S310" s="19">
        <f t="shared" si="35"/>
        <v>0</v>
      </c>
      <c r="T310" s="19">
        <f t="shared" si="36"/>
        <v>0</v>
      </c>
      <c r="U310" s="19">
        <f t="shared" si="37"/>
        <v>0</v>
      </c>
      <c r="V310" s="19">
        <f t="shared" si="38"/>
        <v>0</v>
      </c>
      <c r="W310" s="19">
        <f t="shared" si="39"/>
        <v>0</v>
      </c>
      <c r="X310" s="21">
        <f t="shared" si="40"/>
        <v>0</v>
      </c>
    </row>
    <row r="311" spans="1:24" ht="13.5" x14ac:dyDescent="0.35">
      <c r="A311" s="18">
        <v>116412</v>
      </c>
      <c r="B311" s="19" t="s">
        <v>447</v>
      </c>
      <c r="C311" s="19">
        <v>13.8</v>
      </c>
      <c r="D311" s="19">
        <v>101</v>
      </c>
      <c r="E311" s="19">
        <v>1373</v>
      </c>
      <c r="F311" s="19">
        <v>42</v>
      </c>
      <c r="G311" s="19">
        <v>0</v>
      </c>
      <c r="H311" s="19">
        <v>292</v>
      </c>
      <c r="I311" s="20">
        <v>42</v>
      </c>
      <c r="J311" s="19">
        <f t="shared" si="33"/>
        <v>0</v>
      </c>
      <c r="K311" s="19">
        <f t="shared" si="34"/>
        <v>250</v>
      </c>
      <c r="L311" s="19">
        <v>1.07E-3</v>
      </c>
      <c r="M311" s="19">
        <v>4.2000000000000002E-4</v>
      </c>
      <c r="N311" s="19">
        <v>1.3999999999999999E-4</v>
      </c>
      <c r="O311" s="19">
        <v>-4.8000000000000001E-4</v>
      </c>
      <c r="P311" s="19">
        <v>-2.7E-4</v>
      </c>
      <c r="Q311" s="19">
        <v>-3.8999999999999999E-4</v>
      </c>
      <c r="R311" s="19"/>
      <c r="S311" s="19">
        <f t="shared" si="35"/>
        <v>0</v>
      </c>
      <c r="T311" s="19">
        <f t="shared" si="36"/>
        <v>0</v>
      </c>
      <c r="U311" s="19">
        <f t="shared" si="37"/>
        <v>0</v>
      </c>
      <c r="V311" s="19">
        <f t="shared" si="38"/>
        <v>0</v>
      </c>
      <c r="W311" s="19">
        <f t="shared" si="39"/>
        <v>0</v>
      </c>
      <c r="X311" s="21">
        <f t="shared" si="40"/>
        <v>0</v>
      </c>
    </row>
    <row r="312" spans="1:24" ht="13.5" x14ac:dyDescent="0.35">
      <c r="A312" s="18">
        <v>116413</v>
      </c>
      <c r="B312" s="19" t="s">
        <v>448</v>
      </c>
      <c r="C312" s="19">
        <v>13.8</v>
      </c>
      <c r="D312" s="19">
        <v>101</v>
      </c>
      <c r="E312" s="19">
        <v>1373</v>
      </c>
      <c r="F312" s="19">
        <v>0</v>
      </c>
      <c r="G312" s="19">
        <v>0</v>
      </c>
      <c r="H312" s="19">
        <v>0</v>
      </c>
      <c r="I312" s="20">
        <v>0</v>
      </c>
      <c r="J312" s="19">
        <f t="shared" si="33"/>
        <v>0</v>
      </c>
      <c r="K312" s="19">
        <f t="shared" si="34"/>
        <v>0</v>
      </c>
      <c r="L312" s="19">
        <v>1.07E-3</v>
      </c>
      <c r="M312" s="19">
        <v>4.2000000000000002E-4</v>
      </c>
      <c r="N312" s="19">
        <v>1.3999999999999999E-4</v>
      </c>
      <c r="O312" s="19">
        <v>-4.8000000000000001E-4</v>
      </c>
      <c r="P312" s="19">
        <v>-2.7E-4</v>
      </c>
      <c r="Q312" s="19">
        <v>-3.8999999999999999E-4</v>
      </c>
      <c r="R312" s="19"/>
      <c r="S312" s="19">
        <f t="shared" si="35"/>
        <v>0</v>
      </c>
      <c r="T312" s="19">
        <f t="shared" si="36"/>
        <v>0</v>
      </c>
      <c r="U312" s="19">
        <f t="shared" si="37"/>
        <v>0</v>
      </c>
      <c r="V312" s="19">
        <f t="shared" si="38"/>
        <v>0</v>
      </c>
      <c r="W312" s="19">
        <f t="shared" si="39"/>
        <v>0</v>
      </c>
      <c r="X312" s="21">
        <f t="shared" si="40"/>
        <v>0</v>
      </c>
    </row>
    <row r="313" spans="1:24" ht="13.5" x14ac:dyDescent="0.35">
      <c r="A313" s="18">
        <v>116414</v>
      </c>
      <c r="B313" s="19" t="s">
        <v>449</v>
      </c>
      <c r="C313" s="19">
        <v>13.8</v>
      </c>
      <c r="D313" s="19">
        <v>101</v>
      </c>
      <c r="E313" s="19">
        <v>1373</v>
      </c>
      <c r="F313" s="19">
        <v>0</v>
      </c>
      <c r="G313" s="19">
        <v>0</v>
      </c>
      <c r="H313" s="19">
        <v>0</v>
      </c>
      <c r="I313" s="20">
        <v>0</v>
      </c>
      <c r="J313" s="19">
        <f t="shared" si="33"/>
        <v>0</v>
      </c>
      <c r="K313" s="19">
        <f t="shared" si="34"/>
        <v>0</v>
      </c>
      <c r="L313" s="19">
        <v>1.07E-3</v>
      </c>
      <c r="M313" s="19">
        <v>4.2000000000000002E-4</v>
      </c>
      <c r="N313" s="19">
        <v>1.3999999999999999E-4</v>
      </c>
      <c r="O313" s="19">
        <v>-4.8000000000000001E-4</v>
      </c>
      <c r="P313" s="19">
        <v>-2.7E-4</v>
      </c>
      <c r="Q313" s="19">
        <v>-3.8999999999999999E-4</v>
      </c>
      <c r="R313" s="19"/>
      <c r="S313" s="19">
        <f t="shared" si="35"/>
        <v>0</v>
      </c>
      <c r="T313" s="19">
        <f t="shared" si="36"/>
        <v>0</v>
      </c>
      <c r="U313" s="19">
        <f t="shared" si="37"/>
        <v>0</v>
      </c>
      <c r="V313" s="19">
        <f t="shared" si="38"/>
        <v>0</v>
      </c>
      <c r="W313" s="19">
        <f t="shared" si="39"/>
        <v>0</v>
      </c>
      <c r="X313" s="21">
        <f t="shared" si="40"/>
        <v>0</v>
      </c>
    </row>
    <row r="314" spans="1:24" ht="13.5" x14ac:dyDescent="0.35">
      <c r="A314" s="18">
        <v>109529</v>
      </c>
      <c r="B314" s="19" t="s">
        <v>324</v>
      </c>
      <c r="C314" s="19">
        <v>2.4</v>
      </c>
      <c r="D314" s="19">
        <v>101</v>
      </c>
      <c r="E314" s="19">
        <v>1100</v>
      </c>
      <c r="F314" s="19">
        <v>0</v>
      </c>
      <c r="G314" s="19">
        <v>0</v>
      </c>
      <c r="H314" s="19">
        <v>0</v>
      </c>
      <c r="I314" s="20">
        <v>0</v>
      </c>
      <c r="J314" s="19">
        <f t="shared" si="33"/>
        <v>0</v>
      </c>
      <c r="K314" s="19">
        <f t="shared" si="34"/>
        <v>0</v>
      </c>
      <c r="L314" s="19">
        <v>8.1999999999999998E-4</v>
      </c>
      <c r="M314" s="19">
        <v>2.4000000000000001E-4</v>
      </c>
      <c r="N314" s="19">
        <v>-2.5999999999999998E-4</v>
      </c>
      <c r="O314" s="19">
        <v>-5.1999999999999995E-4</v>
      </c>
      <c r="P314" s="19">
        <v>-3.8999999999999999E-4</v>
      </c>
      <c r="Q314" s="19">
        <v>-5.1999999999999995E-4</v>
      </c>
      <c r="R314" s="19"/>
      <c r="S314" s="19">
        <f t="shared" si="35"/>
        <v>0</v>
      </c>
      <c r="T314" s="19">
        <f t="shared" si="36"/>
        <v>0</v>
      </c>
      <c r="U314" s="19">
        <f t="shared" si="37"/>
        <v>0</v>
      </c>
      <c r="V314" s="19">
        <f t="shared" si="38"/>
        <v>0</v>
      </c>
      <c r="W314" s="19">
        <f t="shared" si="39"/>
        <v>0</v>
      </c>
      <c r="X314" s="21">
        <f t="shared" si="40"/>
        <v>0</v>
      </c>
    </row>
    <row r="315" spans="1:24" ht="13.5" x14ac:dyDescent="0.35">
      <c r="A315" s="18">
        <v>109530</v>
      </c>
      <c r="B315" s="19" t="s">
        <v>325</v>
      </c>
      <c r="C315" s="19">
        <v>2.4</v>
      </c>
      <c r="D315" s="19">
        <v>101</v>
      </c>
      <c r="E315" s="19">
        <v>1100</v>
      </c>
      <c r="F315" s="19">
        <v>0</v>
      </c>
      <c r="G315" s="19">
        <v>0</v>
      </c>
      <c r="H315" s="19">
        <v>0</v>
      </c>
      <c r="I315" s="20">
        <v>0</v>
      </c>
      <c r="J315" s="19">
        <f t="shared" si="33"/>
        <v>0</v>
      </c>
      <c r="K315" s="19">
        <f t="shared" si="34"/>
        <v>0</v>
      </c>
      <c r="L315" s="19">
        <v>8.1999999999999998E-4</v>
      </c>
      <c r="M315" s="19">
        <v>2.4000000000000001E-4</v>
      </c>
      <c r="N315" s="19">
        <v>-2.5999999999999998E-4</v>
      </c>
      <c r="O315" s="19">
        <v>-5.1999999999999995E-4</v>
      </c>
      <c r="P315" s="19">
        <v>-3.8999999999999999E-4</v>
      </c>
      <c r="Q315" s="19">
        <v>-5.1999999999999995E-4</v>
      </c>
      <c r="R315" s="19"/>
      <c r="S315" s="19">
        <f t="shared" si="35"/>
        <v>0</v>
      </c>
      <c r="T315" s="19">
        <f t="shared" si="36"/>
        <v>0</v>
      </c>
      <c r="U315" s="19">
        <f t="shared" si="37"/>
        <v>0</v>
      </c>
      <c r="V315" s="19">
        <f t="shared" si="38"/>
        <v>0</v>
      </c>
      <c r="W315" s="19">
        <f t="shared" si="39"/>
        <v>0</v>
      </c>
      <c r="X315" s="21">
        <f t="shared" si="40"/>
        <v>0</v>
      </c>
    </row>
    <row r="316" spans="1:24" ht="13.5" x14ac:dyDescent="0.35">
      <c r="A316" s="18">
        <v>109531</v>
      </c>
      <c r="B316" s="19" t="s">
        <v>326</v>
      </c>
      <c r="C316" s="19">
        <v>13.8</v>
      </c>
      <c r="D316" s="19">
        <v>101</v>
      </c>
      <c r="E316" s="19">
        <v>1100</v>
      </c>
      <c r="F316" s="19">
        <v>0</v>
      </c>
      <c r="G316" s="19">
        <v>0</v>
      </c>
      <c r="H316" s="19">
        <v>0</v>
      </c>
      <c r="I316" s="20">
        <v>0</v>
      </c>
      <c r="J316" s="19">
        <f t="shared" si="33"/>
        <v>0</v>
      </c>
      <c r="K316" s="19">
        <f t="shared" si="34"/>
        <v>0</v>
      </c>
      <c r="L316" s="19">
        <v>8.1999999999999998E-4</v>
      </c>
      <c r="M316" s="19">
        <v>2.4000000000000001E-4</v>
      </c>
      <c r="N316" s="19">
        <v>-2.5999999999999998E-4</v>
      </c>
      <c r="O316" s="19">
        <v>-5.1999999999999995E-4</v>
      </c>
      <c r="P316" s="19">
        <v>-3.8999999999999999E-4</v>
      </c>
      <c r="Q316" s="19">
        <v>-5.1999999999999995E-4</v>
      </c>
      <c r="R316" s="19"/>
      <c r="S316" s="19">
        <f t="shared" si="35"/>
        <v>0</v>
      </c>
      <c r="T316" s="19">
        <f t="shared" si="36"/>
        <v>0</v>
      </c>
      <c r="U316" s="19">
        <f t="shared" si="37"/>
        <v>0</v>
      </c>
      <c r="V316" s="19">
        <f t="shared" si="38"/>
        <v>0</v>
      </c>
      <c r="W316" s="19">
        <f t="shared" si="39"/>
        <v>0</v>
      </c>
      <c r="X316" s="21">
        <f t="shared" si="40"/>
        <v>0</v>
      </c>
    </row>
    <row r="317" spans="1:24" ht="13.5" x14ac:dyDescent="0.35">
      <c r="A317" s="18">
        <v>109532</v>
      </c>
      <c r="B317" s="19" t="s">
        <v>327</v>
      </c>
      <c r="C317" s="19">
        <v>13.8</v>
      </c>
      <c r="D317" s="19">
        <v>101</v>
      </c>
      <c r="E317" s="19">
        <v>1100</v>
      </c>
      <c r="F317" s="19">
        <v>0</v>
      </c>
      <c r="G317" s="19">
        <v>0</v>
      </c>
      <c r="H317" s="19">
        <v>0</v>
      </c>
      <c r="I317" s="20">
        <v>0</v>
      </c>
      <c r="J317" s="19">
        <f t="shared" si="33"/>
        <v>0</v>
      </c>
      <c r="K317" s="19">
        <f t="shared" si="34"/>
        <v>0</v>
      </c>
      <c r="L317" s="19">
        <v>8.1999999999999998E-4</v>
      </c>
      <c r="M317" s="19">
        <v>2.4000000000000001E-4</v>
      </c>
      <c r="N317" s="19">
        <v>-2.5999999999999998E-4</v>
      </c>
      <c r="O317" s="19">
        <v>-5.1999999999999995E-4</v>
      </c>
      <c r="P317" s="19">
        <v>-3.8999999999999999E-4</v>
      </c>
      <c r="Q317" s="19">
        <v>-5.1999999999999995E-4</v>
      </c>
      <c r="R317" s="19"/>
      <c r="S317" s="19">
        <f t="shared" si="35"/>
        <v>0</v>
      </c>
      <c r="T317" s="19">
        <f t="shared" si="36"/>
        <v>0</v>
      </c>
      <c r="U317" s="19">
        <f t="shared" si="37"/>
        <v>0</v>
      </c>
      <c r="V317" s="19">
        <f t="shared" si="38"/>
        <v>0</v>
      </c>
      <c r="W317" s="19">
        <f t="shared" si="39"/>
        <v>0</v>
      </c>
      <c r="X317" s="21">
        <f t="shared" si="40"/>
        <v>0</v>
      </c>
    </row>
    <row r="318" spans="1:24" ht="13.5" x14ac:dyDescent="0.35">
      <c r="A318" s="18">
        <v>919030</v>
      </c>
      <c r="B318" s="19" t="s">
        <v>699</v>
      </c>
      <c r="C318" s="19">
        <v>115</v>
      </c>
      <c r="D318" s="19">
        <v>101</v>
      </c>
      <c r="E318" s="19">
        <v>1020</v>
      </c>
      <c r="F318" s="19">
        <v>3.75</v>
      </c>
      <c r="G318" s="19">
        <v>0</v>
      </c>
      <c r="H318" s="19">
        <v>3.75</v>
      </c>
      <c r="I318" s="20">
        <v>3.75</v>
      </c>
      <c r="J318" s="19">
        <f t="shared" si="33"/>
        <v>0</v>
      </c>
      <c r="K318" s="19">
        <f t="shared" si="34"/>
        <v>0</v>
      </c>
      <c r="L318" s="19">
        <v>8.1999999999999998E-4</v>
      </c>
      <c r="M318" s="19">
        <v>8.0999999999999996E-4</v>
      </c>
      <c r="N318" s="19">
        <v>-2.9999999999999997E-4</v>
      </c>
      <c r="O318" s="19">
        <v>4.9800000000000001E-3</v>
      </c>
      <c r="P318" s="19">
        <v>4.8300000000000001E-3</v>
      </c>
      <c r="Q318" s="19">
        <v>3.8700000000000002E-3</v>
      </c>
      <c r="R318" s="19"/>
      <c r="S318" s="19">
        <f t="shared" si="35"/>
        <v>0</v>
      </c>
      <c r="T318" s="19">
        <f t="shared" si="36"/>
        <v>0</v>
      </c>
      <c r="U318" s="19">
        <f t="shared" si="37"/>
        <v>0</v>
      </c>
      <c r="V318" s="19">
        <f t="shared" si="38"/>
        <v>0</v>
      </c>
      <c r="W318" s="19">
        <f t="shared" si="39"/>
        <v>0</v>
      </c>
      <c r="X318" s="21">
        <f t="shared" si="40"/>
        <v>0</v>
      </c>
    </row>
    <row r="319" spans="1:24" ht="13.5" x14ac:dyDescent="0.35">
      <c r="A319" s="18">
        <v>108934</v>
      </c>
      <c r="B319" s="19" t="s">
        <v>262</v>
      </c>
      <c r="C319" s="19">
        <v>13.8</v>
      </c>
      <c r="D319" s="19">
        <v>101</v>
      </c>
      <c r="E319" s="19">
        <v>704</v>
      </c>
      <c r="F319" s="19">
        <v>0</v>
      </c>
      <c r="G319" s="19">
        <v>0</v>
      </c>
      <c r="H319" s="19">
        <v>0</v>
      </c>
      <c r="I319" s="20">
        <v>0</v>
      </c>
      <c r="J319" s="19">
        <f t="shared" si="33"/>
        <v>0</v>
      </c>
      <c r="K319" s="19">
        <f t="shared" si="34"/>
        <v>0</v>
      </c>
      <c r="L319" s="19">
        <v>7.5000000000000002E-4</v>
      </c>
      <c r="M319" s="19">
        <v>1.6000000000000001E-4</v>
      </c>
      <c r="N319" s="19">
        <v>-1.9000000000000001E-4</v>
      </c>
      <c r="O319" s="19">
        <v>-7.3999999999999999E-4</v>
      </c>
      <c r="P319" s="19">
        <v>-5.8E-4</v>
      </c>
      <c r="Q319" s="19">
        <v>-6.7000000000000002E-4</v>
      </c>
      <c r="R319" s="19"/>
      <c r="S319" s="19">
        <f t="shared" si="35"/>
        <v>0</v>
      </c>
      <c r="T319" s="19">
        <f t="shared" si="36"/>
        <v>0</v>
      </c>
      <c r="U319" s="19">
        <f t="shared" si="37"/>
        <v>0</v>
      </c>
      <c r="V319" s="19">
        <f t="shared" si="38"/>
        <v>0</v>
      </c>
      <c r="W319" s="19">
        <f t="shared" si="39"/>
        <v>0</v>
      </c>
      <c r="X319" s="21">
        <f t="shared" si="40"/>
        <v>0</v>
      </c>
    </row>
    <row r="320" spans="1:24" ht="13.5" x14ac:dyDescent="0.35">
      <c r="A320" s="18">
        <v>108938</v>
      </c>
      <c r="B320" s="19" t="s">
        <v>263</v>
      </c>
      <c r="C320" s="19">
        <v>13.8</v>
      </c>
      <c r="D320" s="19">
        <v>101</v>
      </c>
      <c r="E320" s="19">
        <v>704</v>
      </c>
      <c r="F320" s="19">
        <v>0</v>
      </c>
      <c r="G320" s="19">
        <v>0</v>
      </c>
      <c r="H320" s="19">
        <v>0</v>
      </c>
      <c r="I320" s="20">
        <v>0</v>
      </c>
      <c r="J320" s="19">
        <f t="shared" si="33"/>
        <v>0</v>
      </c>
      <c r="K320" s="19">
        <f t="shared" si="34"/>
        <v>0</v>
      </c>
      <c r="L320" s="19">
        <v>7.5000000000000002E-4</v>
      </c>
      <c r="M320" s="19">
        <v>1.6000000000000001E-4</v>
      </c>
      <c r="N320" s="19">
        <v>-1.9000000000000001E-4</v>
      </c>
      <c r="O320" s="19">
        <v>-7.3999999999999999E-4</v>
      </c>
      <c r="P320" s="19">
        <v>-5.8E-4</v>
      </c>
      <c r="Q320" s="19">
        <v>-6.7000000000000002E-4</v>
      </c>
      <c r="R320" s="19"/>
      <c r="S320" s="19">
        <f t="shared" si="35"/>
        <v>0</v>
      </c>
      <c r="T320" s="19">
        <f t="shared" si="36"/>
        <v>0</v>
      </c>
      <c r="U320" s="19">
        <f t="shared" si="37"/>
        <v>0</v>
      </c>
      <c r="V320" s="19">
        <f t="shared" si="38"/>
        <v>0</v>
      </c>
      <c r="W320" s="19">
        <f t="shared" si="39"/>
        <v>0</v>
      </c>
      <c r="X320" s="21">
        <f t="shared" si="40"/>
        <v>0</v>
      </c>
    </row>
    <row r="321" spans="1:24" ht="13.5" x14ac:dyDescent="0.35">
      <c r="A321" s="18">
        <v>113926</v>
      </c>
      <c r="B321" s="19" t="s">
        <v>416</v>
      </c>
      <c r="C321" s="19">
        <v>4.16</v>
      </c>
      <c r="D321" s="19">
        <v>101</v>
      </c>
      <c r="E321" s="19">
        <v>1220</v>
      </c>
      <c r="F321" s="19">
        <v>16.8</v>
      </c>
      <c r="G321" s="19">
        <v>0</v>
      </c>
      <c r="H321" s="19">
        <v>16.8</v>
      </c>
      <c r="I321" s="20">
        <v>16.8</v>
      </c>
      <c r="J321" s="19">
        <f t="shared" si="33"/>
        <v>0</v>
      </c>
      <c r="K321" s="19">
        <f t="shared" si="34"/>
        <v>0</v>
      </c>
      <c r="L321" s="19">
        <v>2.5999999999999998E-4</v>
      </c>
      <c r="M321" s="19">
        <v>1.0000000000000001E-5</v>
      </c>
      <c r="N321" s="19">
        <v>-8.8999999999999995E-4</v>
      </c>
      <c r="O321" s="19">
        <v>6.7000000000000002E-4</v>
      </c>
      <c r="P321" s="19">
        <v>7.1000000000000002E-4</v>
      </c>
      <c r="Q321" s="19">
        <v>2.9E-4</v>
      </c>
      <c r="R321" s="19"/>
      <c r="S321" s="19">
        <f t="shared" si="35"/>
        <v>0</v>
      </c>
      <c r="T321" s="19">
        <f t="shared" si="36"/>
        <v>0</v>
      </c>
      <c r="U321" s="19">
        <f t="shared" si="37"/>
        <v>0</v>
      </c>
      <c r="V321" s="19">
        <f t="shared" si="38"/>
        <v>0</v>
      </c>
      <c r="W321" s="19">
        <f t="shared" si="39"/>
        <v>0</v>
      </c>
      <c r="X321" s="21">
        <f t="shared" si="40"/>
        <v>0</v>
      </c>
    </row>
    <row r="322" spans="1:24" ht="13.5" x14ac:dyDescent="0.35">
      <c r="A322" s="18">
        <v>913038</v>
      </c>
      <c r="B322" s="19" t="s">
        <v>660</v>
      </c>
      <c r="C322" s="19">
        <v>69</v>
      </c>
      <c r="D322" s="19">
        <v>101</v>
      </c>
      <c r="E322" s="19">
        <v>1100</v>
      </c>
      <c r="F322" s="19">
        <v>7.49</v>
      </c>
      <c r="G322" s="19">
        <v>0</v>
      </c>
      <c r="H322" s="19">
        <v>7.49</v>
      </c>
      <c r="I322" s="20">
        <v>7.49</v>
      </c>
      <c r="J322" s="19">
        <f t="shared" si="33"/>
        <v>0</v>
      </c>
      <c r="K322" s="19">
        <f t="shared" si="34"/>
        <v>0</v>
      </c>
      <c r="L322" s="19">
        <v>1.4999999999999999E-4</v>
      </c>
      <c r="M322" s="19">
        <v>-3.4000000000000002E-4</v>
      </c>
      <c r="N322" s="19">
        <v>-1.0300000000000001E-3</v>
      </c>
      <c r="O322" s="19">
        <v>-1.33E-3</v>
      </c>
      <c r="P322" s="19">
        <v>-1.2700000000000001E-3</v>
      </c>
      <c r="Q322" s="19">
        <v>-1.34E-3</v>
      </c>
      <c r="R322" s="19"/>
      <c r="S322" s="19">
        <f t="shared" si="35"/>
        <v>0</v>
      </c>
      <c r="T322" s="19">
        <f t="shared" si="36"/>
        <v>0</v>
      </c>
      <c r="U322" s="19">
        <f t="shared" si="37"/>
        <v>0</v>
      </c>
      <c r="V322" s="19">
        <f t="shared" si="38"/>
        <v>0</v>
      </c>
      <c r="W322" s="19">
        <f t="shared" si="39"/>
        <v>0</v>
      </c>
      <c r="X322" s="21">
        <f t="shared" si="40"/>
        <v>0</v>
      </c>
    </row>
    <row r="323" spans="1:24" ht="13.5" x14ac:dyDescent="0.35">
      <c r="A323" s="18">
        <v>114858</v>
      </c>
      <c r="B323" s="19" t="s">
        <v>438</v>
      </c>
      <c r="C323" s="19">
        <v>13.8</v>
      </c>
      <c r="D323" s="19">
        <v>101</v>
      </c>
      <c r="E323" s="19">
        <v>1140</v>
      </c>
      <c r="F323" s="19">
        <v>109.83</v>
      </c>
      <c r="G323" s="19">
        <v>0</v>
      </c>
      <c r="H323" s="19">
        <v>109.83</v>
      </c>
      <c r="I323" s="20">
        <v>109.83</v>
      </c>
      <c r="J323" s="19">
        <f t="shared" si="33"/>
        <v>0</v>
      </c>
      <c r="K323" s="19">
        <f t="shared" si="34"/>
        <v>0</v>
      </c>
      <c r="L323" s="19">
        <v>1E-4</v>
      </c>
      <c r="M323" s="19">
        <v>2.5999999999999998E-4</v>
      </c>
      <c r="N323" s="19">
        <v>-1.07E-3</v>
      </c>
      <c r="O323" s="19">
        <v>5.0299999999999997E-3</v>
      </c>
      <c r="P323" s="19">
        <v>4.8300000000000001E-3</v>
      </c>
      <c r="Q323" s="19">
        <v>3.7499999999999999E-3</v>
      </c>
      <c r="R323" s="19"/>
      <c r="S323" s="19">
        <f t="shared" si="35"/>
        <v>0</v>
      </c>
      <c r="T323" s="19">
        <f t="shared" si="36"/>
        <v>0</v>
      </c>
      <c r="U323" s="19">
        <f t="shared" si="37"/>
        <v>0</v>
      </c>
      <c r="V323" s="19">
        <f t="shared" si="38"/>
        <v>0</v>
      </c>
      <c r="W323" s="19">
        <f t="shared" si="39"/>
        <v>0</v>
      </c>
      <c r="X323" s="21">
        <f t="shared" si="40"/>
        <v>0</v>
      </c>
    </row>
    <row r="324" spans="1:24" ht="13.5" x14ac:dyDescent="0.35">
      <c r="A324" s="18">
        <v>114859</v>
      </c>
      <c r="B324" s="19" t="s">
        <v>439</v>
      </c>
      <c r="C324" s="19">
        <v>13.8</v>
      </c>
      <c r="D324" s="19">
        <v>101</v>
      </c>
      <c r="E324" s="19">
        <v>1140</v>
      </c>
      <c r="F324" s="19">
        <v>92.17</v>
      </c>
      <c r="G324" s="19">
        <v>0</v>
      </c>
      <c r="H324" s="19">
        <v>92.17</v>
      </c>
      <c r="I324" s="20">
        <v>92.17</v>
      </c>
      <c r="J324" s="19">
        <f t="shared" si="33"/>
        <v>0</v>
      </c>
      <c r="K324" s="19">
        <f t="shared" si="34"/>
        <v>0</v>
      </c>
      <c r="L324" s="19">
        <v>1E-4</v>
      </c>
      <c r="M324" s="19">
        <v>2.5999999999999998E-4</v>
      </c>
      <c r="N324" s="19">
        <v>-1.07E-3</v>
      </c>
      <c r="O324" s="19">
        <v>5.0299999999999997E-3</v>
      </c>
      <c r="P324" s="19">
        <v>4.8300000000000001E-3</v>
      </c>
      <c r="Q324" s="19">
        <v>3.7499999999999999E-3</v>
      </c>
      <c r="R324" s="19"/>
      <c r="S324" s="19">
        <f t="shared" si="35"/>
        <v>0</v>
      </c>
      <c r="T324" s="19">
        <f t="shared" si="36"/>
        <v>0</v>
      </c>
      <c r="U324" s="19">
        <f t="shared" si="37"/>
        <v>0</v>
      </c>
      <c r="V324" s="19">
        <f t="shared" si="38"/>
        <v>0</v>
      </c>
      <c r="W324" s="19">
        <f t="shared" si="39"/>
        <v>0</v>
      </c>
      <c r="X324" s="21">
        <f t="shared" si="40"/>
        <v>0</v>
      </c>
    </row>
    <row r="325" spans="1:24" ht="13.5" x14ac:dyDescent="0.35">
      <c r="A325" s="18">
        <v>913019</v>
      </c>
      <c r="B325" s="19" t="s">
        <v>656</v>
      </c>
      <c r="C325" s="19">
        <v>69</v>
      </c>
      <c r="D325" s="19">
        <v>101</v>
      </c>
      <c r="E325" s="19">
        <v>1100</v>
      </c>
      <c r="F325" s="19">
        <v>45.8</v>
      </c>
      <c r="G325" s="19">
        <v>0</v>
      </c>
      <c r="H325" s="19">
        <v>45.8</v>
      </c>
      <c r="I325" s="20">
        <v>45.8</v>
      </c>
      <c r="J325" s="19">
        <f t="shared" si="33"/>
        <v>0</v>
      </c>
      <c r="K325" s="19">
        <f t="shared" si="34"/>
        <v>0</v>
      </c>
      <c r="L325" s="19">
        <v>4.0000000000000003E-5</v>
      </c>
      <c r="M325" s="19">
        <v>-4.2999999999999999E-4</v>
      </c>
      <c r="N325" s="19">
        <v>-1.15E-3</v>
      </c>
      <c r="O325" s="19">
        <v>-1.4599999999999999E-3</v>
      </c>
      <c r="P325" s="19">
        <v>-1.41E-3</v>
      </c>
      <c r="Q325" s="19">
        <v>-1.47E-3</v>
      </c>
      <c r="R325" s="19"/>
      <c r="S325" s="19">
        <f t="shared" si="35"/>
        <v>0</v>
      </c>
      <c r="T325" s="19">
        <f t="shared" si="36"/>
        <v>0</v>
      </c>
      <c r="U325" s="19">
        <f t="shared" si="37"/>
        <v>0</v>
      </c>
      <c r="V325" s="19">
        <f t="shared" si="38"/>
        <v>0</v>
      </c>
      <c r="W325" s="19">
        <f t="shared" si="39"/>
        <v>0</v>
      </c>
      <c r="X325" s="21">
        <f t="shared" si="40"/>
        <v>0</v>
      </c>
    </row>
    <row r="326" spans="1:24" ht="13.5" x14ac:dyDescent="0.35">
      <c r="A326" s="18">
        <v>113341</v>
      </c>
      <c r="B326" s="19" t="s">
        <v>400</v>
      </c>
      <c r="C326" s="19">
        <v>69</v>
      </c>
      <c r="D326" s="19">
        <v>101</v>
      </c>
      <c r="E326" s="19">
        <v>1110</v>
      </c>
      <c r="F326" s="19">
        <v>0</v>
      </c>
      <c r="G326" s="19">
        <v>0</v>
      </c>
      <c r="H326" s="19">
        <v>0</v>
      </c>
      <c r="I326" s="20">
        <v>0</v>
      </c>
      <c r="J326" s="19">
        <f t="shared" si="33"/>
        <v>0</v>
      </c>
      <c r="K326" s="19">
        <f t="shared" si="34"/>
        <v>0</v>
      </c>
      <c r="L326" s="19">
        <v>-1E-4</v>
      </c>
      <c r="M326" s="19">
        <v>-5.8E-4</v>
      </c>
      <c r="N326" s="19">
        <v>-1.4400000000000001E-3</v>
      </c>
      <c r="O326" s="19">
        <v>-1.8E-3</v>
      </c>
      <c r="P326" s="19">
        <v>-1.7600000000000001E-3</v>
      </c>
      <c r="Q326" s="19">
        <v>-1.81E-3</v>
      </c>
      <c r="R326" s="19"/>
      <c r="S326" s="19">
        <f t="shared" si="35"/>
        <v>0</v>
      </c>
      <c r="T326" s="19">
        <f t="shared" si="36"/>
        <v>0</v>
      </c>
      <c r="U326" s="19">
        <f t="shared" si="37"/>
        <v>0</v>
      </c>
      <c r="V326" s="19">
        <f t="shared" si="38"/>
        <v>0</v>
      </c>
      <c r="W326" s="19">
        <f t="shared" si="39"/>
        <v>0</v>
      </c>
      <c r="X326" s="21">
        <f t="shared" si="40"/>
        <v>0</v>
      </c>
    </row>
    <row r="327" spans="1:24" ht="13.5" x14ac:dyDescent="0.35">
      <c r="A327" s="18">
        <v>913316</v>
      </c>
      <c r="B327" s="19" t="s">
        <v>669</v>
      </c>
      <c r="C327" s="19">
        <v>69</v>
      </c>
      <c r="D327" s="19">
        <v>101</v>
      </c>
      <c r="E327" s="19">
        <v>1100</v>
      </c>
      <c r="F327" s="19">
        <v>15.23</v>
      </c>
      <c r="G327" s="19">
        <v>0</v>
      </c>
      <c r="H327" s="19">
        <v>15.23</v>
      </c>
      <c r="I327" s="20">
        <v>15.23</v>
      </c>
      <c r="J327" s="19">
        <f t="shared" si="33"/>
        <v>0</v>
      </c>
      <c r="K327" s="19">
        <f t="shared" si="34"/>
        <v>0</v>
      </c>
      <c r="L327" s="19">
        <v>-1.1E-4</v>
      </c>
      <c r="M327" s="19">
        <v>-5.5999999999999995E-4</v>
      </c>
      <c r="N327" s="19">
        <v>-1.31E-3</v>
      </c>
      <c r="O327" s="19">
        <v>-1.64E-3</v>
      </c>
      <c r="P327" s="19">
        <v>-1.6000000000000001E-3</v>
      </c>
      <c r="Q327" s="19">
        <v>-1.65E-3</v>
      </c>
      <c r="R327" s="19"/>
      <c r="S327" s="19">
        <f t="shared" si="35"/>
        <v>0</v>
      </c>
      <c r="T327" s="19">
        <f t="shared" si="36"/>
        <v>0</v>
      </c>
      <c r="U327" s="19">
        <f t="shared" si="37"/>
        <v>0</v>
      </c>
      <c r="V327" s="19">
        <f t="shared" si="38"/>
        <v>0</v>
      </c>
      <c r="W327" s="19">
        <f t="shared" si="39"/>
        <v>0</v>
      </c>
      <c r="X327" s="21">
        <f t="shared" si="40"/>
        <v>0</v>
      </c>
    </row>
    <row r="328" spans="1:24" ht="13.5" x14ac:dyDescent="0.35">
      <c r="A328" s="18">
        <v>113378</v>
      </c>
      <c r="B328" s="19" t="s">
        <v>401</v>
      </c>
      <c r="C328" s="19">
        <v>13.8</v>
      </c>
      <c r="D328" s="19">
        <v>101</v>
      </c>
      <c r="E328" s="19">
        <v>1110</v>
      </c>
      <c r="F328" s="19">
        <v>0</v>
      </c>
      <c r="G328" s="19">
        <v>0</v>
      </c>
      <c r="H328" s="19">
        <v>0</v>
      </c>
      <c r="I328" s="20">
        <v>0</v>
      </c>
      <c r="J328" s="19">
        <f t="shared" si="33"/>
        <v>0</v>
      </c>
      <c r="K328" s="19">
        <f t="shared" si="34"/>
        <v>0</v>
      </c>
      <c r="L328" s="19">
        <v>-1.2E-4</v>
      </c>
      <c r="M328" s="19">
        <v>-5.4000000000000001E-4</v>
      </c>
      <c r="N328" s="19">
        <v>-1.3799999999999999E-3</v>
      </c>
      <c r="O328" s="19">
        <v>-1.41E-3</v>
      </c>
      <c r="P328" s="19">
        <v>-1.39E-3</v>
      </c>
      <c r="Q328" s="19">
        <v>-1.49E-3</v>
      </c>
      <c r="R328" s="19"/>
      <c r="S328" s="19">
        <f t="shared" si="35"/>
        <v>0</v>
      </c>
      <c r="T328" s="19">
        <f t="shared" si="36"/>
        <v>0</v>
      </c>
      <c r="U328" s="19">
        <f t="shared" si="37"/>
        <v>0</v>
      </c>
      <c r="V328" s="19">
        <f t="shared" si="38"/>
        <v>0</v>
      </c>
      <c r="W328" s="19">
        <f t="shared" si="39"/>
        <v>0</v>
      </c>
      <c r="X328" s="21">
        <f t="shared" si="40"/>
        <v>0</v>
      </c>
    </row>
    <row r="329" spans="1:24" ht="13.5" x14ac:dyDescent="0.35">
      <c r="A329" s="18">
        <v>113379</v>
      </c>
      <c r="B329" s="19" t="s">
        <v>402</v>
      </c>
      <c r="C329" s="19">
        <v>13.8</v>
      </c>
      <c r="D329" s="19">
        <v>101</v>
      </c>
      <c r="E329" s="19">
        <v>1110</v>
      </c>
      <c r="F329" s="19">
        <v>0</v>
      </c>
      <c r="G329" s="19">
        <v>0</v>
      </c>
      <c r="H329" s="19">
        <v>0</v>
      </c>
      <c r="I329" s="20">
        <v>0</v>
      </c>
      <c r="J329" s="19">
        <f t="shared" si="33"/>
        <v>0</v>
      </c>
      <c r="K329" s="19">
        <f t="shared" si="34"/>
        <v>0</v>
      </c>
      <c r="L329" s="19">
        <v>-1.2E-4</v>
      </c>
      <c r="M329" s="19">
        <v>-5.4000000000000001E-4</v>
      </c>
      <c r="N329" s="19">
        <v>-1.3799999999999999E-3</v>
      </c>
      <c r="O329" s="19">
        <v>-1.41E-3</v>
      </c>
      <c r="P329" s="19">
        <v>-1.39E-3</v>
      </c>
      <c r="Q329" s="19">
        <v>-1.49E-3</v>
      </c>
      <c r="R329" s="19"/>
      <c r="S329" s="19">
        <f t="shared" si="35"/>
        <v>0</v>
      </c>
      <c r="T329" s="19">
        <f t="shared" si="36"/>
        <v>0</v>
      </c>
      <c r="U329" s="19">
        <f t="shared" si="37"/>
        <v>0</v>
      </c>
      <c r="V329" s="19">
        <f t="shared" si="38"/>
        <v>0</v>
      </c>
      <c r="W329" s="19">
        <f t="shared" si="39"/>
        <v>0</v>
      </c>
      <c r="X329" s="21">
        <f t="shared" si="40"/>
        <v>0</v>
      </c>
    </row>
    <row r="330" spans="1:24" ht="13.5" x14ac:dyDescent="0.35">
      <c r="A330" s="18">
        <v>111095</v>
      </c>
      <c r="B330" s="19" t="s">
        <v>345</v>
      </c>
      <c r="C330" s="19">
        <v>21</v>
      </c>
      <c r="D330" s="19">
        <v>101</v>
      </c>
      <c r="E330" s="19">
        <v>1023</v>
      </c>
      <c r="F330" s="19">
        <v>271.82</v>
      </c>
      <c r="G330" s="19">
        <v>0</v>
      </c>
      <c r="H330" s="19">
        <v>271.82</v>
      </c>
      <c r="I330" s="20">
        <v>271.82</v>
      </c>
      <c r="J330" s="19">
        <f t="shared" si="33"/>
        <v>0</v>
      </c>
      <c r="K330" s="19">
        <f t="shared" si="34"/>
        <v>0</v>
      </c>
      <c r="L330" s="19">
        <v>-1.4999999999999999E-4</v>
      </c>
      <c r="M330" s="19">
        <v>-9.2000000000000003E-4</v>
      </c>
      <c r="N330" s="19">
        <v>-2.1800000000000001E-3</v>
      </c>
      <c r="O330" s="19">
        <v>-3.6700000000000001E-3</v>
      </c>
      <c r="P330" s="19">
        <v>-1.8799999999999999E-3</v>
      </c>
      <c r="Q330" s="19">
        <v>-3.5100000000000001E-3</v>
      </c>
      <c r="R330" s="19"/>
      <c r="S330" s="19">
        <f t="shared" si="35"/>
        <v>0</v>
      </c>
      <c r="T330" s="19">
        <f t="shared" si="36"/>
        <v>0</v>
      </c>
      <c r="U330" s="19">
        <f t="shared" si="37"/>
        <v>0</v>
      </c>
      <c r="V330" s="19">
        <f t="shared" si="38"/>
        <v>0</v>
      </c>
      <c r="W330" s="19">
        <f t="shared" si="39"/>
        <v>0</v>
      </c>
      <c r="X330" s="21">
        <f t="shared" si="40"/>
        <v>0</v>
      </c>
    </row>
    <row r="331" spans="1:24" ht="13.5" x14ac:dyDescent="0.35">
      <c r="A331" s="18">
        <v>111096</v>
      </c>
      <c r="B331" s="19" t="s">
        <v>346</v>
      </c>
      <c r="C331" s="19">
        <v>21</v>
      </c>
      <c r="D331" s="19">
        <v>101</v>
      </c>
      <c r="E331" s="19">
        <v>1023</v>
      </c>
      <c r="F331" s="19">
        <v>271.32</v>
      </c>
      <c r="G331" s="19">
        <v>0</v>
      </c>
      <c r="H331" s="19">
        <v>271.32</v>
      </c>
      <c r="I331" s="20">
        <v>271.32</v>
      </c>
      <c r="J331" s="19">
        <f t="shared" si="33"/>
        <v>0</v>
      </c>
      <c r="K331" s="19">
        <f t="shared" si="34"/>
        <v>0</v>
      </c>
      <c r="L331" s="19">
        <v>-1.4999999999999999E-4</v>
      </c>
      <c r="M331" s="19">
        <v>-9.2000000000000003E-4</v>
      </c>
      <c r="N331" s="19">
        <v>-2.1800000000000001E-3</v>
      </c>
      <c r="O331" s="19">
        <v>-3.6700000000000001E-3</v>
      </c>
      <c r="P331" s="19">
        <v>-1.8799999999999999E-3</v>
      </c>
      <c r="Q331" s="19">
        <v>-3.5100000000000001E-3</v>
      </c>
      <c r="R331" s="19"/>
      <c r="S331" s="19">
        <f t="shared" si="35"/>
        <v>0</v>
      </c>
      <c r="T331" s="19">
        <f t="shared" si="36"/>
        <v>0</v>
      </c>
      <c r="U331" s="19">
        <f t="shared" si="37"/>
        <v>0</v>
      </c>
      <c r="V331" s="19">
        <f t="shared" si="38"/>
        <v>0</v>
      </c>
      <c r="W331" s="19">
        <f t="shared" si="39"/>
        <v>0</v>
      </c>
      <c r="X331" s="21">
        <f t="shared" si="40"/>
        <v>0</v>
      </c>
    </row>
    <row r="332" spans="1:24" ht="13.5" x14ac:dyDescent="0.35">
      <c r="A332" s="18">
        <v>113889</v>
      </c>
      <c r="B332" s="19" t="s">
        <v>413</v>
      </c>
      <c r="C332" s="19">
        <v>13.8</v>
      </c>
      <c r="D332" s="19">
        <v>101</v>
      </c>
      <c r="E332" s="19">
        <v>1208</v>
      </c>
      <c r="F332" s="19">
        <v>0</v>
      </c>
      <c r="G332" s="19">
        <v>0</v>
      </c>
      <c r="H332" s="19">
        <v>0</v>
      </c>
      <c r="I332" s="20">
        <v>0</v>
      </c>
      <c r="J332" s="19">
        <f t="shared" si="33"/>
        <v>0</v>
      </c>
      <c r="K332" s="19">
        <f t="shared" si="34"/>
        <v>0</v>
      </c>
      <c r="L332" s="19">
        <v>-2.1000000000000001E-4</v>
      </c>
      <c r="M332" s="19">
        <v>-6.4999999999999997E-4</v>
      </c>
      <c r="N332" s="19">
        <v>-1.4400000000000001E-3</v>
      </c>
      <c r="O332" s="19">
        <v>-1.7700000000000001E-3</v>
      </c>
      <c r="P332" s="19">
        <v>-1.74E-3</v>
      </c>
      <c r="Q332" s="19">
        <v>-1.7799999999999999E-3</v>
      </c>
      <c r="R332" s="19"/>
      <c r="S332" s="19">
        <f t="shared" si="35"/>
        <v>0</v>
      </c>
      <c r="T332" s="19">
        <f t="shared" si="36"/>
        <v>0</v>
      </c>
      <c r="U332" s="19">
        <f t="shared" si="37"/>
        <v>0</v>
      </c>
      <c r="V332" s="19">
        <f t="shared" si="38"/>
        <v>0</v>
      </c>
      <c r="W332" s="19">
        <f t="shared" si="39"/>
        <v>0</v>
      </c>
      <c r="X332" s="21">
        <f t="shared" si="40"/>
        <v>0</v>
      </c>
    </row>
    <row r="333" spans="1:24" ht="13.5" x14ac:dyDescent="0.35">
      <c r="A333" s="18">
        <v>904935</v>
      </c>
      <c r="B333" s="19" t="s">
        <v>605</v>
      </c>
      <c r="C333" s="19">
        <v>115</v>
      </c>
      <c r="D333" s="19">
        <v>101</v>
      </c>
      <c r="E333" s="19">
        <v>680</v>
      </c>
      <c r="F333" s="19">
        <v>1.35</v>
      </c>
      <c r="G333" s="19">
        <v>0</v>
      </c>
      <c r="H333" s="19">
        <v>1.35</v>
      </c>
      <c r="I333" s="20">
        <v>1.35</v>
      </c>
      <c r="J333" s="19">
        <f t="shared" si="33"/>
        <v>0</v>
      </c>
      <c r="K333" s="19">
        <f t="shared" si="34"/>
        <v>0</v>
      </c>
      <c r="L333" s="19">
        <v>-2.1000000000000001E-4</v>
      </c>
      <c r="M333" s="19">
        <v>-6.6E-4</v>
      </c>
      <c r="N333" s="19">
        <v>-1.2099999999999999E-3</v>
      </c>
      <c r="O333" s="19">
        <v>-1.8500000000000001E-3</v>
      </c>
      <c r="P333" s="19">
        <v>-1.7799999999999999E-3</v>
      </c>
      <c r="Q333" s="19">
        <v>-1.7799999999999999E-3</v>
      </c>
      <c r="R333" s="19"/>
      <c r="S333" s="19">
        <f t="shared" si="35"/>
        <v>0</v>
      </c>
      <c r="T333" s="19">
        <f t="shared" si="36"/>
        <v>0</v>
      </c>
      <c r="U333" s="19">
        <f t="shared" si="37"/>
        <v>0</v>
      </c>
      <c r="V333" s="19">
        <f t="shared" si="38"/>
        <v>0</v>
      </c>
      <c r="W333" s="19">
        <f t="shared" si="39"/>
        <v>0</v>
      </c>
      <c r="X333" s="21">
        <f t="shared" si="40"/>
        <v>0</v>
      </c>
    </row>
    <row r="334" spans="1:24" ht="13.5" x14ac:dyDescent="0.35">
      <c r="A334" s="18">
        <v>913264</v>
      </c>
      <c r="B334" s="19" t="s">
        <v>665</v>
      </c>
      <c r="C334" s="19">
        <v>345</v>
      </c>
      <c r="D334" s="19">
        <v>101</v>
      </c>
      <c r="E334" s="19">
        <v>1110</v>
      </c>
      <c r="F334" s="19">
        <v>17.920000000000002</v>
      </c>
      <c r="G334" s="19">
        <v>0</v>
      </c>
      <c r="H334" s="19">
        <v>17.920000000000002</v>
      </c>
      <c r="I334" s="20">
        <v>17.920000000000002</v>
      </c>
      <c r="J334" s="19">
        <f t="shared" si="33"/>
        <v>0</v>
      </c>
      <c r="K334" s="19">
        <f t="shared" si="34"/>
        <v>0</v>
      </c>
      <c r="L334" s="19">
        <v>-2.7999999999999998E-4</v>
      </c>
      <c r="M334" s="19">
        <v>-9.2000000000000003E-4</v>
      </c>
      <c r="N334" s="19">
        <v>-1.98E-3</v>
      </c>
      <c r="O334" s="19">
        <v>-3.15E-3</v>
      </c>
      <c r="P334" s="19">
        <v>-3.0200000000000001E-3</v>
      </c>
      <c r="Q334" s="19">
        <v>-3.0300000000000001E-3</v>
      </c>
      <c r="R334" s="19"/>
      <c r="S334" s="19">
        <f t="shared" si="35"/>
        <v>0</v>
      </c>
      <c r="T334" s="19">
        <f t="shared" si="36"/>
        <v>0</v>
      </c>
      <c r="U334" s="19">
        <f t="shared" si="37"/>
        <v>0</v>
      </c>
      <c r="V334" s="19">
        <f t="shared" si="38"/>
        <v>0</v>
      </c>
      <c r="W334" s="19">
        <f t="shared" si="39"/>
        <v>0</v>
      </c>
      <c r="X334" s="21">
        <f t="shared" si="40"/>
        <v>0</v>
      </c>
    </row>
    <row r="335" spans="1:24" ht="13.5" x14ac:dyDescent="0.35">
      <c r="A335" s="18">
        <v>108949</v>
      </c>
      <c r="B335" s="19" t="s">
        <v>264</v>
      </c>
      <c r="C335" s="19">
        <v>4.16</v>
      </c>
      <c r="D335" s="19">
        <v>101</v>
      </c>
      <c r="E335" s="19">
        <v>704</v>
      </c>
      <c r="F335" s="19">
        <v>0</v>
      </c>
      <c r="G335" s="19">
        <v>0</v>
      </c>
      <c r="H335" s="19">
        <v>0</v>
      </c>
      <c r="I335" s="20">
        <v>0</v>
      </c>
      <c r="J335" s="19">
        <f t="shared" ref="J335:J398" si="41">I335-F335</f>
        <v>0</v>
      </c>
      <c r="K335" s="19">
        <f t="shared" ref="K335:K398" si="42">H335-I335</f>
        <v>0</v>
      </c>
      <c r="L335" s="19">
        <v>-4.0000000000000002E-4</v>
      </c>
      <c r="M335" s="19">
        <v>-8.1999999999999998E-4</v>
      </c>
      <c r="N335" s="19">
        <v>-1.41E-3</v>
      </c>
      <c r="O335" s="19">
        <v>-2.0600000000000002E-3</v>
      </c>
      <c r="P335" s="19">
        <v>-2E-3</v>
      </c>
      <c r="Q335" s="19">
        <v>-1.99E-3</v>
      </c>
      <c r="R335" s="19"/>
      <c r="S335" s="19">
        <f t="shared" ref="S335:S398" si="43">L335*J335</f>
        <v>0</v>
      </c>
      <c r="T335" s="19">
        <f t="shared" ref="T335:T398" si="44">M335*J335</f>
        <v>0</v>
      </c>
      <c r="U335" s="19">
        <f t="shared" ref="U335:U398" si="45">N335*J335</f>
        <v>0</v>
      </c>
      <c r="V335" s="19">
        <f t="shared" ref="V335:V398" si="46">O335*J335</f>
        <v>0</v>
      </c>
      <c r="W335" s="19">
        <f t="shared" ref="W335:W398" si="47">P335*J335</f>
        <v>0</v>
      </c>
      <c r="X335" s="21">
        <f t="shared" ref="X335:X398" si="48">Q335*J335</f>
        <v>0</v>
      </c>
    </row>
    <row r="336" spans="1:24" ht="13.5" x14ac:dyDescent="0.35">
      <c r="A336" s="18">
        <v>108951</v>
      </c>
      <c r="B336" s="19" t="s">
        <v>265</v>
      </c>
      <c r="C336" s="19">
        <v>4.16</v>
      </c>
      <c r="D336" s="19">
        <v>101</v>
      </c>
      <c r="E336" s="19">
        <v>704</v>
      </c>
      <c r="F336" s="19">
        <v>0</v>
      </c>
      <c r="G336" s="19">
        <v>0</v>
      </c>
      <c r="H336" s="19">
        <v>0</v>
      </c>
      <c r="I336" s="20">
        <v>0</v>
      </c>
      <c r="J336" s="19">
        <f t="shared" si="41"/>
        <v>0</v>
      </c>
      <c r="K336" s="19">
        <f t="shared" si="42"/>
        <v>0</v>
      </c>
      <c r="L336" s="19">
        <v>-4.0000000000000002E-4</v>
      </c>
      <c r="M336" s="19">
        <v>-8.1999999999999998E-4</v>
      </c>
      <c r="N336" s="19">
        <v>-1.41E-3</v>
      </c>
      <c r="O336" s="19">
        <v>-2.0600000000000002E-3</v>
      </c>
      <c r="P336" s="19">
        <v>-2E-3</v>
      </c>
      <c r="Q336" s="19">
        <v>-1.99E-3</v>
      </c>
      <c r="R336" s="19"/>
      <c r="S336" s="19">
        <f t="shared" si="43"/>
        <v>0</v>
      </c>
      <c r="T336" s="19">
        <f t="shared" si="44"/>
        <v>0</v>
      </c>
      <c r="U336" s="19">
        <f t="shared" si="45"/>
        <v>0</v>
      </c>
      <c r="V336" s="19">
        <f t="shared" si="46"/>
        <v>0</v>
      </c>
      <c r="W336" s="19">
        <f t="shared" si="47"/>
        <v>0</v>
      </c>
      <c r="X336" s="21">
        <f t="shared" si="48"/>
        <v>0</v>
      </c>
    </row>
    <row r="337" spans="1:24" ht="13.5" x14ac:dyDescent="0.35">
      <c r="A337" s="18">
        <v>108953</v>
      </c>
      <c r="B337" s="19" t="s">
        <v>266</v>
      </c>
      <c r="C337" s="19">
        <v>4.16</v>
      </c>
      <c r="D337" s="19">
        <v>101</v>
      </c>
      <c r="E337" s="19">
        <v>704</v>
      </c>
      <c r="F337" s="19">
        <v>0</v>
      </c>
      <c r="G337" s="19">
        <v>0</v>
      </c>
      <c r="H337" s="19">
        <v>0</v>
      </c>
      <c r="I337" s="20">
        <v>0</v>
      </c>
      <c r="J337" s="19">
        <f t="shared" si="41"/>
        <v>0</v>
      </c>
      <c r="K337" s="19">
        <f t="shared" si="42"/>
        <v>0</v>
      </c>
      <c r="L337" s="19">
        <v>-4.2000000000000002E-4</v>
      </c>
      <c r="M337" s="19">
        <v>-8.3000000000000001E-4</v>
      </c>
      <c r="N337" s="19">
        <v>-1.42E-3</v>
      </c>
      <c r="O337" s="19">
        <v>-2.0699999999999998E-3</v>
      </c>
      <c r="P337" s="19">
        <v>-2.0200000000000001E-3</v>
      </c>
      <c r="Q337" s="19">
        <v>-2E-3</v>
      </c>
      <c r="R337" s="19"/>
      <c r="S337" s="19">
        <f t="shared" si="43"/>
        <v>0</v>
      </c>
      <c r="T337" s="19">
        <f t="shared" si="44"/>
        <v>0</v>
      </c>
      <c r="U337" s="19">
        <f t="shared" si="45"/>
        <v>0</v>
      </c>
      <c r="V337" s="19">
        <f t="shared" si="46"/>
        <v>0</v>
      </c>
      <c r="W337" s="19">
        <f t="shared" si="47"/>
        <v>0</v>
      </c>
      <c r="X337" s="21">
        <f t="shared" si="48"/>
        <v>0</v>
      </c>
    </row>
    <row r="338" spans="1:24" ht="13.5" x14ac:dyDescent="0.35">
      <c r="A338" s="18">
        <v>109151</v>
      </c>
      <c r="B338" s="19" t="s">
        <v>296</v>
      </c>
      <c r="C338" s="19">
        <v>0.6</v>
      </c>
      <c r="D338" s="19">
        <v>101</v>
      </c>
      <c r="E338" s="19">
        <v>703</v>
      </c>
      <c r="F338" s="19">
        <v>0</v>
      </c>
      <c r="G338" s="19">
        <v>0</v>
      </c>
      <c r="H338" s="19">
        <v>0</v>
      </c>
      <c r="I338" s="20">
        <v>0</v>
      </c>
      <c r="J338" s="19">
        <f t="shared" si="41"/>
        <v>0</v>
      </c>
      <c r="K338" s="19">
        <f t="shared" si="42"/>
        <v>0</v>
      </c>
      <c r="L338" s="19">
        <v>-4.2000000000000002E-4</v>
      </c>
      <c r="M338" s="19">
        <v>-8.3000000000000001E-4</v>
      </c>
      <c r="N338" s="19">
        <v>-1.4300000000000001E-3</v>
      </c>
      <c r="O338" s="19">
        <v>-2.0699999999999998E-3</v>
      </c>
      <c r="P338" s="19">
        <v>-2.0200000000000001E-3</v>
      </c>
      <c r="Q338" s="19">
        <v>-2.0100000000000001E-3</v>
      </c>
      <c r="R338" s="19"/>
      <c r="S338" s="19">
        <f t="shared" si="43"/>
        <v>0</v>
      </c>
      <c r="T338" s="19">
        <f t="shared" si="44"/>
        <v>0</v>
      </c>
      <c r="U338" s="19">
        <f t="shared" si="45"/>
        <v>0</v>
      </c>
      <c r="V338" s="19">
        <f t="shared" si="46"/>
        <v>0</v>
      </c>
      <c r="W338" s="19">
        <f t="shared" si="47"/>
        <v>0</v>
      </c>
      <c r="X338" s="21">
        <f t="shared" si="48"/>
        <v>0</v>
      </c>
    </row>
    <row r="339" spans="1:24" ht="13.5" x14ac:dyDescent="0.35">
      <c r="A339" s="18">
        <v>109051</v>
      </c>
      <c r="B339" s="19" t="s">
        <v>273</v>
      </c>
      <c r="C339" s="19">
        <v>13.2</v>
      </c>
      <c r="D339" s="19">
        <v>101</v>
      </c>
      <c r="E339" s="19">
        <v>704</v>
      </c>
      <c r="F339" s="19">
        <v>0</v>
      </c>
      <c r="G339" s="19">
        <v>0</v>
      </c>
      <c r="H339" s="19">
        <v>0</v>
      </c>
      <c r="I339" s="20">
        <v>0</v>
      </c>
      <c r="J339" s="19">
        <f t="shared" si="41"/>
        <v>0</v>
      </c>
      <c r="K339" s="19">
        <f t="shared" si="42"/>
        <v>0</v>
      </c>
      <c r="L339" s="19">
        <v>-4.4000000000000002E-4</v>
      </c>
      <c r="M339" s="19">
        <v>-8.4999999999999995E-4</v>
      </c>
      <c r="N339" s="19">
        <v>-1.4400000000000001E-3</v>
      </c>
      <c r="O339" s="19">
        <v>-2.0899999999999998E-3</v>
      </c>
      <c r="P339" s="19">
        <v>-2.0400000000000001E-3</v>
      </c>
      <c r="Q339" s="19">
        <v>-2.0200000000000001E-3</v>
      </c>
      <c r="R339" s="19"/>
      <c r="S339" s="19">
        <f t="shared" si="43"/>
        <v>0</v>
      </c>
      <c r="T339" s="19">
        <f t="shared" si="44"/>
        <v>0</v>
      </c>
      <c r="U339" s="19">
        <f t="shared" si="45"/>
        <v>0</v>
      </c>
      <c r="V339" s="19">
        <f t="shared" si="46"/>
        <v>0</v>
      </c>
      <c r="W339" s="19">
        <f t="shared" si="47"/>
        <v>0</v>
      </c>
      <c r="X339" s="21">
        <f t="shared" si="48"/>
        <v>0</v>
      </c>
    </row>
    <row r="340" spans="1:24" ht="13.5" x14ac:dyDescent="0.35">
      <c r="A340" s="18">
        <v>109053</v>
      </c>
      <c r="B340" s="19" t="s">
        <v>274</v>
      </c>
      <c r="C340" s="19">
        <v>13.2</v>
      </c>
      <c r="D340" s="19">
        <v>101</v>
      </c>
      <c r="E340" s="19">
        <v>704</v>
      </c>
      <c r="F340" s="19">
        <v>0</v>
      </c>
      <c r="G340" s="19">
        <v>0</v>
      </c>
      <c r="H340" s="19">
        <v>0</v>
      </c>
      <c r="I340" s="20">
        <v>0</v>
      </c>
      <c r="J340" s="19">
        <f t="shared" si="41"/>
        <v>0</v>
      </c>
      <c r="K340" s="19">
        <f t="shared" si="42"/>
        <v>0</v>
      </c>
      <c r="L340" s="19">
        <v>-4.4000000000000002E-4</v>
      </c>
      <c r="M340" s="19">
        <v>-8.4999999999999995E-4</v>
      </c>
      <c r="N340" s="19">
        <v>-1.4400000000000001E-3</v>
      </c>
      <c r="O340" s="19">
        <v>-2.0899999999999998E-3</v>
      </c>
      <c r="P340" s="19">
        <v>-2.0400000000000001E-3</v>
      </c>
      <c r="Q340" s="19">
        <v>-2.0300000000000001E-3</v>
      </c>
      <c r="R340" s="19"/>
      <c r="S340" s="19">
        <f t="shared" si="43"/>
        <v>0</v>
      </c>
      <c r="T340" s="19">
        <f t="shared" si="44"/>
        <v>0</v>
      </c>
      <c r="U340" s="19">
        <f t="shared" si="45"/>
        <v>0</v>
      </c>
      <c r="V340" s="19">
        <f t="shared" si="46"/>
        <v>0</v>
      </c>
      <c r="W340" s="19">
        <f t="shared" si="47"/>
        <v>0</v>
      </c>
      <c r="X340" s="21">
        <f t="shared" si="48"/>
        <v>0</v>
      </c>
    </row>
    <row r="341" spans="1:24" ht="13.5" x14ac:dyDescent="0.35">
      <c r="A341" s="18">
        <v>109065</v>
      </c>
      <c r="B341" s="19" t="s">
        <v>275</v>
      </c>
      <c r="C341" s="19">
        <v>12.5</v>
      </c>
      <c r="D341" s="19">
        <v>101</v>
      </c>
      <c r="E341" s="19">
        <v>802</v>
      </c>
      <c r="F341" s="19">
        <v>0</v>
      </c>
      <c r="G341" s="19">
        <v>0</v>
      </c>
      <c r="H341" s="19">
        <v>0</v>
      </c>
      <c r="I341" s="20">
        <v>0</v>
      </c>
      <c r="J341" s="19">
        <f t="shared" si="41"/>
        <v>0</v>
      </c>
      <c r="K341" s="19">
        <f t="shared" si="42"/>
        <v>0</v>
      </c>
      <c r="L341" s="19">
        <v>-4.4000000000000002E-4</v>
      </c>
      <c r="M341" s="19">
        <v>-8.4999999999999995E-4</v>
      </c>
      <c r="N341" s="19">
        <v>-1.4400000000000001E-3</v>
      </c>
      <c r="O341" s="19">
        <v>-2.0899999999999998E-3</v>
      </c>
      <c r="P341" s="19">
        <v>-2.0400000000000001E-3</v>
      </c>
      <c r="Q341" s="19">
        <v>-2.0300000000000001E-3</v>
      </c>
      <c r="R341" s="19"/>
      <c r="S341" s="19">
        <f t="shared" si="43"/>
        <v>0</v>
      </c>
      <c r="T341" s="19">
        <f t="shared" si="44"/>
        <v>0</v>
      </c>
      <c r="U341" s="19">
        <f t="shared" si="45"/>
        <v>0</v>
      </c>
      <c r="V341" s="19">
        <f t="shared" si="46"/>
        <v>0</v>
      </c>
      <c r="W341" s="19">
        <f t="shared" si="47"/>
        <v>0</v>
      </c>
      <c r="X341" s="21">
        <f t="shared" si="48"/>
        <v>0</v>
      </c>
    </row>
    <row r="342" spans="1:24" ht="13.5" x14ac:dyDescent="0.35">
      <c r="A342" s="18">
        <v>109079</v>
      </c>
      <c r="B342" s="19" t="s">
        <v>280</v>
      </c>
      <c r="C342" s="19">
        <v>2.2999999999999998</v>
      </c>
      <c r="D342" s="19">
        <v>101</v>
      </c>
      <c r="E342" s="19">
        <v>704</v>
      </c>
      <c r="F342" s="19">
        <v>0</v>
      </c>
      <c r="G342" s="19">
        <v>0</v>
      </c>
      <c r="H342" s="19">
        <v>0</v>
      </c>
      <c r="I342" s="20">
        <v>0</v>
      </c>
      <c r="J342" s="19">
        <f t="shared" si="41"/>
        <v>0</v>
      </c>
      <c r="K342" s="19">
        <f t="shared" si="42"/>
        <v>0</v>
      </c>
      <c r="L342" s="19">
        <v>-4.4000000000000002E-4</v>
      </c>
      <c r="M342" s="19">
        <v>-8.4999999999999995E-4</v>
      </c>
      <c r="N342" s="19">
        <v>-1.4400000000000001E-3</v>
      </c>
      <c r="O342" s="19">
        <v>-2.0899999999999998E-3</v>
      </c>
      <c r="P342" s="19">
        <v>-2.0400000000000001E-3</v>
      </c>
      <c r="Q342" s="19">
        <v>-2.0200000000000001E-3</v>
      </c>
      <c r="R342" s="19"/>
      <c r="S342" s="19">
        <f t="shared" si="43"/>
        <v>0</v>
      </c>
      <c r="T342" s="19">
        <f t="shared" si="44"/>
        <v>0</v>
      </c>
      <c r="U342" s="19">
        <f t="shared" si="45"/>
        <v>0</v>
      </c>
      <c r="V342" s="19">
        <f t="shared" si="46"/>
        <v>0</v>
      </c>
      <c r="W342" s="19">
        <f t="shared" si="47"/>
        <v>0</v>
      </c>
      <c r="X342" s="21">
        <f t="shared" si="48"/>
        <v>0</v>
      </c>
    </row>
    <row r="343" spans="1:24" ht="13.5" x14ac:dyDescent="0.35">
      <c r="A343" s="18">
        <v>111080</v>
      </c>
      <c r="B343" s="19" t="s">
        <v>337</v>
      </c>
      <c r="C343" s="19">
        <v>13.8</v>
      </c>
      <c r="D343" s="19">
        <v>101</v>
      </c>
      <c r="E343" s="19">
        <v>1023</v>
      </c>
      <c r="F343" s="19">
        <v>97.4</v>
      </c>
      <c r="G343" s="19">
        <v>0</v>
      </c>
      <c r="H343" s="19">
        <v>97.4</v>
      </c>
      <c r="I343" s="20">
        <v>97.4</v>
      </c>
      <c r="J343" s="19">
        <f t="shared" si="41"/>
        <v>0</v>
      </c>
      <c r="K343" s="19">
        <f t="shared" si="42"/>
        <v>0</v>
      </c>
      <c r="L343" s="19">
        <v>-5.0000000000000001E-4</v>
      </c>
      <c r="M343" s="19">
        <v>-1.9000000000000001E-4</v>
      </c>
      <c r="N343" s="19">
        <v>-1.7099999999999999E-3</v>
      </c>
      <c r="O343" s="19">
        <v>5.0699999999999999E-3</v>
      </c>
      <c r="P343" s="19">
        <v>4.8300000000000001E-3</v>
      </c>
      <c r="Q343" s="19">
        <v>3.64E-3</v>
      </c>
      <c r="R343" s="19"/>
      <c r="S343" s="19">
        <f t="shared" si="43"/>
        <v>0</v>
      </c>
      <c r="T343" s="19">
        <f t="shared" si="44"/>
        <v>0</v>
      </c>
      <c r="U343" s="19">
        <f t="shared" si="45"/>
        <v>0</v>
      </c>
      <c r="V343" s="19">
        <f t="shared" si="46"/>
        <v>0</v>
      </c>
      <c r="W343" s="19">
        <f t="shared" si="47"/>
        <v>0</v>
      </c>
      <c r="X343" s="21">
        <f t="shared" si="48"/>
        <v>0</v>
      </c>
    </row>
    <row r="344" spans="1:24" ht="13.5" x14ac:dyDescent="0.35">
      <c r="A344" s="18">
        <v>111081</v>
      </c>
      <c r="B344" s="19" t="s">
        <v>338</v>
      </c>
      <c r="C344" s="19">
        <v>13.8</v>
      </c>
      <c r="D344" s="19">
        <v>101</v>
      </c>
      <c r="E344" s="19">
        <v>1023</v>
      </c>
      <c r="F344" s="19">
        <v>97.4</v>
      </c>
      <c r="G344" s="19">
        <v>0</v>
      </c>
      <c r="H344" s="19">
        <v>97.4</v>
      </c>
      <c r="I344" s="20">
        <v>97.4</v>
      </c>
      <c r="J344" s="19">
        <f t="shared" si="41"/>
        <v>0</v>
      </c>
      <c r="K344" s="19">
        <f t="shared" si="42"/>
        <v>0</v>
      </c>
      <c r="L344" s="19">
        <v>-5.0000000000000001E-4</v>
      </c>
      <c r="M344" s="19">
        <v>-1.9000000000000001E-4</v>
      </c>
      <c r="N344" s="19">
        <v>-1.7099999999999999E-3</v>
      </c>
      <c r="O344" s="19">
        <v>5.0699999999999999E-3</v>
      </c>
      <c r="P344" s="19">
        <v>4.8300000000000001E-3</v>
      </c>
      <c r="Q344" s="19">
        <v>3.64E-3</v>
      </c>
      <c r="R344" s="19"/>
      <c r="S344" s="19">
        <f t="shared" si="43"/>
        <v>0</v>
      </c>
      <c r="T344" s="19">
        <f t="shared" si="44"/>
        <v>0</v>
      </c>
      <c r="U344" s="19">
        <f t="shared" si="45"/>
        <v>0</v>
      </c>
      <c r="V344" s="19">
        <f t="shared" si="46"/>
        <v>0</v>
      </c>
      <c r="W344" s="19">
        <f t="shared" si="47"/>
        <v>0</v>
      </c>
      <c r="X344" s="21">
        <f t="shared" si="48"/>
        <v>0</v>
      </c>
    </row>
    <row r="345" spans="1:24" ht="13.5" x14ac:dyDescent="0.35">
      <c r="A345" s="18">
        <v>111083</v>
      </c>
      <c r="B345" s="19" t="s">
        <v>339</v>
      </c>
      <c r="C345" s="19">
        <v>13.8</v>
      </c>
      <c r="D345" s="19">
        <v>101</v>
      </c>
      <c r="E345" s="19">
        <v>1023</v>
      </c>
      <c r="F345" s="19">
        <v>57.5</v>
      </c>
      <c r="G345" s="19">
        <v>0</v>
      </c>
      <c r="H345" s="19">
        <v>57.5</v>
      </c>
      <c r="I345" s="20">
        <v>57.5</v>
      </c>
      <c r="J345" s="19">
        <f t="shared" si="41"/>
        <v>0</v>
      </c>
      <c r="K345" s="19">
        <f t="shared" si="42"/>
        <v>0</v>
      </c>
      <c r="L345" s="19">
        <v>-5.0000000000000001E-4</v>
      </c>
      <c r="M345" s="19">
        <v>-1.9000000000000001E-4</v>
      </c>
      <c r="N345" s="19">
        <v>-1.7099999999999999E-3</v>
      </c>
      <c r="O345" s="19">
        <v>5.0699999999999999E-3</v>
      </c>
      <c r="P345" s="19">
        <v>4.8300000000000001E-3</v>
      </c>
      <c r="Q345" s="19">
        <v>3.64E-3</v>
      </c>
      <c r="R345" s="19"/>
      <c r="S345" s="19">
        <f t="shared" si="43"/>
        <v>0</v>
      </c>
      <c r="T345" s="19">
        <f t="shared" si="44"/>
        <v>0</v>
      </c>
      <c r="U345" s="19">
        <f t="shared" si="45"/>
        <v>0</v>
      </c>
      <c r="V345" s="19">
        <f t="shared" si="46"/>
        <v>0</v>
      </c>
      <c r="W345" s="19">
        <f t="shared" si="47"/>
        <v>0</v>
      </c>
      <c r="X345" s="21">
        <f t="shared" si="48"/>
        <v>0</v>
      </c>
    </row>
    <row r="346" spans="1:24" ht="13.5" x14ac:dyDescent="0.35">
      <c r="A346" s="18">
        <v>113894</v>
      </c>
      <c r="B346" s="19" t="s">
        <v>414</v>
      </c>
      <c r="C346" s="19">
        <v>13.8</v>
      </c>
      <c r="D346" s="19">
        <v>101</v>
      </c>
      <c r="E346" s="19">
        <v>1210</v>
      </c>
      <c r="F346" s="19">
        <v>0</v>
      </c>
      <c r="G346" s="19">
        <v>0</v>
      </c>
      <c r="H346" s="19">
        <v>0</v>
      </c>
      <c r="I346" s="20">
        <v>0</v>
      </c>
      <c r="J346" s="19">
        <f t="shared" si="41"/>
        <v>0</v>
      </c>
      <c r="K346" s="19">
        <f t="shared" si="42"/>
        <v>0</v>
      </c>
      <c r="L346" s="19">
        <v>-5.0000000000000001E-4</v>
      </c>
      <c r="M346" s="19">
        <v>-9.2000000000000003E-4</v>
      </c>
      <c r="N346" s="19">
        <v>-1.7799999999999999E-3</v>
      </c>
      <c r="O346" s="19">
        <v>-2.2599999999999999E-3</v>
      </c>
      <c r="P346" s="19">
        <v>-2.2499999999999998E-3</v>
      </c>
      <c r="Q346" s="19">
        <v>-2.2499999999999998E-3</v>
      </c>
      <c r="R346" s="19"/>
      <c r="S346" s="19">
        <f t="shared" si="43"/>
        <v>0</v>
      </c>
      <c r="T346" s="19">
        <f t="shared" si="44"/>
        <v>0</v>
      </c>
      <c r="U346" s="19">
        <f t="shared" si="45"/>
        <v>0</v>
      </c>
      <c r="V346" s="19">
        <f t="shared" si="46"/>
        <v>0</v>
      </c>
      <c r="W346" s="19">
        <f t="shared" si="47"/>
        <v>0</v>
      </c>
      <c r="X346" s="21">
        <f t="shared" si="48"/>
        <v>0</v>
      </c>
    </row>
    <row r="347" spans="1:24" ht="13.5" x14ac:dyDescent="0.35">
      <c r="A347" s="18">
        <v>109107</v>
      </c>
      <c r="B347" s="19" t="s">
        <v>289</v>
      </c>
      <c r="C347" s="19">
        <v>12.5</v>
      </c>
      <c r="D347" s="19">
        <v>101</v>
      </c>
      <c r="E347" s="19">
        <v>704</v>
      </c>
      <c r="F347" s="19">
        <v>0</v>
      </c>
      <c r="G347" s="19">
        <v>0</v>
      </c>
      <c r="H347" s="19">
        <v>0</v>
      </c>
      <c r="I347" s="20">
        <v>0</v>
      </c>
      <c r="J347" s="19">
        <f t="shared" si="41"/>
        <v>0</v>
      </c>
      <c r="K347" s="19">
        <f t="shared" si="42"/>
        <v>0</v>
      </c>
      <c r="L347" s="19">
        <v>-5.5999999999999995E-4</v>
      </c>
      <c r="M347" s="19">
        <v>-9.6000000000000002E-4</v>
      </c>
      <c r="N347" s="19">
        <v>-1.57E-3</v>
      </c>
      <c r="O347" s="19">
        <v>-2.2200000000000002E-3</v>
      </c>
      <c r="P347" s="19">
        <v>-2.1800000000000001E-3</v>
      </c>
      <c r="Q347" s="19">
        <v>-2.16E-3</v>
      </c>
      <c r="R347" s="19"/>
      <c r="S347" s="19">
        <f t="shared" si="43"/>
        <v>0</v>
      </c>
      <c r="T347" s="19">
        <f t="shared" si="44"/>
        <v>0</v>
      </c>
      <c r="U347" s="19">
        <f t="shared" si="45"/>
        <v>0</v>
      </c>
      <c r="V347" s="19">
        <f t="shared" si="46"/>
        <v>0</v>
      </c>
      <c r="W347" s="19">
        <f t="shared" si="47"/>
        <v>0</v>
      </c>
      <c r="X347" s="21">
        <f t="shared" si="48"/>
        <v>0</v>
      </c>
    </row>
    <row r="348" spans="1:24" ht="13.5" x14ac:dyDescent="0.35">
      <c r="A348" s="18">
        <v>913285</v>
      </c>
      <c r="B348" s="19" t="s">
        <v>666</v>
      </c>
      <c r="C348" s="19">
        <v>115</v>
      </c>
      <c r="D348" s="19">
        <v>101</v>
      </c>
      <c r="E348" s="19">
        <v>1110</v>
      </c>
      <c r="F348" s="19">
        <v>10</v>
      </c>
      <c r="G348" s="19">
        <v>0</v>
      </c>
      <c r="H348" s="19">
        <v>10</v>
      </c>
      <c r="I348" s="20">
        <v>10</v>
      </c>
      <c r="J348" s="19">
        <f t="shared" si="41"/>
        <v>0</v>
      </c>
      <c r="K348" s="19">
        <f t="shared" si="42"/>
        <v>0</v>
      </c>
      <c r="L348" s="19">
        <v>-5.9000000000000003E-4</v>
      </c>
      <c r="M348" s="19">
        <v>-1E-3</v>
      </c>
      <c r="N348" s="19">
        <v>-1.8500000000000001E-3</v>
      </c>
      <c r="O348" s="19">
        <v>-2.33E-3</v>
      </c>
      <c r="P348" s="19">
        <v>-2.33E-3</v>
      </c>
      <c r="Q348" s="19">
        <v>-2.32E-3</v>
      </c>
      <c r="R348" s="19"/>
      <c r="S348" s="19">
        <f t="shared" si="43"/>
        <v>0</v>
      </c>
      <c r="T348" s="19">
        <f t="shared" si="44"/>
        <v>0</v>
      </c>
      <c r="U348" s="19">
        <f t="shared" si="45"/>
        <v>0</v>
      </c>
      <c r="V348" s="19">
        <f t="shared" si="46"/>
        <v>0</v>
      </c>
      <c r="W348" s="19">
        <f t="shared" si="47"/>
        <v>0</v>
      </c>
      <c r="X348" s="21">
        <f t="shared" si="48"/>
        <v>0</v>
      </c>
    </row>
    <row r="349" spans="1:24" ht="13.5" x14ac:dyDescent="0.35">
      <c r="A349" s="18">
        <v>108992</v>
      </c>
      <c r="B349" s="19" t="s">
        <v>271</v>
      </c>
      <c r="C349" s="19">
        <v>2.4</v>
      </c>
      <c r="D349" s="19">
        <v>101</v>
      </c>
      <c r="E349" s="19">
        <v>704</v>
      </c>
      <c r="F349" s="19">
        <v>0</v>
      </c>
      <c r="G349" s="19">
        <v>0</v>
      </c>
      <c r="H349" s="19">
        <v>0</v>
      </c>
      <c r="I349" s="20">
        <v>0</v>
      </c>
      <c r="J349" s="19">
        <f t="shared" si="41"/>
        <v>0</v>
      </c>
      <c r="K349" s="19">
        <f t="shared" si="42"/>
        <v>0</v>
      </c>
      <c r="L349" s="19">
        <v>-6.4000000000000005E-4</v>
      </c>
      <c r="M349" s="19">
        <v>-1.0200000000000001E-3</v>
      </c>
      <c r="N349" s="19">
        <v>-1.65E-3</v>
      </c>
      <c r="O349" s="19">
        <v>-2.3E-3</v>
      </c>
      <c r="P349" s="19">
        <v>-2.2699999999999999E-3</v>
      </c>
      <c r="Q349" s="19">
        <v>-2.2399999999999998E-3</v>
      </c>
      <c r="R349" s="19"/>
      <c r="S349" s="19">
        <f t="shared" si="43"/>
        <v>0</v>
      </c>
      <c r="T349" s="19">
        <f t="shared" si="44"/>
        <v>0</v>
      </c>
      <c r="U349" s="19">
        <f t="shared" si="45"/>
        <v>0</v>
      </c>
      <c r="V349" s="19">
        <f t="shared" si="46"/>
        <v>0</v>
      </c>
      <c r="W349" s="19">
        <f t="shared" si="47"/>
        <v>0</v>
      </c>
      <c r="X349" s="21">
        <f t="shared" si="48"/>
        <v>0</v>
      </c>
    </row>
    <row r="350" spans="1:24" ht="13.5" x14ac:dyDescent="0.35">
      <c r="A350" s="18">
        <v>113877</v>
      </c>
      <c r="B350" s="19" t="s">
        <v>412</v>
      </c>
      <c r="C350" s="19">
        <v>13.8</v>
      </c>
      <c r="D350" s="19">
        <v>101</v>
      </c>
      <c r="E350" s="19">
        <v>1206</v>
      </c>
      <c r="F350" s="19">
        <v>0</v>
      </c>
      <c r="G350" s="19">
        <v>0</v>
      </c>
      <c r="H350" s="19">
        <v>0</v>
      </c>
      <c r="I350" s="20">
        <v>0</v>
      </c>
      <c r="J350" s="19">
        <f t="shared" si="41"/>
        <v>0</v>
      </c>
      <c r="K350" s="19">
        <f t="shared" si="42"/>
        <v>0</v>
      </c>
      <c r="L350" s="19">
        <v>-6.4999999999999997E-4</v>
      </c>
      <c r="M350" s="19">
        <v>-1.0399999999999999E-3</v>
      </c>
      <c r="N350" s="19">
        <v>-1.8699999999999999E-3</v>
      </c>
      <c r="O350" s="19">
        <v>-2.3800000000000002E-3</v>
      </c>
      <c r="P350" s="19">
        <v>-2.3800000000000002E-3</v>
      </c>
      <c r="Q350" s="19">
        <v>-2.3600000000000001E-3</v>
      </c>
      <c r="R350" s="19"/>
      <c r="S350" s="19">
        <f t="shared" si="43"/>
        <v>0</v>
      </c>
      <c r="T350" s="19">
        <f t="shared" si="44"/>
        <v>0</v>
      </c>
      <c r="U350" s="19">
        <f t="shared" si="45"/>
        <v>0</v>
      </c>
      <c r="V350" s="19">
        <f t="shared" si="46"/>
        <v>0</v>
      </c>
      <c r="W350" s="19">
        <f t="shared" si="47"/>
        <v>0</v>
      </c>
      <c r="X350" s="21">
        <f t="shared" si="48"/>
        <v>0</v>
      </c>
    </row>
    <row r="351" spans="1:24" ht="13.5" x14ac:dyDescent="0.35">
      <c r="A351" s="18">
        <v>109103</v>
      </c>
      <c r="B351" s="19" t="s">
        <v>285</v>
      </c>
      <c r="C351" s="19">
        <v>6.9</v>
      </c>
      <c r="D351" s="19">
        <v>101</v>
      </c>
      <c r="E351" s="19">
        <v>704</v>
      </c>
      <c r="F351" s="19">
        <v>0</v>
      </c>
      <c r="G351" s="19">
        <v>0</v>
      </c>
      <c r="H351" s="19">
        <v>0</v>
      </c>
      <c r="I351" s="20">
        <v>0</v>
      </c>
      <c r="J351" s="19">
        <f t="shared" si="41"/>
        <v>0</v>
      </c>
      <c r="K351" s="19">
        <f t="shared" si="42"/>
        <v>0</v>
      </c>
      <c r="L351" s="19">
        <v>-7.1000000000000002E-4</v>
      </c>
      <c r="M351" s="19">
        <v>-1.07E-3</v>
      </c>
      <c r="N351" s="19">
        <v>-1.72E-3</v>
      </c>
      <c r="O351" s="19">
        <v>-2.3700000000000001E-3</v>
      </c>
      <c r="P351" s="19">
        <v>-2.3500000000000001E-3</v>
      </c>
      <c r="Q351" s="19">
        <v>-2.31E-3</v>
      </c>
      <c r="R351" s="19"/>
      <c r="S351" s="19">
        <f t="shared" si="43"/>
        <v>0</v>
      </c>
      <c r="T351" s="19">
        <f t="shared" si="44"/>
        <v>0</v>
      </c>
      <c r="U351" s="19">
        <f t="shared" si="45"/>
        <v>0</v>
      </c>
      <c r="V351" s="19">
        <f t="shared" si="46"/>
        <v>0</v>
      </c>
      <c r="W351" s="19">
        <f t="shared" si="47"/>
        <v>0</v>
      </c>
      <c r="X351" s="21">
        <f t="shared" si="48"/>
        <v>0</v>
      </c>
    </row>
    <row r="352" spans="1:24" ht="13.5" x14ac:dyDescent="0.35">
      <c r="A352" s="18">
        <v>113444</v>
      </c>
      <c r="B352" s="19" t="s">
        <v>410</v>
      </c>
      <c r="C352" s="19">
        <v>0.48</v>
      </c>
      <c r="D352" s="19">
        <v>101</v>
      </c>
      <c r="E352" s="19">
        <v>1110</v>
      </c>
      <c r="F352" s="19">
        <v>0</v>
      </c>
      <c r="G352" s="19">
        <v>0</v>
      </c>
      <c r="H352" s="19">
        <v>0</v>
      </c>
      <c r="I352" s="20">
        <v>0</v>
      </c>
      <c r="J352" s="19">
        <f t="shared" si="41"/>
        <v>0</v>
      </c>
      <c r="K352" s="19">
        <f t="shared" si="42"/>
        <v>0</v>
      </c>
      <c r="L352" s="19">
        <v>-7.1000000000000002E-4</v>
      </c>
      <c r="M352" s="19">
        <v>-1.09E-3</v>
      </c>
      <c r="N352" s="19">
        <v>-1.9E-3</v>
      </c>
      <c r="O352" s="19">
        <v>-2.4399999999999999E-3</v>
      </c>
      <c r="P352" s="19">
        <v>-2.4399999999999999E-3</v>
      </c>
      <c r="Q352" s="19">
        <v>-2.4099999999999998E-3</v>
      </c>
      <c r="R352" s="19"/>
      <c r="S352" s="19">
        <f t="shared" si="43"/>
        <v>0</v>
      </c>
      <c r="T352" s="19">
        <f t="shared" si="44"/>
        <v>0</v>
      </c>
      <c r="U352" s="19">
        <f t="shared" si="45"/>
        <v>0</v>
      </c>
      <c r="V352" s="19">
        <f t="shared" si="46"/>
        <v>0</v>
      </c>
      <c r="W352" s="19">
        <f t="shared" si="47"/>
        <v>0</v>
      </c>
      <c r="X352" s="21">
        <f t="shared" si="48"/>
        <v>0</v>
      </c>
    </row>
    <row r="353" spans="1:24" ht="13.5" x14ac:dyDescent="0.35">
      <c r="A353" s="18">
        <v>113451</v>
      </c>
      <c r="B353" s="19" t="s">
        <v>411</v>
      </c>
      <c r="C353" s="19">
        <v>0.6</v>
      </c>
      <c r="D353" s="19">
        <v>101</v>
      </c>
      <c r="E353" s="19">
        <v>1110</v>
      </c>
      <c r="F353" s="19">
        <v>0</v>
      </c>
      <c r="G353" s="19">
        <v>0</v>
      </c>
      <c r="H353" s="19">
        <v>0</v>
      </c>
      <c r="I353" s="20">
        <v>0</v>
      </c>
      <c r="J353" s="19">
        <f t="shared" si="41"/>
        <v>0</v>
      </c>
      <c r="K353" s="19">
        <f t="shared" si="42"/>
        <v>0</v>
      </c>
      <c r="L353" s="19">
        <v>-8.3000000000000001E-4</v>
      </c>
      <c r="M353" s="19">
        <v>-1.1900000000000001E-3</v>
      </c>
      <c r="N353" s="19">
        <v>-1.92E-3</v>
      </c>
      <c r="O353" s="19">
        <v>-2.5400000000000002E-3</v>
      </c>
      <c r="P353" s="19">
        <v>-2.5400000000000002E-3</v>
      </c>
      <c r="Q353" s="19">
        <v>-2.49E-3</v>
      </c>
      <c r="R353" s="19"/>
      <c r="S353" s="19">
        <f t="shared" si="43"/>
        <v>0</v>
      </c>
      <c r="T353" s="19">
        <f t="shared" si="44"/>
        <v>0</v>
      </c>
      <c r="U353" s="19">
        <f t="shared" si="45"/>
        <v>0</v>
      </c>
      <c r="V353" s="19">
        <f t="shared" si="46"/>
        <v>0</v>
      </c>
      <c r="W353" s="19">
        <f t="shared" si="47"/>
        <v>0</v>
      </c>
      <c r="X353" s="21">
        <f t="shared" si="48"/>
        <v>0</v>
      </c>
    </row>
    <row r="354" spans="1:24" ht="13.5" x14ac:dyDescent="0.35">
      <c r="A354" s="18">
        <v>108884</v>
      </c>
      <c r="B354" s="19" t="s">
        <v>254</v>
      </c>
      <c r="C354" s="19">
        <v>13.8</v>
      </c>
      <c r="D354" s="19">
        <v>101</v>
      </c>
      <c r="E354" s="19">
        <v>704</v>
      </c>
      <c r="F354" s="19">
        <v>0</v>
      </c>
      <c r="G354" s="19">
        <v>0</v>
      </c>
      <c r="H354" s="19">
        <v>0</v>
      </c>
      <c r="I354" s="20">
        <v>0</v>
      </c>
      <c r="J354" s="19">
        <f t="shared" si="41"/>
        <v>0</v>
      </c>
      <c r="K354" s="19">
        <f t="shared" si="42"/>
        <v>0</v>
      </c>
      <c r="L354" s="19">
        <v>-9.1E-4</v>
      </c>
      <c r="M354" s="19">
        <v>-1.25E-3</v>
      </c>
      <c r="N354" s="19">
        <v>-1.9300000000000001E-3</v>
      </c>
      <c r="O354" s="19">
        <v>-2.5799999999999998E-3</v>
      </c>
      <c r="P354" s="19">
        <v>-2.5799999999999998E-3</v>
      </c>
      <c r="Q354" s="19">
        <v>-2.5200000000000001E-3</v>
      </c>
      <c r="R354" s="19"/>
      <c r="S354" s="19">
        <f t="shared" si="43"/>
        <v>0</v>
      </c>
      <c r="T354" s="19">
        <f t="shared" si="44"/>
        <v>0</v>
      </c>
      <c r="U354" s="19">
        <f t="shared" si="45"/>
        <v>0</v>
      </c>
      <c r="V354" s="19">
        <f t="shared" si="46"/>
        <v>0</v>
      </c>
      <c r="W354" s="19">
        <f t="shared" si="47"/>
        <v>0</v>
      </c>
      <c r="X354" s="21">
        <f t="shared" si="48"/>
        <v>0</v>
      </c>
    </row>
    <row r="355" spans="1:24" ht="13.5" x14ac:dyDescent="0.35">
      <c r="A355" s="18">
        <v>109550</v>
      </c>
      <c r="B355" s="19" t="s">
        <v>328</v>
      </c>
      <c r="C355" s="19">
        <v>6.9</v>
      </c>
      <c r="D355" s="19">
        <v>101</v>
      </c>
      <c r="E355" s="19">
        <v>400</v>
      </c>
      <c r="F355" s="19">
        <v>49</v>
      </c>
      <c r="G355" s="19">
        <v>0</v>
      </c>
      <c r="H355" s="19">
        <v>49</v>
      </c>
      <c r="I355" s="20">
        <v>49</v>
      </c>
      <c r="J355" s="19">
        <f t="shared" si="41"/>
        <v>0</v>
      </c>
      <c r="K355" s="19">
        <f t="shared" si="42"/>
        <v>0</v>
      </c>
      <c r="L355" s="19">
        <v>-9.1E-4</v>
      </c>
      <c r="M355" s="19">
        <v>-1.25E-3</v>
      </c>
      <c r="N355" s="19">
        <v>-1.99E-3</v>
      </c>
      <c r="O355" s="19">
        <v>-2.6099999999999999E-3</v>
      </c>
      <c r="P355" s="19">
        <v>-2.6199999999999999E-3</v>
      </c>
      <c r="Q355" s="19">
        <v>-2.5600000000000002E-3</v>
      </c>
      <c r="R355" s="19"/>
      <c r="S355" s="19">
        <f t="shared" si="43"/>
        <v>0</v>
      </c>
      <c r="T355" s="19">
        <f t="shared" si="44"/>
        <v>0</v>
      </c>
      <c r="U355" s="19">
        <f t="shared" si="45"/>
        <v>0</v>
      </c>
      <c r="V355" s="19">
        <f t="shared" si="46"/>
        <v>0</v>
      </c>
      <c r="W355" s="19">
        <f t="shared" si="47"/>
        <v>0</v>
      </c>
      <c r="X355" s="21">
        <f t="shared" si="48"/>
        <v>0</v>
      </c>
    </row>
    <row r="356" spans="1:24" ht="13.5" x14ac:dyDescent="0.35">
      <c r="A356" s="18">
        <v>108893</v>
      </c>
      <c r="B356" s="19" t="s">
        <v>256</v>
      </c>
      <c r="C356" s="19">
        <v>13.8</v>
      </c>
      <c r="D356" s="19">
        <v>101</v>
      </c>
      <c r="E356" s="19">
        <v>704</v>
      </c>
      <c r="F356" s="19">
        <v>0</v>
      </c>
      <c r="G356" s="19">
        <v>0</v>
      </c>
      <c r="H356" s="19">
        <v>0</v>
      </c>
      <c r="I356" s="20">
        <v>0</v>
      </c>
      <c r="J356" s="19">
        <f t="shared" si="41"/>
        <v>0</v>
      </c>
      <c r="K356" s="19">
        <f t="shared" si="42"/>
        <v>0</v>
      </c>
      <c r="L356" s="19">
        <v>-9.6000000000000002E-4</v>
      </c>
      <c r="M356" s="19">
        <v>-1.2899999999999999E-3</v>
      </c>
      <c r="N356" s="19">
        <v>-2.0100000000000001E-3</v>
      </c>
      <c r="O356" s="19">
        <v>-2.65E-3</v>
      </c>
      <c r="P356" s="19">
        <v>-2.66E-3</v>
      </c>
      <c r="Q356" s="19">
        <v>-2.5999999999999999E-3</v>
      </c>
      <c r="R356" s="19"/>
      <c r="S356" s="19">
        <f t="shared" si="43"/>
        <v>0</v>
      </c>
      <c r="T356" s="19">
        <f t="shared" si="44"/>
        <v>0</v>
      </c>
      <c r="U356" s="19">
        <f t="shared" si="45"/>
        <v>0</v>
      </c>
      <c r="V356" s="19">
        <f t="shared" si="46"/>
        <v>0</v>
      </c>
      <c r="W356" s="19">
        <f t="shared" si="47"/>
        <v>0</v>
      </c>
      <c r="X356" s="21">
        <f t="shared" si="48"/>
        <v>0</v>
      </c>
    </row>
    <row r="357" spans="1:24" ht="13.5" x14ac:dyDescent="0.35">
      <c r="A357" s="18">
        <v>108875</v>
      </c>
      <c r="B357" s="19" t="s">
        <v>253</v>
      </c>
      <c r="C357" s="19">
        <v>13.8</v>
      </c>
      <c r="D357" s="19">
        <v>101</v>
      </c>
      <c r="E357" s="19">
        <v>704</v>
      </c>
      <c r="F357" s="19">
        <v>0</v>
      </c>
      <c r="G357" s="19">
        <v>0</v>
      </c>
      <c r="H357" s="19">
        <v>0</v>
      </c>
      <c r="I357" s="20">
        <v>0</v>
      </c>
      <c r="J357" s="19">
        <f t="shared" si="41"/>
        <v>0</v>
      </c>
      <c r="K357" s="19">
        <f t="shared" si="42"/>
        <v>0</v>
      </c>
      <c r="L357" s="19">
        <v>-1.17E-3</v>
      </c>
      <c r="M357" s="19">
        <v>-1.47E-3</v>
      </c>
      <c r="N357" s="19">
        <v>-2.1900000000000001E-3</v>
      </c>
      <c r="O357" s="19">
        <v>-2.8500000000000001E-3</v>
      </c>
      <c r="P357" s="19">
        <v>-2.8800000000000002E-3</v>
      </c>
      <c r="Q357" s="19">
        <v>-2.8E-3</v>
      </c>
      <c r="R357" s="19"/>
      <c r="S357" s="19">
        <f t="shared" si="43"/>
        <v>0</v>
      </c>
      <c r="T357" s="19">
        <f t="shared" si="44"/>
        <v>0</v>
      </c>
      <c r="U357" s="19">
        <f t="shared" si="45"/>
        <v>0</v>
      </c>
      <c r="V357" s="19">
        <f t="shared" si="46"/>
        <v>0</v>
      </c>
      <c r="W357" s="19">
        <f t="shared" si="47"/>
        <v>0</v>
      </c>
      <c r="X357" s="21">
        <f t="shared" si="48"/>
        <v>0</v>
      </c>
    </row>
    <row r="358" spans="1:24" ht="13.5" x14ac:dyDescent="0.35">
      <c r="A358" s="18">
        <v>108891</v>
      </c>
      <c r="B358" s="19" t="s">
        <v>255</v>
      </c>
      <c r="C358" s="19">
        <v>13.8</v>
      </c>
      <c r="D358" s="19">
        <v>101</v>
      </c>
      <c r="E358" s="19">
        <v>704</v>
      </c>
      <c r="F358" s="19">
        <v>0</v>
      </c>
      <c r="G358" s="19">
        <v>0</v>
      </c>
      <c r="H358" s="19">
        <v>0</v>
      </c>
      <c r="I358" s="20">
        <v>0</v>
      </c>
      <c r="J358" s="19">
        <f t="shared" si="41"/>
        <v>0</v>
      </c>
      <c r="K358" s="19">
        <f t="shared" si="42"/>
        <v>0</v>
      </c>
      <c r="L358" s="19">
        <v>-1.17E-3</v>
      </c>
      <c r="M358" s="19">
        <v>-1.4599999999999999E-3</v>
      </c>
      <c r="N358" s="19">
        <v>-2.1900000000000001E-3</v>
      </c>
      <c r="O358" s="19">
        <v>-2.8500000000000001E-3</v>
      </c>
      <c r="P358" s="19">
        <v>-2.8800000000000002E-3</v>
      </c>
      <c r="Q358" s="19">
        <v>-2.7899999999999999E-3</v>
      </c>
      <c r="R358" s="19"/>
      <c r="S358" s="19">
        <f t="shared" si="43"/>
        <v>0</v>
      </c>
      <c r="T358" s="19">
        <f t="shared" si="44"/>
        <v>0</v>
      </c>
      <c r="U358" s="19">
        <f t="shared" si="45"/>
        <v>0</v>
      </c>
      <c r="V358" s="19">
        <f t="shared" si="46"/>
        <v>0</v>
      </c>
      <c r="W358" s="19">
        <f t="shared" si="47"/>
        <v>0</v>
      </c>
      <c r="X358" s="21">
        <f t="shared" si="48"/>
        <v>0</v>
      </c>
    </row>
    <row r="359" spans="1:24" ht="13.5" x14ac:dyDescent="0.35">
      <c r="A359" s="18">
        <v>108986</v>
      </c>
      <c r="B359" s="19" t="s">
        <v>268</v>
      </c>
      <c r="C359" s="19">
        <v>4.16</v>
      </c>
      <c r="D359" s="19">
        <v>101</v>
      </c>
      <c r="E359" s="19">
        <v>704</v>
      </c>
      <c r="F359" s="19">
        <v>0</v>
      </c>
      <c r="G359" s="19">
        <v>0</v>
      </c>
      <c r="H359" s="19">
        <v>0</v>
      </c>
      <c r="I359" s="20">
        <v>0</v>
      </c>
      <c r="J359" s="19">
        <f t="shared" si="41"/>
        <v>0</v>
      </c>
      <c r="K359" s="19">
        <f t="shared" si="42"/>
        <v>0</v>
      </c>
      <c r="L359" s="19">
        <v>-1.17E-3</v>
      </c>
      <c r="M359" s="19">
        <v>-1.4599999999999999E-3</v>
      </c>
      <c r="N359" s="19">
        <v>-2.1900000000000001E-3</v>
      </c>
      <c r="O359" s="19">
        <v>-2.8500000000000001E-3</v>
      </c>
      <c r="P359" s="19">
        <v>-2.8800000000000002E-3</v>
      </c>
      <c r="Q359" s="19">
        <v>-2.7899999999999999E-3</v>
      </c>
      <c r="R359" s="19"/>
      <c r="S359" s="19">
        <f t="shared" si="43"/>
        <v>0</v>
      </c>
      <c r="T359" s="19">
        <f t="shared" si="44"/>
        <v>0</v>
      </c>
      <c r="U359" s="19">
        <f t="shared" si="45"/>
        <v>0</v>
      </c>
      <c r="V359" s="19">
        <f t="shared" si="46"/>
        <v>0</v>
      </c>
      <c r="W359" s="19">
        <f t="shared" si="47"/>
        <v>0</v>
      </c>
      <c r="X359" s="21">
        <f t="shared" si="48"/>
        <v>0</v>
      </c>
    </row>
    <row r="360" spans="1:24" ht="13.5" x14ac:dyDescent="0.35">
      <c r="A360" s="18">
        <v>108988</v>
      </c>
      <c r="B360" s="19" t="s">
        <v>269</v>
      </c>
      <c r="C360" s="19">
        <v>2.4</v>
      </c>
      <c r="D360" s="19">
        <v>101</v>
      </c>
      <c r="E360" s="19">
        <v>704</v>
      </c>
      <c r="F360" s="19">
        <v>0</v>
      </c>
      <c r="G360" s="19">
        <v>0</v>
      </c>
      <c r="H360" s="19">
        <v>0</v>
      </c>
      <c r="I360" s="20">
        <v>0</v>
      </c>
      <c r="J360" s="19">
        <f t="shared" si="41"/>
        <v>0</v>
      </c>
      <c r="K360" s="19">
        <f t="shared" si="42"/>
        <v>0</v>
      </c>
      <c r="L360" s="19">
        <v>-1.17E-3</v>
      </c>
      <c r="M360" s="19">
        <v>-1.4599999999999999E-3</v>
      </c>
      <c r="N360" s="19">
        <v>-2.1900000000000001E-3</v>
      </c>
      <c r="O360" s="19">
        <v>-2.8500000000000001E-3</v>
      </c>
      <c r="P360" s="19">
        <v>-2.8700000000000002E-3</v>
      </c>
      <c r="Q360" s="19">
        <v>-2.7899999999999999E-3</v>
      </c>
      <c r="R360" s="19"/>
      <c r="S360" s="19">
        <f t="shared" si="43"/>
        <v>0</v>
      </c>
      <c r="T360" s="19">
        <f t="shared" si="44"/>
        <v>0</v>
      </c>
      <c r="U360" s="19">
        <f t="shared" si="45"/>
        <v>0</v>
      </c>
      <c r="V360" s="19">
        <f t="shared" si="46"/>
        <v>0</v>
      </c>
      <c r="W360" s="19">
        <f t="shared" si="47"/>
        <v>0</v>
      </c>
      <c r="X360" s="21">
        <f t="shared" si="48"/>
        <v>0</v>
      </c>
    </row>
    <row r="361" spans="1:24" ht="13.5" x14ac:dyDescent="0.35">
      <c r="A361" s="18">
        <v>108990</v>
      </c>
      <c r="B361" s="19" t="s">
        <v>270</v>
      </c>
      <c r="C361" s="19">
        <v>2.4</v>
      </c>
      <c r="D361" s="19">
        <v>101</v>
      </c>
      <c r="E361" s="19">
        <v>704</v>
      </c>
      <c r="F361" s="19">
        <v>0</v>
      </c>
      <c r="G361" s="19">
        <v>0</v>
      </c>
      <c r="H361" s="19">
        <v>0</v>
      </c>
      <c r="I361" s="20">
        <v>0</v>
      </c>
      <c r="J361" s="19">
        <f t="shared" si="41"/>
        <v>0</v>
      </c>
      <c r="K361" s="19">
        <f t="shared" si="42"/>
        <v>0</v>
      </c>
      <c r="L361" s="19">
        <v>-1.17E-3</v>
      </c>
      <c r="M361" s="19">
        <v>-1.4599999999999999E-3</v>
      </c>
      <c r="N361" s="19">
        <v>-2.1900000000000001E-3</v>
      </c>
      <c r="O361" s="19">
        <v>-2.8500000000000001E-3</v>
      </c>
      <c r="P361" s="19">
        <v>-2.8700000000000002E-3</v>
      </c>
      <c r="Q361" s="19">
        <v>-2.7899999999999999E-3</v>
      </c>
      <c r="R361" s="19"/>
      <c r="S361" s="19">
        <f t="shared" si="43"/>
        <v>0</v>
      </c>
      <c r="T361" s="19">
        <f t="shared" si="44"/>
        <v>0</v>
      </c>
      <c r="U361" s="19">
        <f t="shared" si="45"/>
        <v>0</v>
      </c>
      <c r="V361" s="19">
        <f t="shared" si="46"/>
        <v>0</v>
      </c>
      <c r="W361" s="19">
        <f t="shared" si="47"/>
        <v>0</v>
      </c>
      <c r="X361" s="21">
        <f t="shared" si="48"/>
        <v>0</v>
      </c>
    </row>
    <row r="362" spans="1:24" ht="13.5" x14ac:dyDescent="0.35">
      <c r="A362" s="18">
        <v>109160</v>
      </c>
      <c r="B362" s="19" t="s">
        <v>297</v>
      </c>
      <c r="C362" s="19">
        <v>13.8</v>
      </c>
      <c r="D362" s="19">
        <v>101</v>
      </c>
      <c r="E362" s="19">
        <v>704</v>
      </c>
      <c r="F362" s="19">
        <v>52</v>
      </c>
      <c r="G362" s="19">
        <v>0</v>
      </c>
      <c r="H362" s="19">
        <v>52</v>
      </c>
      <c r="I362" s="20">
        <v>52</v>
      </c>
      <c r="J362" s="19">
        <f t="shared" si="41"/>
        <v>0</v>
      </c>
      <c r="K362" s="19">
        <f t="shared" si="42"/>
        <v>0</v>
      </c>
      <c r="L362" s="19">
        <v>-1.17E-3</v>
      </c>
      <c r="M362" s="19">
        <v>-1.4599999999999999E-3</v>
      </c>
      <c r="N362" s="19">
        <v>-2.1900000000000001E-3</v>
      </c>
      <c r="O362" s="19">
        <v>-2.8500000000000001E-3</v>
      </c>
      <c r="P362" s="19">
        <v>-2.8800000000000002E-3</v>
      </c>
      <c r="Q362" s="19">
        <v>-2.8E-3</v>
      </c>
      <c r="R362" s="19"/>
      <c r="S362" s="19">
        <f t="shared" si="43"/>
        <v>0</v>
      </c>
      <c r="T362" s="19">
        <f t="shared" si="44"/>
        <v>0</v>
      </c>
      <c r="U362" s="19">
        <f t="shared" si="45"/>
        <v>0</v>
      </c>
      <c r="V362" s="19">
        <f t="shared" si="46"/>
        <v>0</v>
      </c>
      <c r="W362" s="19">
        <f t="shared" si="47"/>
        <v>0</v>
      </c>
      <c r="X362" s="21">
        <f t="shared" si="48"/>
        <v>0</v>
      </c>
    </row>
    <row r="363" spans="1:24" ht="13.5" x14ac:dyDescent="0.35">
      <c r="A363" s="18">
        <v>109141</v>
      </c>
      <c r="B363" s="19" t="s">
        <v>294</v>
      </c>
      <c r="C363" s="19">
        <v>12.5</v>
      </c>
      <c r="D363" s="19">
        <v>101</v>
      </c>
      <c r="E363" s="19">
        <v>704</v>
      </c>
      <c r="F363" s="19">
        <v>0</v>
      </c>
      <c r="G363" s="19">
        <v>0</v>
      </c>
      <c r="H363" s="19">
        <v>0</v>
      </c>
      <c r="I363" s="20">
        <v>0</v>
      </c>
      <c r="J363" s="19">
        <f t="shared" si="41"/>
        <v>0</v>
      </c>
      <c r="K363" s="19">
        <f t="shared" si="42"/>
        <v>0</v>
      </c>
      <c r="L363" s="19">
        <v>-1.2600000000000001E-3</v>
      </c>
      <c r="M363" s="19">
        <v>-1.5399999999999999E-3</v>
      </c>
      <c r="N363" s="19">
        <v>-2.3E-3</v>
      </c>
      <c r="O363" s="19">
        <v>-2.96E-3</v>
      </c>
      <c r="P363" s="19">
        <v>-2.99E-3</v>
      </c>
      <c r="Q363" s="19">
        <v>-2.9099999999999998E-3</v>
      </c>
      <c r="R363" s="19"/>
      <c r="S363" s="19">
        <f t="shared" si="43"/>
        <v>0</v>
      </c>
      <c r="T363" s="19">
        <f t="shared" si="44"/>
        <v>0</v>
      </c>
      <c r="U363" s="19">
        <f t="shared" si="45"/>
        <v>0</v>
      </c>
      <c r="V363" s="19">
        <f t="shared" si="46"/>
        <v>0</v>
      </c>
      <c r="W363" s="19">
        <f t="shared" si="47"/>
        <v>0</v>
      </c>
      <c r="X363" s="21">
        <f t="shared" si="48"/>
        <v>0</v>
      </c>
    </row>
    <row r="364" spans="1:24" ht="13.5" x14ac:dyDescent="0.35">
      <c r="A364" s="18">
        <v>109140</v>
      </c>
      <c r="B364" s="19" t="s">
        <v>293</v>
      </c>
      <c r="C364" s="19">
        <v>4.16</v>
      </c>
      <c r="D364" s="19">
        <v>101</v>
      </c>
      <c r="E364" s="19">
        <v>704</v>
      </c>
      <c r="F364" s="19">
        <v>0</v>
      </c>
      <c r="G364" s="19">
        <v>0</v>
      </c>
      <c r="H364" s="19">
        <v>0</v>
      </c>
      <c r="I364" s="20">
        <v>0</v>
      </c>
      <c r="J364" s="19">
        <f t="shared" si="41"/>
        <v>0</v>
      </c>
      <c r="K364" s="19">
        <f t="shared" si="42"/>
        <v>0</v>
      </c>
      <c r="L364" s="19">
        <v>-1.31E-3</v>
      </c>
      <c r="M364" s="19">
        <v>-1.58E-3</v>
      </c>
      <c r="N364" s="19">
        <v>-2.3500000000000001E-3</v>
      </c>
      <c r="O364" s="19">
        <v>-3.0000000000000001E-3</v>
      </c>
      <c r="P364" s="19">
        <v>-3.0400000000000002E-3</v>
      </c>
      <c r="Q364" s="19">
        <v>-2.9499999999999999E-3</v>
      </c>
      <c r="R364" s="19"/>
      <c r="S364" s="19">
        <f t="shared" si="43"/>
        <v>0</v>
      </c>
      <c r="T364" s="19">
        <f t="shared" si="44"/>
        <v>0</v>
      </c>
      <c r="U364" s="19">
        <f t="shared" si="45"/>
        <v>0</v>
      </c>
      <c r="V364" s="19">
        <f t="shared" si="46"/>
        <v>0</v>
      </c>
      <c r="W364" s="19">
        <f t="shared" si="47"/>
        <v>0</v>
      </c>
      <c r="X364" s="21">
        <f t="shared" si="48"/>
        <v>0</v>
      </c>
    </row>
    <row r="365" spans="1:24" ht="13.5" x14ac:dyDescent="0.35">
      <c r="A365" s="18">
        <v>106033</v>
      </c>
      <c r="B365" s="19" t="s">
        <v>238</v>
      </c>
      <c r="C365" s="19">
        <v>13.8</v>
      </c>
      <c r="D365" s="19">
        <v>101</v>
      </c>
      <c r="E365" s="19">
        <v>400</v>
      </c>
      <c r="F365" s="19">
        <v>0</v>
      </c>
      <c r="G365" s="19">
        <v>0</v>
      </c>
      <c r="H365" s="19">
        <v>0</v>
      </c>
      <c r="I365" s="20">
        <v>0</v>
      </c>
      <c r="J365" s="19">
        <f t="shared" si="41"/>
        <v>0</v>
      </c>
      <c r="K365" s="19">
        <f t="shared" si="42"/>
        <v>0</v>
      </c>
      <c r="L365" s="19">
        <v>-1.32E-3</v>
      </c>
      <c r="M365" s="19">
        <v>-1.5900000000000001E-3</v>
      </c>
      <c r="N365" s="19">
        <v>-2.3600000000000001E-3</v>
      </c>
      <c r="O365" s="19">
        <v>-3.0100000000000001E-3</v>
      </c>
      <c r="P365" s="19">
        <v>-3.0599999999999998E-3</v>
      </c>
      <c r="Q365" s="19">
        <v>-2.96E-3</v>
      </c>
      <c r="R365" s="19"/>
      <c r="S365" s="19">
        <f t="shared" si="43"/>
        <v>0</v>
      </c>
      <c r="T365" s="19">
        <f t="shared" si="44"/>
        <v>0</v>
      </c>
      <c r="U365" s="19">
        <f t="shared" si="45"/>
        <v>0</v>
      </c>
      <c r="V365" s="19">
        <f t="shared" si="46"/>
        <v>0</v>
      </c>
      <c r="W365" s="19">
        <f t="shared" si="47"/>
        <v>0</v>
      </c>
      <c r="X365" s="21">
        <f t="shared" si="48"/>
        <v>0</v>
      </c>
    </row>
    <row r="366" spans="1:24" ht="13.5" x14ac:dyDescent="0.35">
      <c r="A366" s="18">
        <v>109226</v>
      </c>
      <c r="B366" s="19" t="s">
        <v>301</v>
      </c>
      <c r="C366" s="19">
        <v>4</v>
      </c>
      <c r="D366" s="19">
        <v>101</v>
      </c>
      <c r="E366" s="19">
        <v>704</v>
      </c>
      <c r="F366" s="19">
        <v>0</v>
      </c>
      <c r="G366" s="19">
        <v>0</v>
      </c>
      <c r="H366" s="19">
        <v>0</v>
      </c>
      <c r="I366" s="20">
        <v>0</v>
      </c>
      <c r="J366" s="19">
        <f t="shared" si="41"/>
        <v>0</v>
      </c>
      <c r="K366" s="19">
        <f t="shared" si="42"/>
        <v>0</v>
      </c>
      <c r="L366" s="19">
        <v>-1.3500000000000001E-3</v>
      </c>
      <c r="M366" s="19">
        <v>-1.6199999999999999E-3</v>
      </c>
      <c r="N366" s="19">
        <v>-2.3800000000000002E-3</v>
      </c>
      <c r="O366" s="19">
        <v>-3.0400000000000002E-3</v>
      </c>
      <c r="P366" s="19">
        <v>-3.0799999999999998E-3</v>
      </c>
      <c r="Q366" s="19">
        <v>-2.99E-3</v>
      </c>
      <c r="R366" s="19"/>
      <c r="S366" s="19">
        <f t="shared" si="43"/>
        <v>0</v>
      </c>
      <c r="T366" s="19">
        <f t="shared" si="44"/>
        <v>0</v>
      </c>
      <c r="U366" s="19">
        <f t="shared" si="45"/>
        <v>0</v>
      </c>
      <c r="V366" s="19">
        <f t="shared" si="46"/>
        <v>0</v>
      </c>
      <c r="W366" s="19">
        <f t="shared" si="47"/>
        <v>0</v>
      </c>
      <c r="X366" s="21">
        <f t="shared" si="48"/>
        <v>0</v>
      </c>
    </row>
    <row r="367" spans="1:24" ht="13.5" x14ac:dyDescent="0.35">
      <c r="A367" s="18">
        <v>109227</v>
      </c>
      <c r="B367" s="19" t="s">
        <v>302</v>
      </c>
      <c r="C367" s="19">
        <v>2.4</v>
      </c>
      <c r="D367" s="19">
        <v>101</v>
      </c>
      <c r="E367" s="19">
        <v>704</v>
      </c>
      <c r="F367" s="19">
        <v>0</v>
      </c>
      <c r="G367" s="19">
        <v>0</v>
      </c>
      <c r="H367" s="19">
        <v>0</v>
      </c>
      <c r="I367" s="20">
        <v>0</v>
      </c>
      <c r="J367" s="19">
        <f t="shared" si="41"/>
        <v>0</v>
      </c>
      <c r="K367" s="19">
        <f t="shared" si="42"/>
        <v>0</v>
      </c>
      <c r="L367" s="19">
        <v>-1.3500000000000001E-3</v>
      </c>
      <c r="M367" s="19">
        <v>-1.6100000000000001E-3</v>
      </c>
      <c r="N367" s="19">
        <v>-2.3700000000000001E-3</v>
      </c>
      <c r="O367" s="19">
        <v>-3.0400000000000002E-3</v>
      </c>
      <c r="P367" s="19">
        <v>-3.0799999999999998E-3</v>
      </c>
      <c r="Q367" s="19">
        <v>-2.98E-3</v>
      </c>
      <c r="R367" s="19"/>
      <c r="S367" s="19">
        <f t="shared" si="43"/>
        <v>0</v>
      </c>
      <c r="T367" s="19">
        <f t="shared" si="44"/>
        <v>0</v>
      </c>
      <c r="U367" s="19">
        <f t="shared" si="45"/>
        <v>0</v>
      </c>
      <c r="V367" s="19">
        <f t="shared" si="46"/>
        <v>0</v>
      </c>
      <c r="W367" s="19">
        <f t="shared" si="47"/>
        <v>0</v>
      </c>
      <c r="X367" s="21">
        <f t="shared" si="48"/>
        <v>0</v>
      </c>
    </row>
    <row r="368" spans="1:24" ht="13.5" x14ac:dyDescent="0.35">
      <c r="A368" s="18">
        <v>109229</v>
      </c>
      <c r="B368" s="19" t="s">
        <v>304</v>
      </c>
      <c r="C368" s="19">
        <v>2.2999999999999998</v>
      </c>
      <c r="D368" s="19">
        <v>101</v>
      </c>
      <c r="E368" s="19">
        <v>704</v>
      </c>
      <c r="F368" s="19">
        <v>0</v>
      </c>
      <c r="G368" s="19">
        <v>0</v>
      </c>
      <c r="H368" s="19">
        <v>0</v>
      </c>
      <c r="I368" s="20">
        <v>0</v>
      </c>
      <c r="J368" s="19">
        <f t="shared" si="41"/>
        <v>0</v>
      </c>
      <c r="K368" s="19">
        <f t="shared" si="42"/>
        <v>0</v>
      </c>
      <c r="L368" s="19">
        <v>-1.3500000000000001E-3</v>
      </c>
      <c r="M368" s="19">
        <v>-1.6199999999999999E-3</v>
      </c>
      <c r="N368" s="19">
        <v>-2.3800000000000002E-3</v>
      </c>
      <c r="O368" s="19">
        <v>-3.0400000000000002E-3</v>
      </c>
      <c r="P368" s="19">
        <v>-3.0799999999999998E-3</v>
      </c>
      <c r="Q368" s="19">
        <v>-2.99E-3</v>
      </c>
      <c r="R368" s="19"/>
      <c r="S368" s="19">
        <f t="shared" si="43"/>
        <v>0</v>
      </c>
      <c r="T368" s="19">
        <f t="shared" si="44"/>
        <v>0</v>
      </c>
      <c r="U368" s="19">
        <f t="shared" si="45"/>
        <v>0</v>
      </c>
      <c r="V368" s="19">
        <f t="shared" si="46"/>
        <v>0</v>
      </c>
      <c r="W368" s="19">
        <f t="shared" si="47"/>
        <v>0</v>
      </c>
      <c r="X368" s="21">
        <f t="shared" si="48"/>
        <v>0</v>
      </c>
    </row>
    <row r="369" spans="1:24" ht="13.5" x14ac:dyDescent="0.35">
      <c r="A369" s="18">
        <v>108168</v>
      </c>
      <c r="B369" s="19" t="s">
        <v>252</v>
      </c>
      <c r="C369" s="19">
        <v>0.69</v>
      </c>
      <c r="D369" s="19">
        <v>101</v>
      </c>
      <c r="E369" s="19">
        <v>704</v>
      </c>
      <c r="F369" s="19">
        <v>2.38</v>
      </c>
      <c r="G369" s="19">
        <v>0</v>
      </c>
      <c r="H369" s="19">
        <v>2.38</v>
      </c>
      <c r="I369" s="20">
        <v>2.38</v>
      </c>
      <c r="J369" s="19">
        <f t="shared" si="41"/>
        <v>0</v>
      </c>
      <c r="K369" s="19">
        <f t="shared" si="42"/>
        <v>0</v>
      </c>
      <c r="L369" s="19">
        <v>-1.3600000000000001E-3</v>
      </c>
      <c r="M369" s="19">
        <v>-1.6199999999999999E-3</v>
      </c>
      <c r="N369" s="19">
        <v>-2.3800000000000002E-3</v>
      </c>
      <c r="O369" s="19">
        <v>-3.0400000000000002E-3</v>
      </c>
      <c r="P369" s="19">
        <v>-3.0899999999999999E-3</v>
      </c>
      <c r="Q369" s="19">
        <v>-2.99E-3</v>
      </c>
      <c r="R369" s="19"/>
      <c r="S369" s="19">
        <f t="shared" si="43"/>
        <v>0</v>
      </c>
      <c r="T369" s="19">
        <f t="shared" si="44"/>
        <v>0</v>
      </c>
      <c r="U369" s="19">
        <f t="shared" si="45"/>
        <v>0</v>
      </c>
      <c r="V369" s="19">
        <f t="shared" si="46"/>
        <v>0</v>
      </c>
      <c r="W369" s="19">
        <f t="shared" si="47"/>
        <v>0</v>
      </c>
      <c r="X369" s="21">
        <f t="shared" si="48"/>
        <v>0</v>
      </c>
    </row>
    <row r="370" spans="1:24" ht="13.5" x14ac:dyDescent="0.35">
      <c r="A370" s="18">
        <v>109228</v>
      </c>
      <c r="B370" s="19" t="s">
        <v>303</v>
      </c>
      <c r="C370" s="19">
        <v>2.2999999999999998</v>
      </c>
      <c r="D370" s="19">
        <v>101</v>
      </c>
      <c r="E370" s="19">
        <v>704</v>
      </c>
      <c r="F370" s="19">
        <v>0</v>
      </c>
      <c r="G370" s="19">
        <v>0</v>
      </c>
      <c r="H370" s="19">
        <v>0</v>
      </c>
      <c r="I370" s="20">
        <v>0</v>
      </c>
      <c r="J370" s="19">
        <f t="shared" si="41"/>
        <v>0</v>
      </c>
      <c r="K370" s="19">
        <f t="shared" si="42"/>
        <v>0</v>
      </c>
      <c r="L370" s="19">
        <v>-1.3699999999999999E-3</v>
      </c>
      <c r="M370" s="19">
        <v>-1.6299999999999999E-3</v>
      </c>
      <c r="N370" s="19">
        <v>-2.3999999999999998E-3</v>
      </c>
      <c r="O370" s="19">
        <v>-3.0599999999999998E-3</v>
      </c>
      <c r="P370" s="19">
        <v>-3.1099999999999999E-3</v>
      </c>
      <c r="Q370" s="19">
        <v>-3.0100000000000001E-3</v>
      </c>
      <c r="R370" s="19"/>
      <c r="S370" s="19">
        <f t="shared" si="43"/>
        <v>0</v>
      </c>
      <c r="T370" s="19">
        <f t="shared" si="44"/>
        <v>0</v>
      </c>
      <c r="U370" s="19">
        <f t="shared" si="45"/>
        <v>0</v>
      </c>
      <c r="V370" s="19">
        <f t="shared" si="46"/>
        <v>0</v>
      </c>
      <c r="W370" s="19">
        <f t="shared" si="47"/>
        <v>0</v>
      </c>
      <c r="X370" s="21">
        <f t="shared" si="48"/>
        <v>0</v>
      </c>
    </row>
    <row r="371" spans="1:24" ht="13.5" x14ac:dyDescent="0.35">
      <c r="A371" s="18">
        <v>109573</v>
      </c>
      <c r="B371" s="19" t="s">
        <v>329</v>
      </c>
      <c r="C371" s="19">
        <v>13.8</v>
      </c>
      <c r="D371" s="19">
        <v>101</v>
      </c>
      <c r="E371" s="19">
        <v>400</v>
      </c>
      <c r="F371" s="19">
        <v>39.06</v>
      </c>
      <c r="G371" s="19">
        <v>0</v>
      </c>
      <c r="H371" s="19">
        <v>39.06</v>
      </c>
      <c r="I371" s="20">
        <v>39.06</v>
      </c>
      <c r="J371" s="19">
        <f t="shared" si="41"/>
        <v>0</v>
      </c>
      <c r="K371" s="19">
        <f t="shared" si="42"/>
        <v>0</v>
      </c>
      <c r="L371" s="19">
        <v>-1.4400000000000001E-3</v>
      </c>
      <c r="M371" s="19">
        <v>-1.6900000000000001E-3</v>
      </c>
      <c r="N371" s="19">
        <v>-2.48E-3</v>
      </c>
      <c r="O371" s="19">
        <v>-3.14E-3</v>
      </c>
      <c r="P371" s="19">
        <v>-3.1900000000000001E-3</v>
      </c>
      <c r="Q371" s="19">
        <v>-3.0899999999999999E-3</v>
      </c>
      <c r="R371" s="19"/>
      <c r="S371" s="19">
        <f t="shared" si="43"/>
        <v>0</v>
      </c>
      <c r="T371" s="19">
        <f t="shared" si="44"/>
        <v>0</v>
      </c>
      <c r="U371" s="19">
        <f t="shared" si="45"/>
        <v>0</v>
      </c>
      <c r="V371" s="19">
        <f t="shared" si="46"/>
        <v>0</v>
      </c>
      <c r="W371" s="19">
        <f t="shared" si="47"/>
        <v>0</v>
      </c>
      <c r="X371" s="21">
        <f t="shared" si="48"/>
        <v>0</v>
      </c>
    </row>
    <row r="372" spans="1:24" ht="13.5" x14ac:dyDescent="0.35">
      <c r="A372" s="18">
        <v>111084</v>
      </c>
      <c r="B372" s="19" t="s">
        <v>340</v>
      </c>
      <c r="C372" s="19">
        <v>13.8</v>
      </c>
      <c r="D372" s="19">
        <v>101</v>
      </c>
      <c r="E372" s="19">
        <v>1023</v>
      </c>
      <c r="F372" s="19">
        <v>94.29</v>
      </c>
      <c r="G372" s="19">
        <v>0</v>
      </c>
      <c r="H372" s="19">
        <v>94.29</v>
      </c>
      <c r="I372" s="20">
        <v>94.29</v>
      </c>
      <c r="J372" s="19">
        <f t="shared" si="41"/>
        <v>0</v>
      </c>
      <c r="K372" s="19">
        <f t="shared" si="42"/>
        <v>0</v>
      </c>
      <c r="L372" s="19">
        <v>-1.4499999999999999E-3</v>
      </c>
      <c r="M372" s="19">
        <v>-2.0999999999999999E-3</v>
      </c>
      <c r="N372" s="19">
        <v>-3.9199999999999999E-3</v>
      </c>
      <c r="O372" s="19">
        <v>-5.5399999999999998E-3</v>
      </c>
      <c r="P372" s="19">
        <v>-3.5899999999999999E-3</v>
      </c>
      <c r="Q372" s="19">
        <v>-5.4000000000000003E-3</v>
      </c>
      <c r="R372" s="19"/>
      <c r="S372" s="19">
        <f t="shared" si="43"/>
        <v>0</v>
      </c>
      <c r="T372" s="19">
        <f t="shared" si="44"/>
        <v>0</v>
      </c>
      <c r="U372" s="19">
        <f t="shared" si="45"/>
        <v>0</v>
      </c>
      <c r="V372" s="19">
        <f t="shared" si="46"/>
        <v>0</v>
      </c>
      <c r="W372" s="19">
        <f t="shared" si="47"/>
        <v>0</v>
      </c>
      <c r="X372" s="21">
        <f t="shared" si="48"/>
        <v>0</v>
      </c>
    </row>
    <row r="373" spans="1:24" ht="13.5" x14ac:dyDescent="0.35">
      <c r="A373" s="18">
        <v>111085</v>
      </c>
      <c r="B373" s="19" t="s">
        <v>341</v>
      </c>
      <c r="C373" s="19">
        <v>13.8</v>
      </c>
      <c r="D373" s="19">
        <v>101</v>
      </c>
      <c r="E373" s="19">
        <v>1023</v>
      </c>
      <c r="F373" s="19">
        <v>94.29</v>
      </c>
      <c r="G373" s="19">
        <v>0</v>
      </c>
      <c r="H373" s="19">
        <v>94.29</v>
      </c>
      <c r="I373" s="20">
        <v>94.29</v>
      </c>
      <c r="J373" s="19">
        <f t="shared" si="41"/>
        <v>0</v>
      </c>
      <c r="K373" s="19">
        <f t="shared" si="42"/>
        <v>0</v>
      </c>
      <c r="L373" s="19">
        <v>-1.4499999999999999E-3</v>
      </c>
      <c r="M373" s="19">
        <v>-2.0999999999999999E-3</v>
      </c>
      <c r="N373" s="19">
        <v>-3.9199999999999999E-3</v>
      </c>
      <c r="O373" s="19">
        <v>-5.5399999999999998E-3</v>
      </c>
      <c r="P373" s="19">
        <v>-3.5899999999999999E-3</v>
      </c>
      <c r="Q373" s="19">
        <v>-5.4000000000000003E-3</v>
      </c>
      <c r="R373" s="19"/>
      <c r="S373" s="19">
        <f t="shared" si="43"/>
        <v>0</v>
      </c>
      <c r="T373" s="19">
        <f t="shared" si="44"/>
        <v>0</v>
      </c>
      <c r="U373" s="19">
        <f t="shared" si="45"/>
        <v>0</v>
      </c>
      <c r="V373" s="19">
        <f t="shared" si="46"/>
        <v>0</v>
      </c>
      <c r="W373" s="19">
        <f t="shared" si="47"/>
        <v>0</v>
      </c>
      <c r="X373" s="21">
        <f t="shared" si="48"/>
        <v>0</v>
      </c>
    </row>
    <row r="374" spans="1:24" ht="13.5" x14ac:dyDescent="0.35">
      <c r="A374" s="18">
        <v>111086</v>
      </c>
      <c r="B374" s="19" t="s">
        <v>342</v>
      </c>
      <c r="C374" s="19">
        <v>13.8</v>
      </c>
      <c r="D374" s="19">
        <v>101</v>
      </c>
      <c r="E374" s="19">
        <v>1023</v>
      </c>
      <c r="F374" s="19">
        <v>94.29</v>
      </c>
      <c r="G374" s="19">
        <v>0</v>
      </c>
      <c r="H374" s="19">
        <v>94.29</v>
      </c>
      <c r="I374" s="20">
        <v>94.29</v>
      </c>
      <c r="J374" s="19">
        <f t="shared" si="41"/>
        <v>0</v>
      </c>
      <c r="K374" s="19">
        <f t="shared" si="42"/>
        <v>0</v>
      </c>
      <c r="L374" s="19">
        <v>-1.4499999999999999E-3</v>
      </c>
      <c r="M374" s="19">
        <v>-2.0999999999999999E-3</v>
      </c>
      <c r="N374" s="19">
        <v>-3.9199999999999999E-3</v>
      </c>
      <c r="O374" s="19">
        <v>-5.5399999999999998E-3</v>
      </c>
      <c r="P374" s="19">
        <v>-3.5899999999999999E-3</v>
      </c>
      <c r="Q374" s="19">
        <v>-5.4000000000000003E-3</v>
      </c>
      <c r="R374" s="19"/>
      <c r="S374" s="19">
        <f t="shared" si="43"/>
        <v>0</v>
      </c>
      <c r="T374" s="19">
        <f t="shared" si="44"/>
        <v>0</v>
      </c>
      <c r="U374" s="19">
        <f t="shared" si="45"/>
        <v>0</v>
      </c>
      <c r="V374" s="19">
        <f t="shared" si="46"/>
        <v>0</v>
      </c>
      <c r="W374" s="19">
        <f t="shared" si="47"/>
        <v>0</v>
      </c>
      <c r="X374" s="21">
        <f t="shared" si="48"/>
        <v>0</v>
      </c>
    </row>
    <row r="375" spans="1:24" ht="13.5" x14ac:dyDescent="0.35">
      <c r="A375" s="18">
        <v>107324</v>
      </c>
      <c r="B375" s="19" t="s">
        <v>250</v>
      </c>
      <c r="C375" s="19">
        <v>115</v>
      </c>
      <c r="D375" s="19">
        <v>101</v>
      </c>
      <c r="E375" s="19">
        <v>703</v>
      </c>
      <c r="F375" s="19">
        <v>0</v>
      </c>
      <c r="G375" s="19">
        <v>0</v>
      </c>
      <c r="H375" s="19">
        <v>0</v>
      </c>
      <c r="I375" s="20">
        <v>0</v>
      </c>
      <c r="J375" s="19">
        <f t="shared" si="41"/>
        <v>0</v>
      </c>
      <c r="K375" s="19">
        <f t="shared" si="42"/>
        <v>0</v>
      </c>
      <c r="L375" s="19">
        <v>-1.48E-3</v>
      </c>
      <c r="M375" s="19">
        <v>-1.72E-3</v>
      </c>
      <c r="N375" s="19">
        <v>-2.5000000000000001E-3</v>
      </c>
      <c r="O375" s="19">
        <v>-3.1700000000000001E-3</v>
      </c>
      <c r="P375" s="19">
        <v>-3.2200000000000002E-3</v>
      </c>
      <c r="Q375" s="19">
        <v>-3.1199999999999999E-3</v>
      </c>
      <c r="R375" s="19"/>
      <c r="S375" s="19">
        <f t="shared" si="43"/>
        <v>0</v>
      </c>
      <c r="T375" s="19">
        <f t="shared" si="44"/>
        <v>0</v>
      </c>
      <c r="U375" s="19">
        <f t="shared" si="45"/>
        <v>0</v>
      </c>
      <c r="V375" s="19">
        <f t="shared" si="46"/>
        <v>0</v>
      </c>
      <c r="W375" s="19">
        <f t="shared" si="47"/>
        <v>0</v>
      </c>
      <c r="X375" s="21">
        <f t="shared" si="48"/>
        <v>0</v>
      </c>
    </row>
    <row r="376" spans="1:24" ht="13.5" x14ac:dyDescent="0.35">
      <c r="A376" s="18">
        <v>108894</v>
      </c>
      <c r="B376" s="19" t="s">
        <v>257</v>
      </c>
      <c r="C376" s="19">
        <v>13.8</v>
      </c>
      <c r="D376" s="19">
        <v>101</v>
      </c>
      <c r="E376" s="19">
        <v>704</v>
      </c>
      <c r="F376" s="19">
        <v>0</v>
      </c>
      <c r="G376" s="19">
        <v>0</v>
      </c>
      <c r="H376" s="19">
        <v>0</v>
      </c>
      <c r="I376" s="20">
        <v>0</v>
      </c>
      <c r="J376" s="19">
        <f t="shared" si="41"/>
        <v>0</v>
      </c>
      <c r="K376" s="19">
        <f t="shared" si="42"/>
        <v>0</v>
      </c>
      <c r="L376" s="19">
        <v>-1.48E-3</v>
      </c>
      <c r="M376" s="19">
        <v>-1.72E-3</v>
      </c>
      <c r="N376" s="19">
        <v>-2.5000000000000001E-3</v>
      </c>
      <c r="O376" s="19">
        <v>-3.1700000000000001E-3</v>
      </c>
      <c r="P376" s="19">
        <v>-3.2299999999999998E-3</v>
      </c>
      <c r="Q376" s="19">
        <v>-3.1199999999999999E-3</v>
      </c>
      <c r="R376" s="19"/>
      <c r="S376" s="19">
        <f t="shared" si="43"/>
        <v>0</v>
      </c>
      <c r="T376" s="19">
        <f t="shared" si="44"/>
        <v>0</v>
      </c>
      <c r="U376" s="19">
        <f t="shared" si="45"/>
        <v>0</v>
      </c>
      <c r="V376" s="19">
        <f t="shared" si="46"/>
        <v>0</v>
      </c>
      <c r="W376" s="19">
        <f t="shared" si="47"/>
        <v>0</v>
      </c>
      <c r="X376" s="21">
        <f t="shared" si="48"/>
        <v>0</v>
      </c>
    </row>
    <row r="377" spans="1:24" ht="13.5" x14ac:dyDescent="0.35">
      <c r="A377" s="18">
        <v>109280</v>
      </c>
      <c r="B377" s="19" t="s">
        <v>312</v>
      </c>
      <c r="C377" s="19">
        <v>4.16</v>
      </c>
      <c r="D377" s="19">
        <v>101</v>
      </c>
      <c r="E377" s="19">
        <v>704</v>
      </c>
      <c r="F377" s="19">
        <v>0</v>
      </c>
      <c r="G377" s="19">
        <v>0</v>
      </c>
      <c r="H377" s="19">
        <v>0</v>
      </c>
      <c r="I377" s="20">
        <v>0</v>
      </c>
      <c r="J377" s="19">
        <f t="shared" si="41"/>
        <v>0</v>
      </c>
      <c r="K377" s="19">
        <f t="shared" si="42"/>
        <v>0</v>
      </c>
      <c r="L377" s="19">
        <v>-1.48E-3</v>
      </c>
      <c r="M377" s="19">
        <v>-1.72E-3</v>
      </c>
      <c r="N377" s="19">
        <v>-2.5000000000000001E-3</v>
      </c>
      <c r="O377" s="19">
        <v>-3.1700000000000001E-3</v>
      </c>
      <c r="P377" s="19">
        <v>-3.2299999999999998E-3</v>
      </c>
      <c r="Q377" s="19">
        <v>-3.1199999999999999E-3</v>
      </c>
      <c r="R377" s="19"/>
      <c r="S377" s="19">
        <f t="shared" si="43"/>
        <v>0</v>
      </c>
      <c r="T377" s="19">
        <f t="shared" si="44"/>
        <v>0</v>
      </c>
      <c r="U377" s="19">
        <f t="shared" si="45"/>
        <v>0</v>
      </c>
      <c r="V377" s="19">
        <f t="shared" si="46"/>
        <v>0</v>
      </c>
      <c r="W377" s="19">
        <f t="shared" si="47"/>
        <v>0</v>
      </c>
      <c r="X377" s="21">
        <f t="shared" si="48"/>
        <v>0</v>
      </c>
    </row>
    <row r="378" spans="1:24" ht="13.5" x14ac:dyDescent="0.35">
      <c r="A378" s="18">
        <v>109281</v>
      </c>
      <c r="B378" s="19" t="s">
        <v>313</v>
      </c>
      <c r="C378" s="19">
        <v>4.16</v>
      </c>
      <c r="D378" s="19">
        <v>101</v>
      </c>
      <c r="E378" s="19">
        <v>704</v>
      </c>
      <c r="F378" s="19">
        <v>0</v>
      </c>
      <c r="G378" s="19">
        <v>0</v>
      </c>
      <c r="H378" s="19">
        <v>0</v>
      </c>
      <c r="I378" s="20">
        <v>0</v>
      </c>
      <c r="J378" s="19">
        <f t="shared" si="41"/>
        <v>0</v>
      </c>
      <c r="K378" s="19">
        <f t="shared" si="42"/>
        <v>0</v>
      </c>
      <c r="L378" s="19">
        <v>-1.48E-3</v>
      </c>
      <c r="M378" s="19">
        <v>-1.72E-3</v>
      </c>
      <c r="N378" s="19">
        <v>-2.5000000000000001E-3</v>
      </c>
      <c r="O378" s="19">
        <v>-3.1700000000000001E-3</v>
      </c>
      <c r="P378" s="19">
        <v>-3.2299999999999998E-3</v>
      </c>
      <c r="Q378" s="19">
        <v>-3.1199999999999999E-3</v>
      </c>
      <c r="R378" s="19"/>
      <c r="S378" s="19">
        <f t="shared" si="43"/>
        <v>0</v>
      </c>
      <c r="T378" s="19">
        <f t="shared" si="44"/>
        <v>0</v>
      </c>
      <c r="U378" s="19">
        <f t="shared" si="45"/>
        <v>0</v>
      </c>
      <c r="V378" s="19">
        <f t="shared" si="46"/>
        <v>0</v>
      </c>
      <c r="W378" s="19">
        <f t="shared" si="47"/>
        <v>0</v>
      </c>
      <c r="X378" s="21">
        <f t="shared" si="48"/>
        <v>0</v>
      </c>
    </row>
    <row r="379" spans="1:24" ht="13.5" x14ac:dyDescent="0.35">
      <c r="A379" s="18">
        <v>109282</v>
      </c>
      <c r="B379" s="19" t="s">
        <v>314</v>
      </c>
      <c r="C379" s="19">
        <v>4.16</v>
      </c>
      <c r="D379" s="19">
        <v>101</v>
      </c>
      <c r="E379" s="19">
        <v>704</v>
      </c>
      <c r="F379" s="19">
        <v>0</v>
      </c>
      <c r="G379" s="19">
        <v>0</v>
      </c>
      <c r="H379" s="19">
        <v>0</v>
      </c>
      <c r="I379" s="20">
        <v>0</v>
      </c>
      <c r="J379" s="19">
        <f t="shared" si="41"/>
        <v>0</v>
      </c>
      <c r="K379" s="19">
        <f t="shared" si="42"/>
        <v>0</v>
      </c>
      <c r="L379" s="19">
        <v>-1.48E-3</v>
      </c>
      <c r="M379" s="19">
        <v>-1.72E-3</v>
      </c>
      <c r="N379" s="19">
        <v>-2.5000000000000001E-3</v>
      </c>
      <c r="O379" s="19">
        <v>-3.1700000000000001E-3</v>
      </c>
      <c r="P379" s="19">
        <v>-3.2299999999999998E-3</v>
      </c>
      <c r="Q379" s="19">
        <v>-3.1199999999999999E-3</v>
      </c>
      <c r="R379" s="19"/>
      <c r="S379" s="19">
        <f t="shared" si="43"/>
        <v>0</v>
      </c>
      <c r="T379" s="19">
        <f t="shared" si="44"/>
        <v>0</v>
      </c>
      <c r="U379" s="19">
        <f t="shared" si="45"/>
        <v>0</v>
      </c>
      <c r="V379" s="19">
        <f t="shared" si="46"/>
        <v>0</v>
      </c>
      <c r="W379" s="19">
        <f t="shared" si="47"/>
        <v>0</v>
      </c>
      <c r="X379" s="21">
        <f t="shared" si="48"/>
        <v>0</v>
      </c>
    </row>
    <row r="380" spans="1:24" ht="13.5" x14ac:dyDescent="0.35">
      <c r="A380" s="18">
        <v>911524</v>
      </c>
      <c r="B380" s="19" t="s">
        <v>643</v>
      </c>
      <c r="C380" s="19">
        <v>115</v>
      </c>
      <c r="D380" s="19">
        <v>101</v>
      </c>
      <c r="E380" s="19">
        <v>703</v>
      </c>
      <c r="F380" s="19">
        <v>136</v>
      </c>
      <c r="G380" s="19">
        <v>0</v>
      </c>
      <c r="H380" s="19">
        <v>200</v>
      </c>
      <c r="I380" s="20">
        <v>136</v>
      </c>
      <c r="J380" s="19">
        <f t="shared" si="41"/>
        <v>0</v>
      </c>
      <c r="K380" s="19">
        <f t="shared" si="42"/>
        <v>64</v>
      </c>
      <c r="L380" s="19">
        <v>-1.48E-3</v>
      </c>
      <c r="M380" s="19">
        <v>-1.72E-3</v>
      </c>
      <c r="N380" s="19">
        <v>-2.5000000000000001E-3</v>
      </c>
      <c r="O380" s="19">
        <v>-3.1700000000000001E-3</v>
      </c>
      <c r="P380" s="19">
        <v>-3.2200000000000002E-3</v>
      </c>
      <c r="Q380" s="19">
        <v>-3.1199999999999999E-3</v>
      </c>
      <c r="R380" s="19"/>
      <c r="S380" s="19">
        <f t="shared" si="43"/>
        <v>0</v>
      </c>
      <c r="T380" s="19">
        <f t="shared" si="44"/>
        <v>0</v>
      </c>
      <c r="U380" s="19">
        <f t="shared" si="45"/>
        <v>0</v>
      </c>
      <c r="V380" s="19">
        <f t="shared" si="46"/>
        <v>0</v>
      </c>
      <c r="W380" s="19">
        <f t="shared" si="47"/>
        <v>0</v>
      </c>
      <c r="X380" s="21">
        <f t="shared" si="48"/>
        <v>0</v>
      </c>
    </row>
    <row r="381" spans="1:24" ht="13.5" x14ac:dyDescent="0.35">
      <c r="A381" s="18">
        <v>114862</v>
      </c>
      <c r="B381" s="19" t="s">
        <v>441</v>
      </c>
      <c r="C381" s="19">
        <v>21</v>
      </c>
      <c r="D381" s="19">
        <v>101</v>
      </c>
      <c r="E381" s="19">
        <v>1140</v>
      </c>
      <c r="F381" s="19">
        <v>272.62</v>
      </c>
      <c r="G381" s="19">
        <v>0</v>
      </c>
      <c r="H381" s="19">
        <v>272.62</v>
      </c>
      <c r="I381" s="20">
        <v>272.62</v>
      </c>
      <c r="J381" s="19">
        <f t="shared" si="41"/>
        <v>0</v>
      </c>
      <c r="K381" s="19">
        <f t="shared" si="42"/>
        <v>0</v>
      </c>
      <c r="L381" s="19">
        <v>-1.5E-3</v>
      </c>
      <c r="M381" s="19">
        <v>-2.15E-3</v>
      </c>
      <c r="N381" s="19">
        <v>-6.6100000000000004E-3</v>
      </c>
      <c r="O381" s="19">
        <v>4.1450000000000001E-2</v>
      </c>
      <c r="P381" s="19">
        <v>1.48E-3</v>
      </c>
      <c r="Q381" s="19">
        <v>1.25E-3</v>
      </c>
      <c r="R381" s="19"/>
      <c r="S381" s="19">
        <f t="shared" si="43"/>
        <v>0</v>
      </c>
      <c r="T381" s="19">
        <f t="shared" si="44"/>
        <v>0</v>
      </c>
      <c r="U381" s="19">
        <f t="shared" si="45"/>
        <v>0</v>
      </c>
      <c r="V381" s="19">
        <f t="shared" si="46"/>
        <v>0</v>
      </c>
      <c r="W381" s="19">
        <f t="shared" si="47"/>
        <v>0</v>
      </c>
      <c r="X381" s="21">
        <f t="shared" si="48"/>
        <v>0</v>
      </c>
    </row>
    <row r="382" spans="1:24" ht="13.5" x14ac:dyDescent="0.35">
      <c r="A382" s="18">
        <v>105345</v>
      </c>
      <c r="B382" s="19" t="s">
        <v>211</v>
      </c>
      <c r="C382" s="19">
        <v>13.8</v>
      </c>
      <c r="D382" s="19">
        <v>101</v>
      </c>
      <c r="E382" s="19">
        <v>564</v>
      </c>
      <c r="F382" s="19">
        <v>17.5</v>
      </c>
      <c r="G382" s="19">
        <v>0</v>
      </c>
      <c r="H382" s="19">
        <v>17.5</v>
      </c>
      <c r="I382" s="20">
        <v>17.5</v>
      </c>
      <c r="J382" s="19">
        <f t="shared" si="41"/>
        <v>0</v>
      </c>
      <c r="K382" s="19">
        <f t="shared" si="42"/>
        <v>0</v>
      </c>
      <c r="L382" s="19">
        <v>-1.57E-3</v>
      </c>
      <c r="M382" s="19">
        <v>-1.81E-3</v>
      </c>
      <c r="N382" s="19">
        <v>-2.63E-3</v>
      </c>
      <c r="O382" s="19">
        <v>-3.3E-3</v>
      </c>
      <c r="P382" s="19">
        <v>-3.3700000000000002E-3</v>
      </c>
      <c r="Q382" s="19">
        <v>-3.2499999999999999E-3</v>
      </c>
      <c r="R382" s="19"/>
      <c r="S382" s="19">
        <f t="shared" si="43"/>
        <v>0</v>
      </c>
      <c r="T382" s="19">
        <f t="shared" si="44"/>
        <v>0</v>
      </c>
      <c r="U382" s="19">
        <f t="shared" si="45"/>
        <v>0</v>
      </c>
      <c r="V382" s="19">
        <f t="shared" si="46"/>
        <v>0</v>
      </c>
      <c r="W382" s="19">
        <f t="shared" si="47"/>
        <v>0</v>
      </c>
      <c r="X382" s="21">
        <f t="shared" si="48"/>
        <v>0</v>
      </c>
    </row>
    <row r="383" spans="1:24" ht="13.5" x14ac:dyDescent="0.35">
      <c r="A383" s="18">
        <v>105350</v>
      </c>
      <c r="B383" s="19" t="s">
        <v>212</v>
      </c>
      <c r="C383" s="19">
        <v>0.69</v>
      </c>
      <c r="D383" s="19">
        <v>101</v>
      </c>
      <c r="E383" s="19">
        <v>564</v>
      </c>
      <c r="F383" s="19">
        <v>2.21</v>
      </c>
      <c r="G383" s="19">
        <v>0</v>
      </c>
      <c r="H383" s="19">
        <v>2.21</v>
      </c>
      <c r="I383" s="20">
        <v>2.21</v>
      </c>
      <c r="J383" s="19">
        <f t="shared" si="41"/>
        <v>0</v>
      </c>
      <c r="K383" s="19">
        <f t="shared" si="42"/>
        <v>0</v>
      </c>
      <c r="L383" s="19">
        <v>-1.57E-3</v>
      </c>
      <c r="M383" s="19">
        <v>-1.81E-3</v>
      </c>
      <c r="N383" s="19">
        <v>-2.63E-3</v>
      </c>
      <c r="O383" s="19">
        <v>-3.3E-3</v>
      </c>
      <c r="P383" s="19">
        <v>-3.3700000000000002E-3</v>
      </c>
      <c r="Q383" s="19">
        <v>-3.2499999999999999E-3</v>
      </c>
      <c r="R383" s="19"/>
      <c r="S383" s="19">
        <f t="shared" si="43"/>
        <v>0</v>
      </c>
      <c r="T383" s="19">
        <f t="shared" si="44"/>
        <v>0</v>
      </c>
      <c r="U383" s="19">
        <f t="shared" si="45"/>
        <v>0</v>
      </c>
      <c r="V383" s="19">
        <f t="shared" si="46"/>
        <v>0</v>
      </c>
      <c r="W383" s="19">
        <f t="shared" si="47"/>
        <v>0</v>
      </c>
      <c r="X383" s="21">
        <f t="shared" si="48"/>
        <v>0</v>
      </c>
    </row>
    <row r="384" spans="1:24" ht="13.5" x14ac:dyDescent="0.35">
      <c r="A384" s="18">
        <v>105351</v>
      </c>
      <c r="B384" s="19" t="s">
        <v>213</v>
      </c>
      <c r="C384" s="19">
        <v>0.69</v>
      </c>
      <c r="D384" s="19">
        <v>101</v>
      </c>
      <c r="E384" s="19">
        <v>564</v>
      </c>
      <c r="F384" s="19">
        <v>2.21</v>
      </c>
      <c r="G384" s="19">
        <v>0</v>
      </c>
      <c r="H384" s="19">
        <v>2.21</v>
      </c>
      <c r="I384" s="20">
        <v>2.21</v>
      </c>
      <c r="J384" s="19">
        <f t="shared" si="41"/>
        <v>0</v>
      </c>
      <c r="K384" s="19">
        <f t="shared" si="42"/>
        <v>0</v>
      </c>
      <c r="L384" s="19">
        <v>-1.57E-3</v>
      </c>
      <c r="M384" s="19">
        <v>-1.81E-3</v>
      </c>
      <c r="N384" s="19">
        <v>-2.63E-3</v>
      </c>
      <c r="O384" s="19">
        <v>-3.3E-3</v>
      </c>
      <c r="P384" s="19">
        <v>-3.3700000000000002E-3</v>
      </c>
      <c r="Q384" s="19">
        <v>-3.2499999999999999E-3</v>
      </c>
      <c r="R384" s="19"/>
      <c r="S384" s="19">
        <f t="shared" si="43"/>
        <v>0</v>
      </c>
      <c r="T384" s="19">
        <f t="shared" si="44"/>
        <v>0</v>
      </c>
      <c r="U384" s="19">
        <f t="shared" si="45"/>
        <v>0</v>
      </c>
      <c r="V384" s="19">
        <f t="shared" si="46"/>
        <v>0</v>
      </c>
      <c r="W384" s="19">
        <f t="shared" si="47"/>
        <v>0</v>
      </c>
      <c r="X384" s="21">
        <f t="shared" si="48"/>
        <v>0</v>
      </c>
    </row>
    <row r="385" spans="1:24" ht="13.5" x14ac:dyDescent="0.35">
      <c r="A385" s="18">
        <v>109072</v>
      </c>
      <c r="B385" s="19" t="s">
        <v>277</v>
      </c>
      <c r="C385" s="19">
        <v>4.16</v>
      </c>
      <c r="D385" s="19">
        <v>101</v>
      </c>
      <c r="E385" s="19">
        <v>704</v>
      </c>
      <c r="F385" s="19">
        <v>0</v>
      </c>
      <c r="G385" s="19">
        <v>0</v>
      </c>
      <c r="H385" s="19">
        <v>0</v>
      </c>
      <c r="I385" s="20">
        <v>0</v>
      </c>
      <c r="J385" s="19">
        <f t="shared" si="41"/>
        <v>0</v>
      </c>
      <c r="K385" s="19">
        <f t="shared" si="42"/>
        <v>0</v>
      </c>
      <c r="L385" s="19">
        <v>-1.6299999999999999E-3</v>
      </c>
      <c r="M385" s="19">
        <v>-1.8500000000000001E-3</v>
      </c>
      <c r="N385" s="19">
        <v>-2.66E-3</v>
      </c>
      <c r="O385" s="19">
        <v>-3.32E-3</v>
      </c>
      <c r="P385" s="19">
        <v>-3.3999999999999998E-3</v>
      </c>
      <c r="Q385" s="19">
        <v>-3.2699999999999999E-3</v>
      </c>
      <c r="R385" s="19"/>
      <c r="S385" s="19">
        <f t="shared" si="43"/>
        <v>0</v>
      </c>
      <c r="T385" s="19">
        <f t="shared" si="44"/>
        <v>0</v>
      </c>
      <c r="U385" s="19">
        <f t="shared" si="45"/>
        <v>0</v>
      </c>
      <c r="V385" s="19">
        <f t="shared" si="46"/>
        <v>0</v>
      </c>
      <c r="W385" s="19">
        <f t="shared" si="47"/>
        <v>0</v>
      </c>
      <c r="X385" s="21">
        <f t="shared" si="48"/>
        <v>0</v>
      </c>
    </row>
    <row r="386" spans="1:24" ht="13.5" x14ac:dyDescent="0.35">
      <c r="A386" s="18">
        <v>114861</v>
      </c>
      <c r="B386" s="19" t="s">
        <v>440</v>
      </c>
      <c r="C386" s="19">
        <v>21</v>
      </c>
      <c r="D386" s="19">
        <v>101</v>
      </c>
      <c r="E386" s="19">
        <v>1140</v>
      </c>
      <c r="F386" s="19">
        <v>272.39</v>
      </c>
      <c r="G386" s="19">
        <v>0</v>
      </c>
      <c r="H386" s="19">
        <v>272.39</v>
      </c>
      <c r="I386" s="20">
        <v>272.39</v>
      </c>
      <c r="J386" s="19">
        <f t="shared" si="41"/>
        <v>0</v>
      </c>
      <c r="K386" s="19">
        <f t="shared" si="42"/>
        <v>0</v>
      </c>
      <c r="L386" s="19">
        <v>-1.7099999999999999E-3</v>
      </c>
      <c r="M386" s="19">
        <v>-2.3400000000000001E-3</v>
      </c>
      <c r="N386" s="19">
        <v>-6.6699999999999997E-3</v>
      </c>
      <c r="O386" s="19">
        <v>-9.2700000000000005E-3</v>
      </c>
      <c r="P386" s="19">
        <v>1.48E-3</v>
      </c>
      <c r="Q386" s="19">
        <v>-9.1900000000000003E-3</v>
      </c>
      <c r="R386" s="19"/>
      <c r="S386" s="19">
        <f t="shared" si="43"/>
        <v>0</v>
      </c>
      <c r="T386" s="19">
        <f t="shared" si="44"/>
        <v>0</v>
      </c>
      <c r="U386" s="19">
        <f t="shared" si="45"/>
        <v>0</v>
      </c>
      <c r="V386" s="19">
        <f t="shared" si="46"/>
        <v>0</v>
      </c>
      <c r="W386" s="19">
        <f t="shared" si="47"/>
        <v>0</v>
      </c>
      <c r="X386" s="21">
        <f t="shared" si="48"/>
        <v>0</v>
      </c>
    </row>
    <row r="387" spans="1:24" ht="13.5" x14ac:dyDescent="0.35">
      <c r="A387" s="18">
        <v>109076</v>
      </c>
      <c r="B387" s="19" t="s">
        <v>278</v>
      </c>
      <c r="C387" s="19">
        <v>4.16</v>
      </c>
      <c r="D387" s="19">
        <v>101</v>
      </c>
      <c r="E387" s="19">
        <v>704</v>
      </c>
      <c r="F387" s="19">
        <v>0</v>
      </c>
      <c r="G387" s="19">
        <v>0</v>
      </c>
      <c r="H387" s="19">
        <v>0</v>
      </c>
      <c r="I387" s="20">
        <v>0</v>
      </c>
      <c r="J387" s="19">
        <f t="shared" si="41"/>
        <v>0</v>
      </c>
      <c r="K387" s="19">
        <f t="shared" si="42"/>
        <v>0</v>
      </c>
      <c r="L387" s="19">
        <v>-1.72E-3</v>
      </c>
      <c r="M387" s="19">
        <v>-1.9300000000000001E-3</v>
      </c>
      <c r="N387" s="19">
        <v>-2.7599999999999999E-3</v>
      </c>
      <c r="O387" s="19">
        <v>-3.4199999999999999E-3</v>
      </c>
      <c r="P387" s="19">
        <v>-3.5100000000000001E-3</v>
      </c>
      <c r="Q387" s="19">
        <v>-3.3800000000000002E-3</v>
      </c>
      <c r="R387" s="19"/>
      <c r="S387" s="19">
        <f t="shared" si="43"/>
        <v>0</v>
      </c>
      <c r="T387" s="19">
        <f t="shared" si="44"/>
        <v>0</v>
      </c>
      <c r="U387" s="19">
        <f t="shared" si="45"/>
        <v>0</v>
      </c>
      <c r="V387" s="19">
        <f t="shared" si="46"/>
        <v>0</v>
      </c>
      <c r="W387" s="19">
        <f t="shared" si="47"/>
        <v>0</v>
      </c>
      <c r="X387" s="21">
        <f t="shared" si="48"/>
        <v>0</v>
      </c>
    </row>
    <row r="388" spans="1:24" ht="13.5" x14ac:dyDescent="0.35">
      <c r="A388" s="18">
        <v>105731</v>
      </c>
      <c r="B388" s="19" t="s">
        <v>236</v>
      </c>
      <c r="C388" s="19">
        <v>0.69</v>
      </c>
      <c r="D388" s="19">
        <v>101</v>
      </c>
      <c r="E388" s="19">
        <v>684</v>
      </c>
      <c r="F388" s="19">
        <v>0</v>
      </c>
      <c r="G388" s="19">
        <v>0</v>
      </c>
      <c r="H388" s="19">
        <v>0</v>
      </c>
      <c r="I388" s="20">
        <v>0</v>
      </c>
      <c r="J388" s="19">
        <f t="shared" si="41"/>
        <v>0</v>
      </c>
      <c r="K388" s="19">
        <f t="shared" si="42"/>
        <v>0</v>
      </c>
      <c r="L388" s="19">
        <v>-1.73E-3</v>
      </c>
      <c r="M388" s="19">
        <v>-1.9400000000000001E-3</v>
      </c>
      <c r="N388" s="19">
        <v>-2.8E-3</v>
      </c>
      <c r="O388" s="19">
        <v>-3.48E-3</v>
      </c>
      <c r="P388" s="19">
        <v>-3.5599999999999998E-3</v>
      </c>
      <c r="Q388" s="19">
        <v>-3.4299999999999999E-3</v>
      </c>
      <c r="R388" s="19"/>
      <c r="S388" s="19">
        <f t="shared" si="43"/>
        <v>0</v>
      </c>
      <c r="T388" s="19">
        <f t="shared" si="44"/>
        <v>0</v>
      </c>
      <c r="U388" s="19">
        <f t="shared" si="45"/>
        <v>0</v>
      </c>
      <c r="V388" s="19">
        <f t="shared" si="46"/>
        <v>0</v>
      </c>
      <c r="W388" s="19">
        <f t="shared" si="47"/>
        <v>0</v>
      </c>
      <c r="X388" s="21">
        <f t="shared" si="48"/>
        <v>0</v>
      </c>
    </row>
    <row r="389" spans="1:24" ht="13.5" x14ac:dyDescent="0.35">
      <c r="A389" s="18">
        <v>109080</v>
      </c>
      <c r="B389" s="19" t="s">
        <v>281</v>
      </c>
      <c r="C389" s="19">
        <v>4.16</v>
      </c>
      <c r="D389" s="19">
        <v>101</v>
      </c>
      <c r="E389" s="19">
        <v>704</v>
      </c>
      <c r="F389" s="19">
        <v>0</v>
      </c>
      <c r="G389" s="19">
        <v>0</v>
      </c>
      <c r="H389" s="19">
        <v>0</v>
      </c>
      <c r="I389" s="20">
        <v>0</v>
      </c>
      <c r="J389" s="19">
        <f t="shared" si="41"/>
        <v>0</v>
      </c>
      <c r="K389" s="19">
        <f t="shared" si="42"/>
        <v>0</v>
      </c>
      <c r="L389" s="19">
        <v>-1.7600000000000001E-3</v>
      </c>
      <c r="M389" s="19">
        <v>-1.9599999999999999E-3</v>
      </c>
      <c r="N389" s="19">
        <v>-2.8E-3</v>
      </c>
      <c r="O389" s="19">
        <v>-3.47E-3</v>
      </c>
      <c r="P389" s="19">
        <v>-3.5500000000000002E-3</v>
      </c>
      <c r="Q389" s="19">
        <v>-3.4199999999999999E-3</v>
      </c>
      <c r="R389" s="19"/>
      <c r="S389" s="19">
        <f t="shared" si="43"/>
        <v>0</v>
      </c>
      <c r="T389" s="19">
        <f t="shared" si="44"/>
        <v>0</v>
      </c>
      <c r="U389" s="19">
        <f t="shared" si="45"/>
        <v>0</v>
      </c>
      <c r="V389" s="19">
        <f t="shared" si="46"/>
        <v>0</v>
      </c>
      <c r="W389" s="19">
        <f t="shared" si="47"/>
        <v>0</v>
      </c>
      <c r="X389" s="21">
        <f t="shared" si="48"/>
        <v>0</v>
      </c>
    </row>
    <row r="390" spans="1:24" ht="13.5" x14ac:dyDescent="0.35">
      <c r="A390" s="18">
        <v>109321</v>
      </c>
      <c r="B390" s="19" t="s">
        <v>317</v>
      </c>
      <c r="C390" s="19">
        <v>13.8</v>
      </c>
      <c r="D390" s="19">
        <v>101</v>
      </c>
      <c r="E390" s="19">
        <v>704</v>
      </c>
      <c r="F390" s="19">
        <v>0</v>
      </c>
      <c r="G390" s="19">
        <v>0</v>
      </c>
      <c r="H390" s="19">
        <v>0</v>
      </c>
      <c r="I390" s="20">
        <v>0</v>
      </c>
      <c r="J390" s="19">
        <f t="shared" si="41"/>
        <v>0</v>
      </c>
      <c r="K390" s="19">
        <f t="shared" si="42"/>
        <v>0</v>
      </c>
      <c r="L390" s="19">
        <v>-1.8500000000000001E-3</v>
      </c>
      <c r="M390" s="19">
        <v>-2.0400000000000001E-3</v>
      </c>
      <c r="N390" s="19">
        <v>-2.8900000000000002E-3</v>
      </c>
      <c r="O390" s="19">
        <v>-3.5599999999999998E-3</v>
      </c>
      <c r="P390" s="19">
        <v>-3.6600000000000001E-3</v>
      </c>
      <c r="Q390" s="19">
        <v>-3.5100000000000001E-3</v>
      </c>
      <c r="R390" s="19"/>
      <c r="S390" s="19">
        <f t="shared" si="43"/>
        <v>0</v>
      </c>
      <c r="T390" s="19">
        <f t="shared" si="44"/>
        <v>0</v>
      </c>
      <c r="U390" s="19">
        <f t="shared" si="45"/>
        <v>0</v>
      </c>
      <c r="V390" s="19">
        <f t="shared" si="46"/>
        <v>0</v>
      </c>
      <c r="W390" s="19">
        <f t="shared" si="47"/>
        <v>0</v>
      </c>
      <c r="X390" s="21">
        <f t="shared" si="48"/>
        <v>0</v>
      </c>
    </row>
    <row r="391" spans="1:24" ht="13.5" x14ac:dyDescent="0.35">
      <c r="A391" s="18">
        <v>108905</v>
      </c>
      <c r="B391" s="19" t="s">
        <v>261</v>
      </c>
      <c r="C391" s="19">
        <v>0.65</v>
      </c>
      <c r="D391" s="19">
        <v>101</v>
      </c>
      <c r="E391" s="19">
        <v>704</v>
      </c>
      <c r="F391" s="19">
        <v>12</v>
      </c>
      <c r="G391" s="19">
        <v>0</v>
      </c>
      <c r="H391" s="19">
        <v>12</v>
      </c>
      <c r="I391" s="20">
        <v>12</v>
      </c>
      <c r="J391" s="19">
        <f t="shared" si="41"/>
        <v>0</v>
      </c>
      <c r="K391" s="19">
        <f t="shared" si="42"/>
        <v>0</v>
      </c>
      <c r="L391" s="19">
        <v>-1.8600000000000001E-3</v>
      </c>
      <c r="M391" s="19">
        <v>-2.0400000000000001E-3</v>
      </c>
      <c r="N391" s="19">
        <v>-2.8999999999999998E-3</v>
      </c>
      <c r="O391" s="19">
        <v>-3.5699999999999998E-3</v>
      </c>
      <c r="P391" s="19">
        <v>-3.6700000000000001E-3</v>
      </c>
      <c r="Q391" s="19">
        <v>-3.5200000000000001E-3</v>
      </c>
      <c r="R391" s="19"/>
      <c r="S391" s="19">
        <f t="shared" si="43"/>
        <v>0</v>
      </c>
      <c r="T391" s="19">
        <f t="shared" si="44"/>
        <v>0</v>
      </c>
      <c r="U391" s="19">
        <f t="shared" si="45"/>
        <v>0</v>
      </c>
      <c r="V391" s="19">
        <f t="shared" si="46"/>
        <v>0</v>
      </c>
      <c r="W391" s="19">
        <f t="shared" si="47"/>
        <v>0</v>
      </c>
      <c r="X391" s="21">
        <f t="shared" si="48"/>
        <v>0</v>
      </c>
    </row>
    <row r="392" spans="1:24" ht="13.5" x14ac:dyDescent="0.35">
      <c r="A392" s="18">
        <v>108895</v>
      </c>
      <c r="B392" s="19" t="s">
        <v>258</v>
      </c>
      <c r="C392" s="19">
        <v>13.2</v>
      </c>
      <c r="D392" s="19">
        <v>101</v>
      </c>
      <c r="E392" s="19">
        <v>704</v>
      </c>
      <c r="F392" s="19">
        <v>0</v>
      </c>
      <c r="G392" s="19">
        <v>0</v>
      </c>
      <c r="H392" s="19">
        <v>0</v>
      </c>
      <c r="I392" s="20">
        <v>0</v>
      </c>
      <c r="J392" s="19">
        <f t="shared" si="41"/>
        <v>0</v>
      </c>
      <c r="K392" s="19">
        <f t="shared" si="42"/>
        <v>0</v>
      </c>
      <c r="L392" s="19">
        <v>-1.89E-3</v>
      </c>
      <c r="M392" s="19">
        <v>-2.0699999999999998E-3</v>
      </c>
      <c r="N392" s="19">
        <v>-2.9299999999999999E-3</v>
      </c>
      <c r="O392" s="19">
        <v>-3.5999999999999999E-3</v>
      </c>
      <c r="P392" s="19">
        <v>-3.7000000000000002E-3</v>
      </c>
      <c r="Q392" s="19">
        <v>-3.5500000000000002E-3</v>
      </c>
      <c r="R392" s="19"/>
      <c r="S392" s="19">
        <f t="shared" si="43"/>
        <v>0</v>
      </c>
      <c r="T392" s="19">
        <f t="shared" si="44"/>
        <v>0</v>
      </c>
      <c r="U392" s="19">
        <f t="shared" si="45"/>
        <v>0</v>
      </c>
      <c r="V392" s="19">
        <f t="shared" si="46"/>
        <v>0</v>
      </c>
      <c r="W392" s="19">
        <f t="shared" si="47"/>
        <v>0</v>
      </c>
      <c r="X392" s="21">
        <f t="shared" si="48"/>
        <v>0</v>
      </c>
    </row>
    <row r="393" spans="1:24" ht="13.5" x14ac:dyDescent="0.35">
      <c r="A393" s="18">
        <v>109234</v>
      </c>
      <c r="B393" s="19" t="s">
        <v>305</v>
      </c>
      <c r="C393" s="19">
        <v>4.16</v>
      </c>
      <c r="D393" s="19">
        <v>101</v>
      </c>
      <c r="E393" s="19">
        <v>704</v>
      </c>
      <c r="F393" s="19">
        <v>0</v>
      </c>
      <c r="G393" s="19">
        <v>0</v>
      </c>
      <c r="H393" s="19">
        <v>0</v>
      </c>
      <c r="I393" s="20">
        <v>0</v>
      </c>
      <c r="J393" s="19">
        <f t="shared" si="41"/>
        <v>0</v>
      </c>
      <c r="K393" s="19">
        <f t="shared" si="42"/>
        <v>0</v>
      </c>
      <c r="L393" s="19">
        <v>-1.9499999999999999E-3</v>
      </c>
      <c r="M393" s="19">
        <v>-2.1199999999999999E-3</v>
      </c>
      <c r="N393" s="19">
        <v>-2.99E-3</v>
      </c>
      <c r="O393" s="19">
        <v>-3.6600000000000001E-3</v>
      </c>
      <c r="P393" s="19">
        <v>-3.7699999999999999E-3</v>
      </c>
      <c r="Q393" s="19">
        <v>-3.62E-3</v>
      </c>
      <c r="R393" s="19"/>
      <c r="S393" s="19">
        <f t="shared" si="43"/>
        <v>0</v>
      </c>
      <c r="T393" s="19">
        <f t="shared" si="44"/>
        <v>0</v>
      </c>
      <c r="U393" s="19">
        <f t="shared" si="45"/>
        <v>0</v>
      </c>
      <c r="V393" s="19">
        <f t="shared" si="46"/>
        <v>0</v>
      </c>
      <c r="W393" s="19">
        <f t="shared" si="47"/>
        <v>0</v>
      </c>
      <c r="X393" s="21">
        <f t="shared" si="48"/>
        <v>0</v>
      </c>
    </row>
    <row r="394" spans="1:24" ht="13.5" x14ac:dyDescent="0.35">
      <c r="A394" s="18">
        <v>109277</v>
      </c>
      <c r="B394" s="19" t="s">
        <v>311</v>
      </c>
      <c r="C394" s="19">
        <v>4.16</v>
      </c>
      <c r="D394" s="19">
        <v>101</v>
      </c>
      <c r="E394" s="19">
        <v>704</v>
      </c>
      <c r="F394" s="19">
        <v>0</v>
      </c>
      <c r="G394" s="19">
        <v>0</v>
      </c>
      <c r="H394" s="19">
        <v>0</v>
      </c>
      <c r="I394" s="20">
        <v>0</v>
      </c>
      <c r="J394" s="19">
        <f t="shared" si="41"/>
        <v>0</v>
      </c>
      <c r="K394" s="19">
        <f t="shared" si="42"/>
        <v>0</v>
      </c>
      <c r="L394" s="19">
        <v>-1.9599999999999999E-3</v>
      </c>
      <c r="M394" s="19">
        <v>-2.1299999999999999E-3</v>
      </c>
      <c r="N394" s="19">
        <v>-3.0000000000000001E-3</v>
      </c>
      <c r="O394" s="19">
        <v>-3.6700000000000001E-3</v>
      </c>
      <c r="P394" s="19">
        <v>-3.7799999999999999E-3</v>
      </c>
      <c r="Q394" s="19">
        <v>-3.63E-3</v>
      </c>
      <c r="R394" s="19"/>
      <c r="S394" s="19">
        <f t="shared" si="43"/>
        <v>0</v>
      </c>
      <c r="T394" s="19">
        <f t="shared" si="44"/>
        <v>0</v>
      </c>
      <c r="U394" s="19">
        <f t="shared" si="45"/>
        <v>0</v>
      </c>
      <c r="V394" s="19">
        <f t="shared" si="46"/>
        <v>0</v>
      </c>
      <c r="W394" s="19">
        <f t="shared" si="47"/>
        <v>0</v>
      </c>
      <c r="X394" s="21">
        <f t="shared" si="48"/>
        <v>0</v>
      </c>
    </row>
    <row r="395" spans="1:24" ht="13.5" x14ac:dyDescent="0.35">
      <c r="A395" s="18">
        <v>105726</v>
      </c>
      <c r="B395" s="19" t="s">
        <v>235</v>
      </c>
      <c r="C395" s="19">
        <v>2.4</v>
      </c>
      <c r="D395" s="19">
        <v>101</v>
      </c>
      <c r="E395" s="19">
        <v>684</v>
      </c>
      <c r="F395" s="19">
        <v>0</v>
      </c>
      <c r="G395" s="19">
        <v>0</v>
      </c>
      <c r="H395" s="19">
        <v>0</v>
      </c>
      <c r="I395" s="20">
        <v>0</v>
      </c>
      <c r="J395" s="19">
        <f t="shared" si="41"/>
        <v>0</v>
      </c>
      <c r="K395" s="19">
        <f t="shared" si="42"/>
        <v>0</v>
      </c>
      <c r="L395" s="19">
        <v>-1.98E-3</v>
      </c>
      <c r="M395" s="19">
        <v>-2.15E-3</v>
      </c>
      <c r="N395" s="19">
        <v>-3.0599999999999998E-3</v>
      </c>
      <c r="O395" s="19">
        <v>-3.7499999999999999E-3</v>
      </c>
      <c r="P395" s="19">
        <v>-3.8600000000000001E-3</v>
      </c>
      <c r="Q395" s="19">
        <v>-3.7000000000000002E-3</v>
      </c>
      <c r="R395" s="19"/>
      <c r="S395" s="19">
        <f t="shared" si="43"/>
        <v>0</v>
      </c>
      <c r="T395" s="19">
        <f t="shared" si="44"/>
        <v>0</v>
      </c>
      <c r="U395" s="19">
        <f t="shared" si="45"/>
        <v>0</v>
      </c>
      <c r="V395" s="19">
        <f t="shared" si="46"/>
        <v>0</v>
      </c>
      <c r="W395" s="19">
        <f t="shared" si="47"/>
        <v>0</v>
      </c>
      <c r="X395" s="21">
        <f t="shared" si="48"/>
        <v>0</v>
      </c>
    </row>
    <row r="396" spans="1:24" ht="13.5" x14ac:dyDescent="0.35">
      <c r="A396" s="18">
        <v>109104</v>
      </c>
      <c r="B396" s="19" t="s">
        <v>286</v>
      </c>
      <c r="C396" s="19">
        <v>4.16</v>
      </c>
      <c r="D396" s="19">
        <v>101</v>
      </c>
      <c r="E396" s="19">
        <v>704</v>
      </c>
      <c r="F396" s="19">
        <v>0</v>
      </c>
      <c r="G396" s="19">
        <v>0</v>
      </c>
      <c r="H396" s="19">
        <v>0</v>
      </c>
      <c r="I396" s="20">
        <v>0</v>
      </c>
      <c r="J396" s="19">
        <f t="shared" si="41"/>
        <v>0</v>
      </c>
      <c r="K396" s="19">
        <f t="shared" si="42"/>
        <v>0</v>
      </c>
      <c r="L396" s="19">
        <v>-2.0400000000000001E-3</v>
      </c>
      <c r="M396" s="19">
        <v>-2.1900000000000001E-3</v>
      </c>
      <c r="N396" s="19">
        <v>-3.0799999999999998E-3</v>
      </c>
      <c r="O396" s="19">
        <v>-3.7499999999999999E-3</v>
      </c>
      <c r="P396" s="19">
        <v>-3.8700000000000002E-3</v>
      </c>
      <c r="Q396" s="19">
        <v>-3.7100000000000002E-3</v>
      </c>
      <c r="R396" s="19"/>
      <c r="S396" s="19">
        <f t="shared" si="43"/>
        <v>0</v>
      </c>
      <c r="T396" s="19">
        <f t="shared" si="44"/>
        <v>0</v>
      </c>
      <c r="U396" s="19">
        <f t="shared" si="45"/>
        <v>0</v>
      </c>
      <c r="V396" s="19">
        <f t="shared" si="46"/>
        <v>0</v>
      </c>
      <c r="W396" s="19">
        <f t="shared" si="47"/>
        <v>0</v>
      </c>
      <c r="X396" s="21">
        <f t="shared" si="48"/>
        <v>0</v>
      </c>
    </row>
    <row r="397" spans="1:24" ht="13.5" x14ac:dyDescent="0.35">
      <c r="A397" s="18">
        <v>108898</v>
      </c>
      <c r="B397" s="19" t="s">
        <v>259</v>
      </c>
      <c r="C397" s="19">
        <v>0.69</v>
      </c>
      <c r="D397" s="19">
        <v>101</v>
      </c>
      <c r="E397" s="19">
        <v>704</v>
      </c>
      <c r="F397" s="19">
        <v>0</v>
      </c>
      <c r="G397" s="19">
        <v>0</v>
      </c>
      <c r="H397" s="19">
        <v>0</v>
      </c>
      <c r="I397" s="20">
        <v>0</v>
      </c>
      <c r="J397" s="19">
        <f t="shared" si="41"/>
        <v>0</v>
      </c>
      <c r="K397" s="19">
        <f t="shared" si="42"/>
        <v>0</v>
      </c>
      <c r="L397" s="19">
        <v>-2.2200000000000002E-3</v>
      </c>
      <c r="M397" s="19">
        <v>-2.3400000000000001E-3</v>
      </c>
      <c r="N397" s="19">
        <v>-3.2599999999999999E-3</v>
      </c>
      <c r="O397" s="19">
        <v>-3.9399999999999999E-3</v>
      </c>
      <c r="P397" s="19">
        <v>-4.0699999999999998E-3</v>
      </c>
      <c r="Q397" s="19">
        <v>-3.8999999999999998E-3</v>
      </c>
      <c r="R397" s="19"/>
      <c r="S397" s="19">
        <f t="shared" si="43"/>
        <v>0</v>
      </c>
      <c r="T397" s="19">
        <f t="shared" si="44"/>
        <v>0</v>
      </c>
      <c r="U397" s="19">
        <f t="shared" si="45"/>
        <v>0</v>
      </c>
      <c r="V397" s="19">
        <f t="shared" si="46"/>
        <v>0</v>
      </c>
      <c r="W397" s="19">
        <f t="shared" si="47"/>
        <v>0</v>
      </c>
      <c r="X397" s="21">
        <f t="shared" si="48"/>
        <v>0</v>
      </c>
    </row>
    <row r="398" spans="1:24" ht="13.5" x14ac:dyDescent="0.35">
      <c r="A398" s="18">
        <v>108899</v>
      </c>
      <c r="B398" s="19" t="s">
        <v>260</v>
      </c>
      <c r="C398" s="19">
        <v>0.69</v>
      </c>
      <c r="D398" s="19">
        <v>101</v>
      </c>
      <c r="E398" s="19">
        <v>704</v>
      </c>
      <c r="F398" s="19">
        <v>0</v>
      </c>
      <c r="G398" s="19">
        <v>0</v>
      </c>
      <c r="H398" s="19">
        <v>0</v>
      </c>
      <c r="I398" s="20">
        <v>0</v>
      </c>
      <c r="J398" s="19">
        <f t="shared" si="41"/>
        <v>0</v>
      </c>
      <c r="K398" s="19">
        <f t="shared" si="42"/>
        <v>0</v>
      </c>
      <c r="L398" s="19">
        <v>-2.2200000000000002E-3</v>
      </c>
      <c r="M398" s="19">
        <v>-2.3400000000000001E-3</v>
      </c>
      <c r="N398" s="19">
        <v>-3.2599999999999999E-3</v>
      </c>
      <c r="O398" s="19">
        <v>-3.9399999999999999E-3</v>
      </c>
      <c r="P398" s="19">
        <v>-4.0699999999999998E-3</v>
      </c>
      <c r="Q398" s="19">
        <v>-3.8999999999999998E-3</v>
      </c>
      <c r="R398" s="19"/>
      <c r="S398" s="19">
        <f t="shared" si="43"/>
        <v>0</v>
      </c>
      <c r="T398" s="19">
        <f t="shared" si="44"/>
        <v>0</v>
      </c>
      <c r="U398" s="19">
        <f t="shared" si="45"/>
        <v>0</v>
      </c>
      <c r="V398" s="19">
        <f t="shared" si="46"/>
        <v>0</v>
      </c>
      <c r="W398" s="19">
        <f t="shared" si="47"/>
        <v>0</v>
      </c>
      <c r="X398" s="21">
        <f t="shared" si="48"/>
        <v>0</v>
      </c>
    </row>
    <row r="399" spans="1:24" ht="13.5" x14ac:dyDescent="0.35">
      <c r="A399" s="18">
        <v>109102</v>
      </c>
      <c r="B399" s="19" t="s">
        <v>284</v>
      </c>
      <c r="C399" s="19">
        <v>7.2</v>
      </c>
      <c r="D399" s="19">
        <v>101</v>
      </c>
      <c r="E399" s="19">
        <v>704</v>
      </c>
      <c r="F399" s="19">
        <v>0</v>
      </c>
      <c r="G399" s="19">
        <v>0</v>
      </c>
      <c r="H399" s="19">
        <v>0</v>
      </c>
      <c r="I399" s="20">
        <v>0</v>
      </c>
      <c r="J399" s="19">
        <f t="shared" ref="J399:J462" si="49">I399-F399</f>
        <v>0</v>
      </c>
      <c r="K399" s="19">
        <f t="shared" ref="K399:K462" si="50">H399-I399</f>
        <v>0</v>
      </c>
      <c r="L399" s="19">
        <v>-2.2300000000000002E-3</v>
      </c>
      <c r="M399" s="19">
        <v>-2.3500000000000001E-3</v>
      </c>
      <c r="N399" s="19">
        <v>-3.2699999999999999E-3</v>
      </c>
      <c r="O399" s="19">
        <v>-3.9399999999999999E-3</v>
      </c>
      <c r="P399" s="19">
        <v>-4.0800000000000003E-3</v>
      </c>
      <c r="Q399" s="19">
        <v>-3.8999999999999998E-3</v>
      </c>
      <c r="R399" s="19"/>
      <c r="S399" s="19">
        <f t="shared" ref="S399:S462" si="51">L399*J399</f>
        <v>0</v>
      </c>
      <c r="T399" s="19">
        <f t="shared" ref="T399:T462" si="52">M399*J399</f>
        <v>0</v>
      </c>
      <c r="U399" s="19">
        <f t="shared" ref="U399:U462" si="53">N399*J399</f>
        <v>0</v>
      </c>
      <c r="V399" s="19">
        <f t="shared" ref="V399:V462" si="54">O399*J399</f>
        <v>0</v>
      </c>
      <c r="W399" s="19">
        <f t="shared" ref="W399:W462" si="55">P399*J399</f>
        <v>0</v>
      </c>
      <c r="X399" s="21">
        <f t="shared" ref="X399:X462" si="56">Q399*J399</f>
        <v>0</v>
      </c>
    </row>
    <row r="400" spans="1:24" ht="13.5" x14ac:dyDescent="0.35">
      <c r="A400" s="18">
        <v>911550</v>
      </c>
      <c r="B400" s="19" t="s">
        <v>645</v>
      </c>
      <c r="C400" s="19">
        <v>345</v>
      </c>
      <c r="D400" s="19">
        <v>101</v>
      </c>
      <c r="E400" s="19">
        <v>1120</v>
      </c>
      <c r="F400" s="19">
        <v>941</v>
      </c>
      <c r="G400" s="19">
        <v>0</v>
      </c>
      <c r="H400" s="19">
        <v>1400</v>
      </c>
      <c r="I400" s="20">
        <v>941</v>
      </c>
      <c r="J400" s="19">
        <f t="shared" si="49"/>
        <v>0</v>
      </c>
      <c r="K400" s="19">
        <f t="shared" si="50"/>
        <v>459</v>
      </c>
      <c r="L400" s="19">
        <v>-2.2499999999999998E-3</v>
      </c>
      <c r="M400" s="19">
        <v>-2.4399999999999999E-3</v>
      </c>
      <c r="N400" s="19">
        <v>-3.5500000000000002E-3</v>
      </c>
      <c r="O400" s="19">
        <v>-4.3699999999999998E-3</v>
      </c>
      <c r="P400" s="19">
        <v>-4.4900000000000001E-3</v>
      </c>
      <c r="Q400" s="19">
        <v>-4.3200000000000001E-3</v>
      </c>
      <c r="R400" s="19"/>
      <c r="S400" s="19">
        <f t="shared" si="51"/>
        <v>0</v>
      </c>
      <c r="T400" s="19">
        <f t="shared" si="52"/>
        <v>0</v>
      </c>
      <c r="U400" s="19">
        <f t="shared" si="53"/>
        <v>0</v>
      </c>
      <c r="V400" s="19">
        <f t="shared" si="54"/>
        <v>0</v>
      </c>
      <c r="W400" s="19">
        <f t="shared" si="55"/>
        <v>0</v>
      </c>
      <c r="X400" s="21">
        <f t="shared" si="56"/>
        <v>0</v>
      </c>
    </row>
    <row r="401" spans="1:24" ht="13.5" x14ac:dyDescent="0.35">
      <c r="A401" s="18">
        <v>106048</v>
      </c>
      <c r="B401" s="19" t="s">
        <v>247</v>
      </c>
      <c r="C401" s="19">
        <v>2.4</v>
      </c>
      <c r="D401" s="19">
        <v>101</v>
      </c>
      <c r="E401" s="19">
        <v>400</v>
      </c>
      <c r="F401" s="19">
        <v>0</v>
      </c>
      <c r="G401" s="19">
        <v>0</v>
      </c>
      <c r="H401" s="19">
        <v>0</v>
      </c>
      <c r="I401" s="20">
        <v>0</v>
      </c>
      <c r="J401" s="19">
        <f t="shared" si="49"/>
        <v>0</v>
      </c>
      <c r="K401" s="19">
        <f t="shared" si="50"/>
        <v>0</v>
      </c>
      <c r="L401" s="19">
        <v>-2.4099999999999998E-3</v>
      </c>
      <c r="M401" s="19">
        <v>-2.5000000000000001E-3</v>
      </c>
      <c r="N401" s="19">
        <v>-3.46E-3</v>
      </c>
      <c r="O401" s="19">
        <v>-4.1399999999999996E-3</v>
      </c>
      <c r="P401" s="19">
        <v>-4.2900000000000004E-3</v>
      </c>
      <c r="Q401" s="19">
        <v>-4.1000000000000003E-3</v>
      </c>
      <c r="R401" s="19"/>
      <c r="S401" s="19">
        <f t="shared" si="51"/>
        <v>0</v>
      </c>
      <c r="T401" s="19">
        <f t="shared" si="52"/>
        <v>0</v>
      </c>
      <c r="U401" s="19">
        <f t="shared" si="53"/>
        <v>0</v>
      </c>
      <c r="V401" s="19">
        <f t="shared" si="54"/>
        <v>0</v>
      </c>
      <c r="W401" s="19">
        <f t="shared" si="55"/>
        <v>0</v>
      </c>
      <c r="X401" s="21">
        <f t="shared" si="56"/>
        <v>0</v>
      </c>
    </row>
    <row r="402" spans="1:24" ht="13.5" x14ac:dyDescent="0.35">
      <c r="A402" s="18">
        <v>109070</v>
      </c>
      <c r="B402" s="19" t="s">
        <v>276</v>
      </c>
      <c r="C402" s="19">
        <v>4.25</v>
      </c>
      <c r="D402" s="19">
        <v>101</v>
      </c>
      <c r="E402" s="19">
        <v>704</v>
      </c>
      <c r="F402" s="19">
        <v>0</v>
      </c>
      <c r="G402" s="19">
        <v>0</v>
      </c>
      <c r="H402" s="19">
        <v>0</v>
      </c>
      <c r="I402" s="20">
        <v>0</v>
      </c>
      <c r="J402" s="19">
        <f t="shared" si="49"/>
        <v>0</v>
      </c>
      <c r="K402" s="19">
        <f t="shared" si="50"/>
        <v>0</v>
      </c>
      <c r="L402" s="19">
        <v>-2.4099999999999998E-3</v>
      </c>
      <c r="M402" s="19">
        <v>-2.5000000000000001E-3</v>
      </c>
      <c r="N402" s="19">
        <v>-3.46E-3</v>
      </c>
      <c r="O402" s="19">
        <v>-4.1399999999999996E-3</v>
      </c>
      <c r="P402" s="19">
        <v>-4.2900000000000004E-3</v>
      </c>
      <c r="Q402" s="19">
        <v>-4.1000000000000003E-3</v>
      </c>
      <c r="R402" s="19"/>
      <c r="S402" s="19">
        <f t="shared" si="51"/>
        <v>0</v>
      </c>
      <c r="T402" s="19">
        <f t="shared" si="52"/>
        <v>0</v>
      </c>
      <c r="U402" s="19">
        <f t="shared" si="53"/>
        <v>0</v>
      </c>
      <c r="V402" s="19">
        <f t="shared" si="54"/>
        <v>0</v>
      </c>
      <c r="W402" s="19">
        <f t="shared" si="55"/>
        <v>0</v>
      </c>
      <c r="X402" s="21">
        <f t="shared" si="56"/>
        <v>0</v>
      </c>
    </row>
    <row r="403" spans="1:24" ht="13.5" x14ac:dyDescent="0.35">
      <c r="A403" s="18">
        <v>109106</v>
      </c>
      <c r="B403" s="19" t="s">
        <v>288</v>
      </c>
      <c r="C403" s="19">
        <v>2.4</v>
      </c>
      <c r="D403" s="19">
        <v>101</v>
      </c>
      <c r="E403" s="19">
        <v>704</v>
      </c>
      <c r="F403" s="19">
        <v>0</v>
      </c>
      <c r="G403" s="19">
        <v>0</v>
      </c>
      <c r="H403" s="19">
        <v>0</v>
      </c>
      <c r="I403" s="20">
        <v>0</v>
      </c>
      <c r="J403" s="19">
        <f t="shared" si="49"/>
        <v>0</v>
      </c>
      <c r="K403" s="19">
        <f t="shared" si="50"/>
        <v>0</v>
      </c>
      <c r="L403" s="19">
        <v>-2.4099999999999998E-3</v>
      </c>
      <c r="M403" s="19">
        <v>-2.5000000000000001E-3</v>
      </c>
      <c r="N403" s="19">
        <v>-3.4499999999999999E-3</v>
      </c>
      <c r="O403" s="19">
        <v>-4.1399999999999996E-3</v>
      </c>
      <c r="P403" s="19">
        <v>-4.2900000000000004E-3</v>
      </c>
      <c r="Q403" s="19">
        <v>-4.1000000000000003E-3</v>
      </c>
      <c r="R403" s="19"/>
      <c r="S403" s="19">
        <f t="shared" si="51"/>
        <v>0</v>
      </c>
      <c r="T403" s="19">
        <f t="shared" si="52"/>
        <v>0</v>
      </c>
      <c r="U403" s="19">
        <f t="shared" si="53"/>
        <v>0</v>
      </c>
      <c r="V403" s="19">
        <f t="shared" si="54"/>
        <v>0</v>
      </c>
      <c r="W403" s="19">
        <f t="shared" si="55"/>
        <v>0</v>
      </c>
      <c r="X403" s="21">
        <f t="shared" si="56"/>
        <v>0</v>
      </c>
    </row>
    <row r="404" spans="1:24" ht="13.5" x14ac:dyDescent="0.35">
      <c r="A404" s="18">
        <v>109131</v>
      </c>
      <c r="B404" s="19" t="s">
        <v>291</v>
      </c>
      <c r="C404" s="19">
        <v>2.4</v>
      </c>
      <c r="D404" s="19">
        <v>101</v>
      </c>
      <c r="E404" s="19">
        <v>704</v>
      </c>
      <c r="F404" s="19">
        <v>0</v>
      </c>
      <c r="G404" s="19">
        <v>0</v>
      </c>
      <c r="H404" s="19">
        <v>0</v>
      </c>
      <c r="I404" s="20">
        <v>0</v>
      </c>
      <c r="J404" s="19">
        <f t="shared" si="49"/>
        <v>0</v>
      </c>
      <c r="K404" s="19">
        <f t="shared" si="50"/>
        <v>0</v>
      </c>
      <c r="L404" s="19">
        <v>-2.4099999999999998E-3</v>
      </c>
      <c r="M404" s="19">
        <v>-2.5000000000000001E-3</v>
      </c>
      <c r="N404" s="19">
        <v>-3.46E-3</v>
      </c>
      <c r="O404" s="19">
        <v>-4.1399999999999996E-3</v>
      </c>
      <c r="P404" s="19">
        <v>-4.2900000000000004E-3</v>
      </c>
      <c r="Q404" s="19">
        <v>-4.1000000000000003E-3</v>
      </c>
      <c r="R404" s="19"/>
      <c r="S404" s="19">
        <f t="shared" si="51"/>
        <v>0</v>
      </c>
      <c r="T404" s="19">
        <f t="shared" si="52"/>
        <v>0</v>
      </c>
      <c r="U404" s="19">
        <f t="shared" si="53"/>
        <v>0</v>
      </c>
      <c r="V404" s="19">
        <f t="shared" si="54"/>
        <v>0</v>
      </c>
      <c r="W404" s="19">
        <f t="shared" si="55"/>
        <v>0</v>
      </c>
      <c r="X404" s="21">
        <f t="shared" si="56"/>
        <v>0</v>
      </c>
    </row>
    <row r="405" spans="1:24" ht="13.5" x14ac:dyDescent="0.35">
      <c r="A405" s="18">
        <v>109170</v>
      </c>
      <c r="B405" s="19" t="s">
        <v>298</v>
      </c>
      <c r="C405" s="19">
        <v>13.8</v>
      </c>
      <c r="D405" s="19">
        <v>101</v>
      </c>
      <c r="E405" s="19">
        <v>704</v>
      </c>
      <c r="F405" s="19">
        <v>19</v>
      </c>
      <c r="G405" s="19">
        <v>0</v>
      </c>
      <c r="H405" s="19">
        <v>19</v>
      </c>
      <c r="I405" s="20">
        <v>19</v>
      </c>
      <c r="J405" s="19">
        <f t="shared" si="49"/>
        <v>0</v>
      </c>
      <c r="K405" s="19">
        <f t="shared" si="50"/>
        <v>0</v>
      </c>
      <c r="L405" s="19">
        <v>-2.4099999999999998E-3</v>
      </c>
      <c r="M405" s="19">
        <v>-2.5000000000000001E-3</v>
      </c>
      <c r="N405" s="19">
        <v>-3.46E-3</v>
      </c>
      <c r="O405" s="19">
        <v>-4.1399999999999996E-3</v>
      </c>
      <c r="P405" s="19">
        <v>-4.2900000000000004E-3</v>
      </c>
      <c r="Q405" s="19">
        <v>-4.1000000000000003E-3</v>
      </c>
      <c r="R405" s="19"/>
      <c r="S405" s="19">
        <f t="shared" si="51"/>
        <v>0</v>
      </c>
      <c r="T405" s="19">
        <f t="shared" si="52"/>
        <v>0</v>
      </c>
      <c r="U405" s="19">
        <f t="shared" si="53"/>
        <v>0</v>
      </c>
      <c r="V405" s="19">
        <f t="shared" si="54"/>
        <v>0</v>
      </c>
      <c r="W405" s="19">
        <f t="shared" si="55"/>
        <v>0</v>
      </c>
      <c r="X405" s="21">
        <f t="shared" si="56"/>
        <v>0</v>
      </c>
    </row>
    <row r="406" spans="1:24" ht="13.5" x14ac:dyDescent="0.35">
      <c r="A406" s="18">
        <v>105324</v>
      </c>
      <c r="B406" s="19" t="s">
        <v>209</v>
      </c>
      <c r="C406" s="19">
        <v>2.4</v>
      </c>
      <c r="D406" s="19">
        <v>101</v>
      </c>
      <c r="E406" s="19">
        <v>564</v>
      </c>
      <c r="F406" s="19">
        <v>0</v>
      </c>
      <c r="G406" s="19">
        <v>0</v>
      </c>
      <c r="H406" s="19">
        <v>0</v>
      </c>
      <c r="I406" s="20">
        <v>0</v>
      </c>
      <c r="J406" s="19">
        <f t="shared" si="49"/>
        <v>0</v>
      </c>
      <c r="K406" s="19">
        <f t="shared" si="50"/>
        <v>0</v>
      </c>
      <c r="L406" s="19">
        <v>-2.4499999999999999E-3</v>
      </c>
      <c r="M406" s="19">
        <v>-2.5400000000000002E-3</v>
      </c>
      <c r="N406" s="19">
        <v>-3.5200000000000001E-3</v>
      </c>
      <c r="O406" s="19">
        <v>-4.2199999999999998E-3</v>
      </c>
      <c r="P406" s="19">
        <v>-4.3800000000000002E-3</v>
      </c>
      <c r="Q406" s="19">
        <v>-4.1799999999999997E-3</v>
      </c>
      <c r="R406" s="19"/>
      <c r="S406" s="19">
        <f t="shared" si="51"/>
        <v>0</v>
      </c>
      <c r="T406" s="19">
        <f t="shared" si="52"/>
        <v>0</v>
      </c>
      <c r="U406" s="19">
        <f t="shared" si="53"/>
        <v>0</v>
      </c>
      <c r="V406" s="19">
        <f t="shared" si="54"/>
        <v>0</v>
      </c>
      <c r="W406" s="19">
        <f t="shared" si="55"/>
        <v>0</v>
      </c>
      <c r="X406" s="21">
        <f t="shared" si="56"/>
        <v>0</v>
      </c>
    </row>
    <row r="407" spans="1:24" ht="13.5" x14ac:dyDescent="0.35">
      <c r="A407" s="18">
        <v>105334</v>
      </c>
      <c r="B407" s="19" t="s">
        <v>210</v>
      </c>
      <c r="C407" s="19">
        <v>34.5</v>
      </c>
      <c r="D407" s="19">
        <v>101</v>
      </c>
      <c r="E407" s="19">
        <v>562</v>
      </c>
      <c r="F407" s="19">
        <v>0</v>
      </c>
      <c r="G407" s="19">
        <v>0</v>
      </c>
      <c r="H407" s="19">
        <v>0</v>
      </c>
      <c r="I407" s="20">
        <v>0</v>
      </c>
      <c r="J407" s="19">
        <f t="shared" si="49"/>
        <v>0</v>
      </c>
      <c r="K407" s="19">
        <f t="shared" si="50"/>
        <v>0</v>
      </c>
      <c r="L407" s="19">
        <v>-2.4499999999999999E-3</v>
      </c>
      <c r="M407" s="19">
        <v>-2.5400000000000002E-3</v>
      </c>
      <c r="N407" s="19">
        <v>-3.5200000000000001E-3</v>
      </c>
      <c r="O407" s="19">
        <v>-4.2199999999999998E-3</v>
      </c>
      <c r="P407" s="19">
        <v>-4.3800000000000002E-3</v>
      </c>
      <c r="Q407" s="19">
        <v>-4.1799999999999997E-3</v>
      </c>
      <c r="R407" s="19"/>
      <c r="S407" s="19">
        <f t="shared" si="51"/>
        <v>0</v>
      </c>
      <c r="T407" s="19">
        <f t="shared" si="52"/>
        <v>0</v>
      </c>
      <c r="U407" s="19">
        <f t="shared" si="53"/>
        <v>0</v>
      </c>
      <c r="V407" s="19">
        <f t="shared" si="54"/>
        <v>0</v>
      </c>
      <c r="W407" s="19">
        <f t="shared" si="55"/>
        <v>0</v>
      </c>
      <c r="X407" s="21">
        <f t="shared" si="56"/>
        <v>0</v>
      </c>
    </row>
    <row r="408" spans="1:24" ht="13.5" x14ac:dyDescent="0.35">
      <c r="A408" s="18">
        <v>105310</v>
      </c>
      <c r="B408" s="19" t="s">
        <v>207</v>
      </c>
      <c r="C408" s="19">
        <v>13.8</v>
      </c>
      <c r="D408" s="19">
        <v>101</v>
      </c>
      <c r="E408" s="19">
        <v>564</v>
      </c>
      <c r="F408" s="19">
        <v>0</v>
      </c>
      <c r="G408" s="19">
        <v>0</v>
      </c>
      <c r="H408" s="19">
        <v>0</v>
      </c>
      <c r="I408" s="20">
        <v>0</v>
      </c>
      <c r="J408" s="19">
        <f t="shared" si="49"/>
        <v>0</v>
      </c>
      <c r="K408" s="19">
        <f t="shared" si="50"/>
        <v>0</v>
      </c>
      <c r="L408" s="19">
        <v>-2.47E-3</v>
      </c>
      <c r="M408" s="19">
        <v>-2.5600000000000002E-3</v>
      </c>
      <c r="N408" s="19">
        <v>-3.5400000000000002E-3</v>
      </c>
      <c r="O408" s="19">
        <v>-4.2399999999999998E-3</v>
      </c>
      <c r="P408" s="19">
        <v>-4.4000000000000003E-3</v>
      </c>
      <c r="Q408" s="19">
        <v>-4.1999999999999997E-3</v>
      </c>
      <c r="R408" s="19"/>
      <c r="S408" s="19">
        <f t="shared" si="51"/>
        <v>0</v>
      </c>
      <c r="T408" s="19">
        <f t="shared" si="52"/>
        <v>0</v>
      </c>
      <c r="U408" s="19">
        <f t="shared" si="53"/>
        <v>0</v>
      </c>
      <c r="V408" s="19">
        <f t="shared" si="54"/>
        <v>0</v>
      </c>
      <c r="W408" s="19">
        <f t="shared" si="55"/>
        <v>0</v>
      </c>
      <c r="X408" s="21">
        <f t="shared" si="56"/>
        <v>0</v>
      </c>
    </row>
    <row r="409" spans="1:24" ht="13.5" x14ac:dyDescent="0.35">
      <c r="A409" s="18">
        <v>105317</v>
      </c>
      <c r="B409" s="19" t="s">
        <v>208</v>
      </c>
      <c r="C409" s="19">
        <v>2.2999999999999998</v>
      </c>
      <c r="D409" s="19">
        <v>101</v>
      </c>
      <c r="E409" s="19">
        <v>564</v>
      </c>
      <c r="F409" s="19">
        <v>0</v>
      </c>
      <c r="G409" s="19">
        <v>0</v>
      </c>
      <c r="H409" s="19">
        <v>0</v>
      </c>
      <c r="I409" s="20">
        <v>0</v>
      </c>
      <c r="J409" s="19">
        <f t="shared" si="49"/>
        <v>0</v>
      </c>
      <c r="K409" s="19">
        <f t="shared" si="50"/>
        <v>0</v>
      </c>
      <c r="L409" s="19">
        <v>-2.47E-3</v>
      </c>
      <c r="M409" s="19">
        <v>-2.5600000000000002E-3</v>
      </c>
      <c r="N409" s="19">
        <v>-3.5400000000000002E-3</v>
      </c>
      <c r="O409" s="19">
        <v>-4.2399999999999998E-3</v>
      </c>
      <c r="P409" s="19">
        <v>-4.4000000000000003E-3</v>
      </c>
      <c r="Q409" s="19">
        <v>-4.1999999999999997E-3</v>
      </c>
      <c r="R409" s="19"/>
      <c r="S409" s="19">
        <f t="shared" si="51"/>
        <v>0</v>
      </c>
      <c r="T409" s="19">
        <f t="shared" si="52"/>
        <v>0</v>
      </c>
      <c r="U409" s="19">
        <f t="shared" si="53"/>
        <v>0</v>
      </c>
      <c r="V409" s="19">
        <f t="shared" si="54"/>
        <v>0</v>
      </c>
      <c r="W409" s="19">
        <f t="shared" si="55"/>
        <v>0</v>
      </c>
      <c r="X409" s="21">
        <f t="shared" si="56"/>
        <v>0</v>
      </c>
    </row>
    <row r="410" spans="1:24" ht="13.5" x14ac:dyDescent="0.35">
      <c r="A410" s="18">
        <v>109248</v>
      </c>
      <c r="B410" s="19" t="s">
        <v>306</v>
      </c>
      <c r="C410" s="19">
        <v>4</v>
      </c>
      <c r="D410" s="19">
        <v>101</v>
      </c>
      <c r="E410" s="19">
        <v>704</v>
      </c>
      <c r="F410" s="19">
        <v>0</v>
      </c>
      <c r="G410" s="19">
        <v>0</v>
      </c>
      <c r="H410" s="19">
        <v>0</v>
      </c>
      <c r="I410" s="20">
        <v>0</v>
      </c>
      <c r="J410" s="19">
        <f t="shared" si="49"/>
        <v>0</v>
      </c>
      <c r="K410" s="19">
        <f t="shared" si="50"/>
        <v>0</v>
      </c>
      <c r="L410" s="19">
        <v>-2.47E-3</v>
      </c>
      <c r="M410" s="19">
        <v>-2.5500000000000002E-3</v>
      </c>
      <c r="N410" s="19">
        <v>-3.5100000000000001E-3</v>
      </c>
      <c r="O410" s="19">
        <v>-4.1999999999999997E-3</v>
      </c>
      <c r="P410" s="19">
        <v>-4.3600000000000002E-3</v>
      </c>
      <c r="Q410" s="19">
        <v>-4.1599999999999996E-3</v>
      </c>
      <c r="R410" s="19"/>
      <c r="S410" s="19">
        <f t="shared" si="51"/>
        <v>0</v>
      </c>
      <c r="T410" s="19">
        <f t="shared" si="52"/>
        <v>0</v>
      </c>
      <c r="U410" s="19">
        <f t="shared" si="53"/>
        <v>0</v>
      </c>
      <c r="V410" s="19">
        <f t="shared" si="54"/>
        <v>0</v>
      </c>
      <c r="W410" s="19">
        <f t="shared" si="55"/>
        <v>0</v>
      </c>
      <c r="X410" s="21">
        <f t="shared" si="56"/>
        <v>0</v>
      </c>
    </row>
    <row r="411" spans="1:24" ht="13.5" x14ac:dyDescent="0.35">
      <c r="A411" s="18">
        <v>109252</v>
      </c>
      <c r="B411" s="19" t="s">
        <v>308</v>
      </c>
      <c r="C411" s="19">
        <v>2.4</v>
      </c>
      <c r="D411" s="19">
        <v>101</v>
      </c>
      <c r="E411" s="19">
        <v>704</v>
      </c>
      <c r="F411" s="19">
        <v>0</v>
      </c>
      <c r="G411" s="19">
        <v>0</v>
      </c>
      <c r="H411" s="19">
        <v>0</v>
      </c>
      <c r="I411" s="20">
        <v>0</v>
      </c>
      <c r="J411" s="19">
        <f t="shared" si="49"/>
        <v>0</v>
      </c>
      <c r="K411" s="19">
        <f t="shared" si="50"/>
        <v>0</v>
      </c>
      <c r="L411" s="19">
        <v>-2.47E-3</v>
      </c>
      <c r="M411" s="19">
        <v>-2.5500000000000002E-3</v>
      </c>
      <c r="N411" s="19">
        <v>-3.5100000000000001E-3</v>
      </c>
      <c r="O411" s="19">
        <v>-4.1999999999999997E-3</v>
      </c>
      <c r="P411" s="19">
        <v>-4.3600000000000002E-3</v>
      </c>
      <c r="Q411" s="19">
        <v>-4.1599999999999996E-3</v>
      </c>
      <c r="R411" s="19"/>
      <c r="S411" s="19">
        <f t="shared" si="51"/>
        <v>0</v>
      </c>
      <c r="T411" s="19">
        <f t="shared" si="52"/>
        <v>0</v>
      </c>
      <c r="U411" s="19">
        <f t="shared" si="53"/>
        <v>0</v>
      </c>
      <c r="V411" s="19">
        <f t="shared" si="54"/>
        <v>0</v>
      </c>
      <c r="W411" s="19">
        <f t="shared" si="55"/>
        <v>0</v>
      </c>
      <c r="X411" s="21">
        <f t="shared" si="56"/>
        <v>0</v>
      </c>
    </row>
    <row r="412" spans="1:24" ht="13.5" x14ac:dyDescent="0.35">
      <c r="A412" s="18">
        <v>109253</v>
      </c>
      <c r="B412" s="19" t="s">
        <v>309</v>
      </c>
      <c r="C412" s="19">
        <v>2.2999999999999998</v>
      </c>
      <c r="D412" s="19">
        <v>101</v>
      </c>
      <c r="E412" s="19">
        <v>704</v>
      </c>
      <c r="F412" s="19">
        <v>0</v>
      </c>
      <c r="G412" s="19">
        <v>0</v>
      </c>
      <c r="H412" s="19">
        <v>0</v>
      </c>
      <c r="I412" s="20">
        <v>0</v>
      </c>
      <c r="J412" s="19">
        <f t="shared" si="49"/>
        <v>0</v>
      </c>
      <c r="K412" s="19">
        <f t="shared" si="50"/>
        <v>0</v>
      </c>
      <c r="L412" s="19">
        <v>-2.47E-3</v>
      </c>
      <c r="M412" s="19">
        <v>-2.5500000000000002E-3</v>
      </c>
      <c r="N412" s="19">
        <v>-3.5100000000000001E-3</v>
      </c>
      <c r="O412" s="19">
        <v>-4.1999999999999997E-3</v>
      </c>
      <c r="P412" s="19">
        <v>-4.3600000000000002E-3</v>
      </c>
      <c r="Q412" s="19">
        <v>-4.1599999999999996E-3</v>
      </c>
      <c r="R412" s="19"/>
      <c r="S412" s="19">
        <f t="shared" si="51"/>
        <v>0</v>
      </c>
      <c r="T412" s="19">
        <f t="shared" si="52"/>
        <v>0</v>
      </c>
      <c r="U412" s="19">
        <f t="shared" si="53"/>
        <v>0</v>
      </c>
      <c r="V412" s="19">
        <f t="shared" si="54"/>
        <v>0</v>
      </c>
      <c r="W412" s="19">
        <f t="shared" si="55"/>
        <v>0</v>
      </c>
      <c r="X412" s="21">
        <f t="shared" si="56"/>
        <v>0</v>
      </c>
    </row>
    <row r="413" spans="1:24" ht="13.5" x14ac:dyDescent="0.35">
      <c r="A413" s="18">
        <v>109254</v>
      </c>
      <c r="B413" s="19" t="s">
        <v>310</v>
      </c>
      <c r="C413" s="19">
        <v>2.2999999999999998</v>
      </c>
      <c r="D413" s="19">
        <v>101</v>
      </c>
      <c r="E413" s="19">
        <v>704</v>
      </c>
      <c r="F413" s="19">
        <v>0</v>
      </c>
      <c r="G413" s="19">
        <v>0</v>
      </c>
      <c r="H413" s="19">
        <v>0</v>
      </c>
      <c r="I413" s="20">
        <v>0</v>
      </c>
      <c r="J413" s="19">
        <f t="shared" si="49"/>
        <v>0</v>
      </c>
      <c r="K413" s="19">
        <f t="shared" si="50"/>
        <v>0</v>
      </c>
      <c r="L413" s="19">
        <v>-2.47E-3</v>
      </c>
      <c r="M413" s="19">
        <v>-2.5500000000000002E-3</v>
      </c>
      <c r="N413" s="19">
        <v>-3.5100000000000001E-3</v>
      </c>
      <c r="O413" s="19">
        <v>-4.1999999999999997E-3</v>
      </c>
      <c r="P413" s="19">
        <v>-4.3600000000000002E-3</v>
      </c>
      <c r="Q413" s="19">
        <v>-4.1599999999999996E-3</v>
      </c>
      <c r="R413" s="19"/>
      <c r="S413" s="19">
        <f t="shared" si="51"/>
        <v>0</v>
      </c>
      <c r="T413" s="19">
        <f t="shared" si="52"/>
        <v>0</v>
      </c>
      <c r="U413" s="19">
        <f t="shared" si="53"/>
        <v>0</v>
      </c>
      <c r="V413" s="19">
        <f t="shared" si="54"/>
        <v>0</v>
      </c>
      <c r="W413" s="19">
        <f t="shared" si="55"/>
        <v>0</v>
      </c>
      <c r="X413" s="21">
        <f t="shared" si="56"/>
        <v>0</v>
      </c>
    </row>
    <row r="414" spans="1:24" ht="13.5" x14ac:dyDescent="0.35">
      <c r="A414" s="18">
        <v>105297</v>
      </c>
      <c r="B414" s="19" t="s">
        <v>206</v>
      </c>
      <c r="C414" s="19">
        <v>13.8</v>
      </c>
      <c r="D414" s="19">
        <v>101</v>
      </c>
      <c r="E414" s="19">
        <v>564</v>
      </c>
      <c r="F414" s="19">
        <v>0</v>
      </c>
      <c r="G414" s="19">
        <v>0</v>
      </c>
      <c r="H414" s="19">
        <v>0</v>
      </c>
      <c r="I414" s="20">
        <v>0</v>
      </c>
      <c r="J414" s="19">
        <f t="shared" si="49"/>
        <v>0</v>
      </c>
      <c r="K414" s="19">
        <f t="shared" si="50"/>
        <v>0</v>
      </c>
      <c r="L414" s="19">
        <v>-2.49E-3</v>
      </c>
      <c r="M414" s="19">
        <v>-2.5699999999999998E-3</v>
      </c>
      <c r="N414" s="19">
        <v>-3.5500000000000002E-3</v>
      </c>
      <c r="O414" s="19">
        <v>-4.2500000000000003E-3</v>
      </c>
      <c r="P414" s="19">
        <v>-4.4099999999999999E-3</v>
      </c>
      <c r="Q414" s="19">
        <v>-4.2100000000000002E-3</v>
      </c>
      <c r="R414" s="19"/>
      <c r="S414" s="19">
        <f t="shared" si="51"/>
        <v>0</v>
      </c>
      <c r="T414" s="19">
        <f t="shared" si="52"/>
        <v>0</v>
      </c>
      <c r="U414" s="19">
        <f t="shared" si="53"/>
        <v>0</v>
      </c>
      <c r="V414" s="19">
        <f t="shared" si="54"/>
        <v>0</v>
      </c>
      <c r="W414" s="19">
        <f t="shared" si="55"/>
        <v>0</v>
      </c>
      <c r="X414" s="21">
        <f t="shared" si="56"/>
        <v>0</v>
      </c>
    </row>
    <row r="415" spans="1:24" ht="13.5" x14ac:dyDescent="0.35">
      <c r="A415" s="18">
        <v>105288</v>
      </c>
      <c r="B415" s="19" t="s">
        <v>203</v>
      </c>
      <c r="C415" s="19">
        <v>0.69</v>
      </c>
      <c r="D415" s="19">
        <v>101</v>
      </c>
      <c r="E415" s="19">
        <v>564</v>
      </c>
      <c r="F415" s="19">
        <v>4.88</v>
      </c>
      <c r="G415" s="19">
        <v>0</v>
      </c>
      <c r="H415" s="19">
        <v>4.88</v>
      </c>
      <c r="I415" s="20">
        <v>4.88</v>
      </c>
      <c r="J415" s="19">
        <f t="shared" si="49"/>
        <v>0</v>
      </c>
      <c r="K415" s="19">
        <f t="shared" si="50"/>
        <v>0</v>
      </c>
      <c r="L415" s="19">
        <v>-2.5000000000000001E-3</v>
      </c>
      <c r="M415" s="19">
        <v>-2.5799999999999998E-3</v>
      </c>
      <c r="N415" s="19">
        <v>-3.5599999999999998E-3</v>
      </c>
      <c r="O415" s="19">
        <v>-4.2599999999999999E-3</v>
      </c>
      <c r="P415" s="19">
        <v>-4.4200000000000003E-3</v>
      </c>
      <c r="Q415" s="19">
        <v>-4.2199999999999998E-3</v>
      </c>
      <c r="R415" s="19"/>
      <c r="S415" s="19">
        <f t="shared" si="51"/>
        <v>0</v>
      </c>
      <c r="T415" s="19">
        <f t="shared" si="52"/>
        <v>0</v>
      </c>
      <c r="U415" s="19">
        <f t="shared" si="53"/>
        <v>0</v>
      </c>
      <c r="V415" s="19">
        <f t="shared" si="54"/>
        <v>0</v>
      </c>
      <c r="W415" s="19">
        <f t="shared" si="55"/>
        <v>0</v>
      </c>
      <c r="X415" s="21">
        <f t="shared" si="56"/>
        <v>0</v>
      </c>
    </row>
    <row r="416" spans="1:24" ht="13.5" x14ac:dyDescent="0.35">
      <c r="A416" s="18">
        <v>105290</v>
      </c>
      <c r="B416" s="19" t="s">
        <v>204</v>
      </c>
      <c r="C416" s="19">
        <v>0.69</v>
      </c>
      <c r="D416" s="19">
        <v>101</v>
      </c>
      <c r="E416" s="19">
        <v>564</v>
      </c>
      <c r="F416" s="19">
        <v>4.88</v>
      </c>
      <c r="G416" s="19">
        <v>0</v>
      </c>
      <c r="H416" s="19">
        <v>4.88</v>
      </c>
      <c r="I416" s="20">
        <v>4.88</v>
      </c>
      <c r="J416" s="19">
        <f t="shared" si="49"/>
        <v>0</v>
      </c>
      <c r="K416" s="19">
        <f t="shared" si="50"/>
        <v>0</v>
      </c>
      <c r="L416" s="19">
        <v>-2.5000000000000001E-3</v>
      </c>
      <c r="M416" s="19">
        <v>-2.5799999999999998E-3</v>
      </c>
      <c r="N416" s="19">
        <v>-3.5599999999999998E-3</v>
      </c>
      <c r="O416" s="19">
        <v>-4.2599999999999999E-3</v>
      </c>
      <c r="P416" s="19">
        <v>-4.4200000000000003E-3</v>
      </c>
      <c r="Q416" s="19">
        <v>-4.2199999999999998E-3</v>
      </c>
      <c r="R416" s="19"/>
      <c r="S416" s="19">
        <f t="shared" si="51"/>
        <v>0</v>
      </c>
      <c r="T416" s="19">
        <f t="shared" si="52"/>
        <v>0</v>
      </c>
      <c r="U416" s="19">
        <f t="shared" si="53"/>
        <v>0</v>
      </c>
      <c r="V416" s="19">
        <f t="shared" si="54"/>
        <v>0</v>
      </c>
      <c r="W416" s="19">
        <f t="shared" si="55"/>
        <v>0</v>
      </c>
      <c r="X416" s="21">
        <f t="shared" si="56"/>
        <v>0</v>
      </c>
    </row>
    <row r="417" spans="1:24" ht="13.5" x14ac:dyDescent="0.35">
      <c r="A417" s="18">
        <v>105291</v>
      </c>
      <c r="B417" s="19" t="s">
        <v>205</v>
      </c>
      <c r="C417" s="19">
        <v>0.48</v>
      </c>
      <c r="D417" s="19">
        <v>101</v>
      </c>
      <c r="E417" s="19">
        <v>564</v>
      </c>
      <c r="F417" s="19">
        <v>0</v>
      </c>
      <c r="G417" s="19">
        <v>0</v>
      </c>
      <c r="H417" s="19">
        <v>0</v>
      </c>
      <c r="I417" s="20">
        <v>0</v>
      </c>
      <c r="J417" s="19">
        <f t="shared" si="49"/>
        <v>0</v>
      </c>
      <c r="K417" s="19">
        <f t="shared" si="50"/>
        <v>0</v>
      </c>
      <c r="L417" s="19">
        <v>-2.5000000000000001E-3</v>
      </c>
      <c r="M417" s="19">
        <v>-2.5799999999999998E-3</v>
      </c>
      <c r="N417" s="19">
        <v>-3.5599999999999998E-3</v>
      </c>
      <c r="O417" s="19">
        <v>-4.2599999999999999E-3</v>
      </c>
      <c r="P417" s="19">
        <v>-4.4200000000000003E-3</v>
      </c>
      <c r="Q417" s="19">
        <v>-4.2199999999999998E-3</v>
      </c>
      <c r="R417" s="19"/>
      <c r="S417" s="19">
        <f t="shared" si="51"/>
        <v>0</v>
      </c>
      <c r="T417" s="19">
        <f t="shared" si="52"/>
        <v>0</v>
      </c>
      <c r="U417" s="19">
        <f t="shared" si="53"/>
        <v>0</v>
      </c>
      <c r="V417" s="19">
        <f t="shared" si="54"/>
        <v>0</v>
      </c>
      <c r="W417" s="19">
        <f t="shared" si="55"/>
        <v>0</v>
      </c>
      <c r="X417" s="21">
        <f t="shared" si="56"/>
        <v>0</v>
      </c>
    </row>
    <row r="418" spans="1:24" ht="13.5" x14ac:dyDescent="0.35">
      <c r="A418" s="18">
        <v>105271</v>
      </c>
      <c r="B418" s="19" t="s">
        <v>201</v>
      </c>
      <c r="C418" s="19">
        <v>13.8</v>
      </c>
      <c r="D418" s="19">
        <v>101</v>
      </c>
      <c r="E418" s="19">
        <v>564</v>
      </c>
      <c r="F418" s="19">
        <v>0</v>
      </c>
      <c r="G418" s="19">
        <v>0</v>
      </c>
      <c r="H418" s="19">
        <v>0</v>
      </c>
      <c r="I418" s="20">
        <v>0</v>
      </c>
      <c r="J418" s="19">
        <f t="shared" si="49"/>
        <v>0</v>
      </c>
      <c r="K418" s="19">
        <f t="shared" si="50"/>
        <v>0</v>
      </c>
      <c r="L418" s="19">
        <v>-2.5100000000000001E-3</v>
      </c>
      <c r="M418" s="19">
        <v>-2.5899999999999999E-3</v>
      </c>
      <c r="N418" s="19">
        <v>-3.5699999999999998E-3</v>
      </c>
      <c r="O418" s="19">
        <v>-4.2599999999999999E-3</v>
      </c>
      <c r="P418" s="19">
        <v>-4.4299999999999999E-3</v>
      </c>
      <c r="Q418" s="19">
        <v>-4.2199999999999998E-3</v>
      </c>
      <c r="R418" s="19"/>
      <c r="S418" s="19">
        <f t="shared" si="51"/>
        <v>0</v>
      </c>
      <c r="T418" s="19">
        <f t="shared" si="52"/>
        <v>0</v>
      </c>
      <c r="U418" s="19">
        <f t="shared" si="53"/>
        <v>0</v>
      </c>
      <c r="V418" s="19">
        <f t="shared" si="54"/>
        <v>0</v>
      </c>
      <c r="W418" s="19">
        <f t="shared" si="55"/>
        <v>0</v>
      </c>
      <c r="X418" s="21">
        <f t="shared" si="56"/>
        <v>0</v>
      </c>
    </row>
    <row r="419" spans="1:24" ht="13.5" x14ac:dyDescent="0.35">
      <c r="A419" s="18">
        <v>105276</v>
      </c>
      <c r="B419" s="19" t="s">
        <v>202</v>
      </c>
      <c r="C419" s="19">
        <v>13.8</v>
      </c>
      <c r="D419" s="19">
        <v>101</v>
      </c>
      <c r="E419" s="19">
        <v>564</v>
      </c>
      <c r="F419" s="19">
        <v>21.15</v>
      </c>
      <c r="G419" s="19">
        <v>0</v>
      </c>
      <c r="H419" s="19">
        <v>21.15</v>
      </c>
      <c r="I419" s="20">
        <v>21.15</v>
      </c>
      <c r="J419" s="19">
        <f t="shared" si="49"/>
        <v>0</v>
      </c>
      <c r="K419" s="19">
        <f t="shared" si="50"/>
        <v>0</v>
      </c>
      <c r="L419" s="19">
        <v>-2.5100000000000001E-3</v>
      </c>
      <c r="M419" s="19">
        <v>-2.5899999999999999E-3</v>
      </c>
      <c r="N419" s="19">
        <v>-3.5699999999999998E-3</v>
      </c>
      <c r="O419" s="19">
        <v>-4.2599999999999999E-3</v>
      </c>
      <c r="P419" s="19">
        <v>-4.4299999999999999E-3</v>
      </c>
      <c r="Q419" s="19">
        <v>-4.2199999999999998E-3</v>
      </c>
      <c r="R419" s="19"/>
      <c r="S419" s="19">
        <f t="shared" si="51"/>
        <v>0</v>
      </c>
      <c r="T419" s="19">
        <f t="shared" si="52"/>
        <v>0</v>
      </c>
      <c r="U419" s="19">
        <f t="shared" si="53"/>
        <v>0</v>
      </c>
      <c r="V419" s="19">
        <f t="shared" si="54"/>
        <v>0</v>
      </c>
      <c r="W419" s="19">
        <f t="shared" si="55"/>
        <v>0</v>
      </c>
      <c r="X419" s="21">
        <f t="shared" si="56"/>
        <v>0</v>
      </c>
    </row>
    <row r="420" spans="1:24" ht="13.5" x14ac:dyDescent="0.35">
      <c r="A420" s="18">
        <v>105110</v>
      </c>
      <c r="B420" s="19" t="s">
        <v>174</v>
      </c>
      <c r="C420" s="19">
        <v>0.48</v>
      </c>
      <c r="D420" s="19">
        <v>101</v>
      </c>
      <c r="E420" s="19">
        <v>524</v>
      </c>
      <c r="F420" s="19">
        <v>0</v>
      </c>
      <c r="G420" s="19">
        <v>0</v>
      </c>
      <c r="H420" s="19">
        <v>0</v>
      </c>
      <c r="I420" s="20">
        <v>0</v>
      </c>
      <c r="J420" s="19">
        <f t="shared" si="49"/>
        <v>0</v>
      </c>
      <c r="K420" s="19">
        <f t="shared" si="50"/>
        <v>0</v>
      </c>
      <c r="L420" s="19">
        <v>-2.5799999999999998E-3</v>
      </c>
      <c r="M420" s="19">
        <v>-2.64E-3</v>
      </c>
      <c r="N420" s="19">
        <v>-3.63E-3</v>
      </c>
      <c r="O420" s="19">
        <v>-4.3099999999999996E-3</v>
      </c>
      <c r="P420" s="19">
        <v>-4.4799999999999996E-3</v>
      </c>
      <c r="Q420" s="19">
        <v>-4.28E-3</v>
      </c>
      <c r="R420" s="19"/>
      <c r="S420" s="19">
        <f t="shared" si="51"/>
        <v>0</v>
      </c>
      <c r="T420" s="19">
        <f t="shared" si="52"/>
        <v>0</v>
      </c>
      <c r="U420" s="19">
        <f t="shared" si="53"/>
        <v>0</v>
      </c>
      <c r="V420" s="19">
        <f t="shared" si="54"/>
        <v>0</v>
      </c>
      <c r="W420" s="19">
        <f t="shared" si="55"/>
        <v>0</v>
      </c>
      <c r="X420" s="21">
        <f t="shared" si="56"/>
        <v>0</v>
      </c>
    </row>
    <row r="421" spans="1:24" ht="13.5" x14ac:dyDescent="0.35">
      <c r="A421" s="18">
        <v>105113</v>
      </c>
      <c r="B421" s="19" t="s">
        <v>175</v>
      </c>
      <c r="C421" s="19">
        <v>1</v>
      </c>
      <c r="D421" s="19">
        <v>101</v>
      </c>
      <c r="E421" s="19">
        <v>524</v>
      </c>
      <c r="F421" s="19">
        <v>0</v>
      </c>
      <c r="G421" s="19">
        <v>0</v>
      </c>
      <c r="H421" s="19">
        <v>0</v>
      </c>
      <c r="I421" s="20">
        <v>0</v>
      </c>
      <c r="J421" s="19">
        <f t="shared" si="49"/>
        <v>0</v>
      </c>
      <c r="K421" s="19">
        <f t="shared" si="50"/>
        <v>0</v>
      </c>
      <c r="L421" s="19">
        <v>-2.5799999999999998E-3</v>
      </c>
      <c r="M421" s="19">
        <v>-2.64E-3</v>
      </c>
      <c r="N421" s="19">
        <v>-3.63E-3</v>
      </c>
      <c r="O421" s="19">
        <v>-4.3099999999999996E-3</v>
      </c>
      <c r="P421" s="19">
        <v>-4.4799999999999996E-3</v>
      </c>
      <c r="Q421" s="19">
        <v>-4.28E-3</v>
      </c>
      <c r="R421" s="19"/>
      <c r="S421" s="19">
        <f t="shared" si="51"/>
        <v>0</v>
      </c>
      <c r="T421" s="19">
        <f t="shared" si="52"/>
        <v>0</v>
      </c>
      <c r="U421" s="19">
        <f t="shared" si="53"/>
        <v>0</v>
      </c>
      <c r="V421" s="19">
        <f t="shared" si="54"/>
        <v>0</v>
      </c>
      <c r="W421" s="19">
        <f t="shared" si="55"/>
        <v>0</v>
      </c>
      <c r="X421" s="21">
        <f t="shared" si="56"/>
        <v>0</v>
      </c>
    </row>
    <row r="422" spans="1:24" ht="13.5" x14ac:dyDescent="0.35">
      <c r="A422" s="18">
        <v>105117</v>
      </c>
      <c r="B422" s="19" t="s">
        <v>176</v>
      </c>
      <c r="C422" s="19">
        <v>1</v>
      </c>
      <c r="D422" s="19">
        <v>101</v>
      </c>
      <c r="E422" s="19">
        <v>524</v>
      </c>
      <c r="F422" s="19">
        <v>8.15</v>
      </c>
      <c r="G422" s="19">
        <v>0</v>
      </c>
      <c r="H422" s="19">
        <v>8.15</v>
      </c>
      <c r="I422" s="20">
        <v>8.15</v>
      </c>
      <c r="J422" s="19">
        <f t="shared" si="49"/>
        <v>0</v>
      </c>
      <c r="K422" s="19">
        <f t="shared" si="50"/>
        <v>0</v>
      </c>
      <c r="L422" s="19">
        <v>-2.5799999999999998E-3</v>
      </c>
      <c r="M422" s="19">
        <v>-2.64E-3</v>
      </c>
      <c r="N422" s="19">
        <v>-3.63E-3</v>
      </c>
      <c r="O422" s="19">
        <v>-4.3099999999999996E-3</v>
      </c>
      <c r="P422" s="19">
        <v>-4.4799999999999996E-3</v>
      </c>
      <c r="Q422" s="19">
        <v>-4.28E-3</v>
      </c>
      <c r="R422" s="19"/>
      <c r="S422" s="19">
        <f t="shared" si="51"/>
        <v>0</v>
      </c>
      <c r="T422" s="19">
        <f t="shared" si="52"/>
        <v>0</v>
      </c>
      <c r="U422" s="19">
        <f t="shared" si="53"/>
        <v>0</v>
      </c>
      <c r="V422" s="19">
        <f t="shared" si="54"/>
        <v>0</v>
      </c>
      <c r="W422" s="19">
        <f t="shared" si="55"/>
        <v>0</v>
      </c>
      <c r="X422" s="21">
        <f t="shared" si="56"/>
        <v>0</v>
      </c>
    </row>
    <row r="423" spans="1:24" ht="13.5" x14ac:dyDescent="0.35">
      <c r="A423" s="18">
        <v>105120</v>
      </c>
      <c r="B423" s="19" t="s">
        <v>177</v>
      </c>
      <c r="C423" s="19">
        <v>1</v>
      </c>
      <c r="D423" s="19">
        <v>101</v>
      </c>
      <c r="E423" s="19">
        <v>524</v>
      </c>
      <c r="F423" s="19">
        <v>0</v>
      </c>
      <c r="G423" s="19">
        <v>0</v>
      </c>
      <c r="H423" s="19">
        <v>0</v>
      </c>
      <c r="I423" s="20">
        <v>0</v>
      </c>
      <c r="J423" s="19">
        <f t="shared" si="49"/>
        <v>0</v>
      </c>
      <c r="K423" s="19">
        <f t="shared" si="50"/>
        <v>0</v>
      </c>
      <c r="L423" s="19">
        <v>-2.5799999999999998E-3</v>
      </c>
      <c r="M423" s="19">
        <v>-2.64E-3</v>
      </c>
      <c r="N423" s="19">
        <v>-3.63E-3</v>
      </c>
      <c r="O423" s="19">
        <v>-4.3099999999999996E-3</v>
      </c>
      <c r="P423" s="19">
        <v>-4.4799999999999996E-3</v>
      </c>
      <c r="Q423" s="19">
        <v>-4.28E-3</v>
      </c>
      <c r="R423" s="19"/>
      <c r="S423" s="19">
        <f t="shared" si="51"/>
        <v>0</v>
      </c>
      <c r="T423" s="19">
        <f t="shared" si="52"/>
        <v>0</v>
      </c>
      <c r="U423" s="19">
        <f t="shared" si="53"/>
        <v>0</v>
      </c>
      <c r="V423" s="19">
        <f t="shared" si="54"/>
        <v>0</v>
      </c>
      <c r="W423" s="19">
        <f t="shared" si="55"/>
        <v>0</v>
      </c>
      <c r="X423" s="21">
        <f t="shared" si="56"/>
        <v>0</v>
      </c>
    </row>
    <row r="424" spans="1:24" ht="13.5" x14ac:dyDescent="0.35">
      <c r="A424" s="18">
        <v>105123</v>
      </c>
      <c r="B424" s="19" t="s">
        <v>178</v>
      </c>
      <c r="C424" s="19">
        <v>1</v>
      </c>
      <c r="D424" s="19">
        <v>101</v>
      </c>
      <c r="E424" s="19">
        <v>524</v>
      </c>
      <c r="F424" s="19">
        <v>0</v>
      </c>
      <c r="G424" s="19">
        <v>0</v>
      </c>
      <c r="H424" s="19">
        <v>0</v>
      </c>
      <c r="I424" s="20">
        <v>0</v>
      </c>
      <c r="J424" s="19">
        <f t="shared" si="49"/>
        <v>0</v>
      </c>
      <c r="K424" s="19">
        <f t="shared" si="50"/>
        <v>0</v>
      </c>
      <c r="L424" s="19">
        <v>-2.5799999999999998E-3</v>
      </c>
      <c r="M424" s="19">
        <v>-2.64E-3</v>
      </c>
      <c r="N424" s="19">
        <v>-3.63E-3</v>
      </c>
      <c r="O424" s="19">
        <v>-4.3099999999999996E-3</v>
      </c>
      <c r="P424" s="19">
        <v>-4.4799999999999996E-3</v>
      </c>
      <c r="Q424" s="19">
        <v>-4.28E-3</v>
      </c>
      <c r="R424" s="19"/>
      <c r="S424" s="19">
        <f t="shared" si="51"/>
        <v>0</v>
      </c>
      <c r="T424" s="19">
        <f t="shared" si="52"/>
        <v>0</v>
      </c>
      <c r="U424" s="19">
        <f t="shared" si="53"/>
        <v>0</v>
      </c>
      <c r="V424" s="19">
        <f t="shared" si="54"/>
        <v>0</v>
      </c>
      <c r="W424" s="19">
        <f t="shared" si="55"/>
        <v>0</v>
      </c>
      <c r="X424" s="21">
        <f t="shared" si="56"/>
        <v>0</v>
      </c>
    </row>
    <row r="425" spans="1:24" ht="13.5" x14ac:dyDescent="0.35">
      <c r="A425" s="18">
        <v>105125</v>
      </c>
      <c r="B425" s="19" t="s">
        <v>179</v>
      </c>
      <c r="C425" s="19">
        <v>1</v>
      </c>
      <c r="D425" s="19">
        <v>101</v>
      </c>
      <c r="E425" s="19">
        <v>524</v>
      </c>
      <c r="F425" s="19">
        <v>0</v>
      </c>
      <c r="G425" s="19">
        <v>0</v>
      </c>
      <c r="H425" s="19">
        <v>0</v>
      </c>
      <c r="I425" s="20">
        <v>0</v>
      </c>
      <c r="J425" s="19">
        <f t="shared" si="49"/>
        <v>0</v>
      </c>
      <c r="K425" s="19">
        <f t="shared" si="50"/>
        <v>0</v>
      </c>
      <c r="L425" s="19">
        <v>-2.5799999999999998E-3</v>
      </c>
      <c r="M425" s="19">
        <v>-2.64E-3</v>
      </c>
      <c r="N425" s="19">
        <v>-3.63E-3</v>
      </c>
      <c r="O425" s="19">
        <v>-4.3099999999999996E-3</v>
      </c>
      <c r="P425" s="19">
        <v>-4.4799999999999996E-3</v>
      </c>
      <c r="Q425" s="19">
        <v>-4.28E-3</v>
      </c>
      <c r="R425" s="19"/>
      <c r="S425" s="19">
        <f t="shared" si="51"/>
        <v>0</v>
      </c>
      <c r="T425" s="19">
        <f t="shared" si="52"/>
        <v>0</v>
      </c>
      <c r="U425" s="19">
        <f t="shared" si="53"/>
        <v>0</v>
      </c>
      <c r="V425" s="19">
        <f t="shared" si="54"/>
        <v>0</v>
      </c>
      <c r="W425" s="19">
        <f t="shared" si="55"/>
        <v>0</v>
      </c>
      <c r="X425" s="21">
        <f t="shared" si="56"/>
        <v>0</v>
      </c>
    </row>
    <row r="426" spans="1:24" ht="13.5" x14ac:dyDescent="0.35">
      <c r="A426" s="18">
        <v>105128</v>
      </c>
      <c r="B426" s="19" t="s">
        <v>180</v>
      </c>
      <c r="C426" s="19">
        <v>1</v>
      </c>
      <c r="D426" s="19">
        <v>101</v>
      </c>
      <c r="E426" s="19">
        <v>524</v>
      </c>
      <c r="F426" s="19">
        <v>0</v>
      </c>
      <c r="G426" s="19">
        <v>0</v>
      </c>
      <c r="H426" s="19">
        <v>0</v>
      </c>
      <c r="I426" s="20">
        <v>0</v>
      </c>
      <c r="J426" s="19">
        <f t="shared" si="49"/>
        <v>0</v>
      </c>
      <c r="K426" s="19">
        <f t="shared" si="50"/>
        <v>0</v>
      </c>
      <c r="L426" s="19">
        <v>-2.5799999999999998E-3</v>
      </c>
      <c r="M426" s="19">
        <v>-2.64E-3</v>
      </c>
      <c r="N426" s="19">
        <v>-3.63E-3</v>
      </c>
      <c r="O426" s="19">
        <v>-4.3099999999999996E-3</v>
      </c>
      <c r="P426" s="19">
        <v>-4.4799999999999996E-3</v>
      </c>
      <c r="Q426" s="19">
        <v>-4.28E-3</v>
      </c>
      <c r="R426" s="19"/>
      <c r="S426" s="19">
        <f t="shared" si="51"/>
        <v>0</v>
      </c>
      <c r="T426" s="19">
        <f t="shared" si="52"/>
        <v>0</v>
      </c>
      <c r="U426" s="19">
        <f t="shared" si="53"/>
        <v>0</v>
      </c>
      <c r="V426" s="19">
        <f t="shared" si="54"/>
        <v>0</v>
      </c>
      <c r="W426" s="19">
        <f t="shared" si="55"/>
        <v>0</v>
      </c>
      <c r="X426" s="21">
        <f t="shared" si="56"/>
        <v>0</v>
      </c>
    </row>
    <row r="427" spans="1:24" ht="13.5" x14ac:dyDescent="0.35">
      <c r="A427" s="18">
        <v>105132</v>
      </c>
      <c r="B427" s="19" t="s">
        <v>181</v>
      </c>
      <c r="C427" s="19">
        <v>1</v>
      </c>
      <c r="D427" s="19">
        <v>101</v>
      </c>
      <c r="E427" s="19">
        <v>524</v>
      </c>
      <c r="F427" s="19">
        <v>0</v>
      </c>
      <c r="G427" s="19">
        <v>0</v>
      </c>
      <c r="H427" s="19">
        <v>0</v>
      </c>
      <c r="I427" s="20">
        <v>0</v>
      </c>
      <c r="J427" s="19">
        <f t="shared" si="49"/>
        <v>0</v>
      </c>
      <c r="K427" s="19">
        <f t="shared" si="50"/>
        <v>0</v>
      </c>
      <c r="L427" s="19">
        <v>-2.5799999999999998E-3</v>
      </c>
      <c r="M427" s="19">
        <v>-2.64E-3</v>
      </c>
      <c r="N427" s="19">
        <v>-3.63E-3</v>
      </c>
      <c r="O427" s="19">
        <v>-4.3099999999999996E-3</v>
      </c>
      <c r="P427" s="19">
        <v>-4.4799999999999996E-3</v>
      </c>
      <c r="Q427" s="19">
        <v>-4.28E-3</v>
      </c>
      <c r="R427" s="19"/>
      <c r="S427" s="19">
        <f t="shared" si="51"/>
        <v>0</v>
      </c>
      <c r="T427" s="19">
        <f t="shared" si="52"/>
        <v>0</v>
      </c>
      <c r="U427" s="19">
        <f t="shared" si="53"/>
        <v>0</v>
      </c>
      <c r="V427" s="19">
        <f t="shared" si="54"/>
        <v>0</v>
      </c>
      <c r="W427" s="19">
        <f t="shared" si="55"/>
        <v>0</v>
      </c>
      <c r="X427" s="21">
        <f t="shared" si="56"/>
        <v>0</v>
      </c>
    </row>
    <row r="428" spans="1:24" ht="13.5" x14ac:dyDescent="0.35">
      <c r="A428" s="18">
        <v>105135</v>
      </c>
      <c r="B428" s="19" t="s">
        <v>182</v>
      </c>
      <c r="C428" s="19">
        <v>1</v>
      </c>
      <c r="D428" s="19">
        <v>101</v>
      </c>
      <c r="E428" s="19">
        <v>524</v>
      </c>
      <c r="F428" s="19">
        <v>0</v>
      </c>
      <c r="G428" s="19">
        <v>0</v>
      </c>
      <c r="H428" s="19">
        <v>0</v>
      </c>
      <c r="I428" s="20">
        <v>0</v>
      </c>
      <c r="J428" s="19">
        <f t="shared" si="49"/>
        <v>0</v>
      </c>
      <c r="K428" s="19">
        <f t="shared" si="50"/>
        <v>0</v>
      </c>
      <c r="L428" s="19">
        <v>-2.5799999999999998E-3</v>
      </c>
      <c r="M428" s="19">
        <v>-2.64E-3</v>
      </c>
      <c r="N428" s="19">
        <v>-3.63E-3</v>
      </c>
      <c r="O428" s="19">
        <v>-4.3099999999999996E-3</v>
      </c>
      <c r="P428" s="19">
        <v>-4.4799999999999996E-3</v>
      </c>
      <c r="Q428" s="19">
        <v>-4.28E-3</v>
      </c>
      <c r="R428" s="19"/>
      <c r="S428" s="19">
        <f t="shared" si="51"/>
        <v>0</v>
      </c>
      <c r="T428" s="19">
        <f t="shared" si="52"/>
        <v>0</v>
      </c>
      <c r="U428" s="19">
        <f t="shared" si="53"/>
        <v>0</v>
      </c>
      <c r="V428" s="19">
        <f t="shared" si="54"/>
        <v>0</v>
      </c>
      <c r="W428" s="19">
        <f t="shared" si="55"/>
        <v>0</v>
      </c>
      <c r="X428" s="21">
        <f t="shared" si="56"/>
        <v>0</v>
      </c>
    </row>
    <row r="429" spans="1:24" ht="13.5" x14ac:dyDescent="0.35">
      <c r="A429" s="18">
        <v>105138</v>
      </c>
      <c r="B429" s="19" t="s">
        <v>183</v>
      </c>
      <c r="C429" s="19">
        <v>1</v>
      </c>
      <c r="D429" s="19">
        <v>101</v>
      </c>
      <c r="E429" s="19">
        <v>524</v>
      </c>
      <c r="F429" s="19">
        <v>0</v>
      </c>
      <c r="G429" s="19">
        <v>0</v>
      </c>
      <c r="H429" s="19">
        <v>0</v>
      </c>
      <c r="I429" s="20">
        <v>0</v>
      </c>
      <c r="J429" s="19">
        <f t="shared" si="49"/>
        <v>0</v>
      </c>
      <c r="K429" s="19">
        <f t="shared" si="50"/>
        <v>0</v>
      </c>
      <c r="L429" s="19">
        <v>-2.5799999999999998E-3</v>
      </c>
      <c r="M429" s="19">
        <v>-2.64E-3</v>
      </c>
      <c r="N429" s="19">
        <v>-3.63E-3</v>
      </c>
      <c r="O429" s="19">
        <v>-4.3099999999999996E-3</v>
      </c>
      <c r="P429" s="19">
        <v>-4.4799999999999996E-3</v>
      </c>
      <c r="Q429" s="19">
        <v>-4.28E-3</v>
      </c>
      <c r="R429" s="19"/>
      <c r="S429" s="19">
        <f t="shared" si="51"/>
        <v>0</v>
      </c>
      <c r="T429" s="19">
        <f t="shared" si="52"/>
        <v>0</v>
      </c>
      <c r="U429" s="19">
        <f t="shared" si="53"/>
        <v>0</v>
      </c>
      <c r="V429" s="19">
        <f t="shared" si="54"/>
        <v>0</v>
      </c>
      <c r="W429" s="19">
        <f t="shared" si="55"/>
        <v>0</v>
      </c>
      <c r="X429" s="21">
        <f t="shared" si="56"/>
        <v>0</v>
      </c>
    </row>
    <row r="430" spans="1:24" ht="13.5" x14ac:dyDescent="0.35">
      <c r="A430" s="18">
        <v>105140</v>
      </c>
      <c r="B430" s="19" t="s">
        <v>184</v>
      </c>
      <c r="C430" s="19">
        <v>1</v>
      </c>
      <c r="D430" s="19">
        <v>101</v>
      </c>
      <c r="E430" s="19">
        <v>524</v>
      </c>
      <c r="F430" s="19">
        <v>0</v>
      </c>
      <c r="G430" s="19">
        <v>0</v>
      </c>
      <c r="H430" s="19">
        <v>0</v>
      </c>
      <c r="I430" s="20">
        <v>0</v>
      </c>
      <c r="J430" s="19">
        <f t="shared" si="49"/>
        <v>0</v>
      </c>
      <c r="K430" s="19">
        <f t="shared" si="50"/>
        <v>0</v>
      </c>
      <c r="L430" s="19">
        <v>-2.5799999999999998E-3</v>
      </c>
      <c r="M430" s="19">
        <v>-2.64E-3</v>
      </c>
      <c r="N430" s="19">
        <v>-3.63E-3</v>
      </c>
      <c r="O430" s="19">
        <v>-4.3099999999999996E-3</v>
      </c>
      <c r="P430" s="19">
        <v>-4.4799999999999996E-3</v>
      </c>
      <c r="Q430" s="19">
        <v>-4.28E-3</v>
      </c>
      <c r="R430" s="19"/>
      <c r="S430" s="19">
        <f t="shared" si="51"/>
        <v>0</v>
      </c>
      <c r="T430" s="19">
        <f t="shared" si="52"/>
        <v>0</v>
      </c>
      <c r="U430" s="19">
        <f t="shared" si="53"/>
        <v>0</v>
      </c>
      <c r="V430" s="19">
        <f t="shared" si="54"/>
        <v>0</v>
      </c>
      <c r="W430" s="19">
        <f t="shared" si="55"/>
        <v>0</v>
      </c>
      <c r="X430" s="21">
        <f t="shared" si="56"/>
        <v>0</v>
      </c>
    </row>
    <row r="431" spans="1:24" ht="13.5" x14ac:dyDescent="0.35">
      <c r="A431" s="18">
        <v>105143</v>
      </c>
      <c r="B431" s="19" t="s">
        <v>185</v>
      </c>
      <c r="C431" s="19">
        <v>1</v>
      </c>
      <c r="D431" s="19">
        <v>101</v>
      </c>
      <c r="E431" s="19">
        <v>524</v>
      </c>
      <c r="F431" s="19">
        <v>0</v>
      </c>
      <c r="G431" s="19">
        <v>0</v>
      </c>
      <c r="H431" s="19">
        <v>0</v>
      </c>
      <c r="I431" s="20">
        <v>0</v>
      </c>
      <c r="J431" s="19">
        <f t="shared" si="49"/>
        <v>0</v>
      </c>
      <c r="K431" s="19">
        <f t="shared" si="50"/>
        <v>0</v>
      </c>
      <c r="L431" s="19">
        <v>-2.5799999999999998E-3</v>
      </c>
      <c r="M431" s="19">
        <v>-2.64E-3</v>
      </c>
      <c r="N431" s="19">
        <v>-3.63E-3</v>
      </c>
      <c r="O431" s="19">
        <v>-4.3099999999999996E-3</v>
      </c>
      <c r="P431" s="19">
        <v>-4.4799999999999996E-3</v>
      </c>
      <c r="Q431" s="19">
        <v>-4.28E-3</v>
      </c>
      <c r="R431" s="19"/>
      <c r="S431" s="19">
        <f t="shared" si="51"/>
        <v>0</v>
      </c>
      <c r="T431" s="19">
        <f t="shared" si="52"/>
        <v>0</v>
      </c>
      <c r="U431" s="19">
        <f t="shared" si="53"/>
        <v>0</v>
      </c>
      <c r="V431" s="19">
        <f t="shared" si="54"/>
        <v>0</v>
      </c>
      <c r="W431" s="19">
        <f t="shared" si="55"/>
        <v>0</v>
      </c>
      <c r="X431" s="21">
        <f t="shared" si="56"/>
        <v>0</v>
      </c>
    </row>
    <row r="432" spans="1:24" ht="13.5" x14ac:dyDescent="0.35">
      <c r="A432" s="18">
        <v>105145</v>
      </c>
      <c r="B432" s="19" t="s">
        <v>186</v>
      </c>
      <c r="C432" s="19">
        <v>1</v>
      </c>
      <c r="D432" s="19">
        <v>101</v>
      </c>
      <c r="E432" s="19">
        <v>524</v>
      </c>
      <c r="F432" s="19">
        <v>0</v>
      </c>
      <c r="G432" s="19">
        <v>0</v>
      </c>
      <c r="H432" s="19">
        <v>0</v>
      </c>
      <c r="I432" s="20">
        <v>0</v>
      </c>
      <c r="J432" s="19">
        <f t="shared" si="49"/>
        <v>0</v>
      </c>
      <c r="K432" s="19">
        <f t="shared" si="50"/>
        <v>0</v>
      </c>
      <c r="L432" s="19">
        <v>-2.5799999999999998E-3</v>
      </c>
      <c r="M432" s="19">
        <v>-2.64E-3</v>
      </c>
      <c r="N432" s="19">
        <v>-3.63E-3</v>
      </c>
      <c r="O432" s="19">
        <v>-4.3099999999999996E-3</v>
      </c>
      <c r="P432" s="19">
        <v>-4.4799999999999996E-3</v>
      </c>
      <c r="Q432" s="19">
        <v>-4.28E-3</v>
      </c>
      <c r="R432" s="19"/>
      <c r="S432" s="19">
        <f t="shared" si="51"/>
        <v>0</v>
      </c>
      <c r="T432" s="19">
        <f t="shared" si="52"/>
        <v>0</v>
      </c>
      <c r="U432" s="19">
        <f t="shared" si="53"/>
        <v>0</v>
      </c>
      <c r="V432" s="19">
        <f t="shared" si="54"/>
        <v>0</v>
      </c>
      <c r="W432" s="19">
        <f t="shared" si="55"/>
        <v>0</v>
      </c>
      <c r="X432" s="21">
        <f t="shared" si="56"/>
        <v>0</v>
      </c>
    </row>
    <row r="433" spans="1:24" ht="13.5" x14ac:dyDescent="0.35">
      <c r="A433" s="18">
        <v>105147</v>
      </c>
      <c r="B433" s="19" t="s">
        <v>187</v>
      </c>
      <c r="C433" s="19">
        <v>1</v>
      </c>
      <c r="D433" s="19">
        <v>101</v>
      </c>
      <c r="E433" s="19">
        <v>524</v>
      </c>
      <c r="F433" s="19">
        <v>0</v>
      </c>
      <c r="G433" s="19">
        <v>0</v>
      </c>
      <c r="H433" s="19">
        <v>0</v>
      </c>
      <c r="I433" s="20">
        <v>0</v>
      </c>
      <c r="J433" s="19">
        <f t="shared" si="49"/>
        <v>0</v>
      </c>
      <c r="K433" s="19">
        <f t="shared" si="50"/>
        <v>0</v>
      </c>
      <c r="L433" s="19">
        <v>-2.5799999999999998E-3</v>
      </c>
      <c r="M433" s="19">
        <v>-2.64E-3</v>
      </c>
      <c r="N433" s="19">
        <v>-3.63E-3</v>
      </c>
      <c r="O433" s="19">
        <v>-4.3099999999999996E-3</v>
      </c>
      <c r="P433" s="19">
        <v>-4.4799999999999996E-3</v>
      </c>
      <c r="Q433" s="19">
        <v>-4.28E-3</v>
      </c>
      <c r="R433" s="19"/>
      <c r="S433" s="19">
        <f t="shared" si="51"/>
        <v>0</v>
      </c>
      <c r="T433" s="19">
        <f t="shared" si="52"/>
        <v>0</v>
      </c>
      <c r="U433" s="19">
        <f t="shared" si="53"/>
        <v>0</v>
      </c>
      <c r="V433" s="19">
        <f t="shared" si="54"/>
        <v>0</v>
      </c>
      <c r="W433" s="19">
        <f t="shared" si="55"/>
        <v>0</v>
      </c>
      <c r="X433" s="21">
        <f t="shared" si="56"/>
        <v>0</v>
      </c>
    </row>
    <row r="434" spans="1:24" ht="13.5" x14ac:dyDescent="0.35">
      <c r="A434" s="18">
        <v>105149</v>
      </c>
      <c r="B434" s="19" t="s">
        <v>188</v>
      </c>
      <c r="C434" s="19">
        <v>1</v>
      </c>
      <c r="D434" s="19">
        <v>101</v>
      </c>
      <c r="E434" s="19">
        <v>524</v>
      </c>
      <c r="F434" s="19">
        <v>0</v>
      </c>
      <c r="G434" s="19">
        <v>0</v>
      </c>
      <c r="H434" s="19">
        <v>0</v>
      </c>
      <c r="I434" s="20">
        <v>0</v>
      </c>
      <c r="J434" s="19">
        <f t="shared" si="49"/>
        <v>0</v>
      </c>
      <c r="K434" s="19">
        <f t="shared" si="50"/>
        <v>0</v>
      </c>
      <c r="L434" s="19">
        <v>-2.5799999999999998E-3</v>
      </c>
      <c r="M434" s="19">
        <v>-2.64E-3</v>
      </c>
      <c r="N434" s="19">
        <v>-3.63E-3</v>
      </c>
      <c r="O434" s="19">
        <v>-4.3099999999999996E-3</v>
      </c>
      <c r="P434" s="19">
        <v>-4.4799999999999996E-3</v>
      </c>
      <c r="Q434" s="19">
        <v>-4.28E-3</v>
      </c>
      <c r="R434" s="19"/>
      <c r="S434" s="19">
        <f t="shared" si="51"/>
        <v>0</v>
      </c>
      <c r="T434" s="19">
        <f t="shared" si="52"/>
        <v>0</v>
      </c>
      <c r="U434" s="19">
        <f t="shared" si="53"/>
        <v>0</v>
      </c>
      <c r="V434" s="19">
        <f t="shared" si="54"/>
        <v>0</v>
      </c>
      <c r="W434" s="19">
        <f t="shared" si="55"/>
        <v>0</v>
      </c>
      <c r="X434" s="21">
        <f t="shared" si="56"/>
        <v>0</v>
      </c>
    </row>
    <row r="435" spans="1:24" ht="13.5" x14ac:dyDescent="0.35">
      <c r="A435" s="18">
        <v>105151</v>
      </c>
      <c r="B435" s="19" t="s">
        <v>189</v>
      </c>
      <c r="C435" s="19">
        <v>1</v>
      </c>
      <c r="D435" s="19">
        <v>101</v>
      </c>
      <c r="E435" s="19">
        <v>524</v>
      </c>
      <c r="F435" s="19">
        <v>0</v>
      </c>
      <c r="G435" s="19">
        <v>0</v>
      </c>
      <c r="H435" s="19">
        <v>0</v>
      </c>
      <c r="I435" s="20">
        <v>0</v>
      </c>
      <c r="J435" s="19">
        <f t="shared" si="49"/>
        <v>0</v>
      </c>
      <c r="K435" s="19">
        <f t="shared" si="50"/>
        <v>0</v>
      </c>
      <c r="L435" s="19">
        <v>-2.5799999999999998E-3</v>
      </c>
      <c r="M435" s="19">
        <v>-2.64E-3</v>
      </c>
      <c r="N435" s="19">
        <v>-3.63E-3</v>
      </c>
      <c r="O435" s="19">
        <v>-4.3099999999999996E-3</v>
      </c>
      <c r="P435" s="19">
        <v>-4.4799999999999996E-3</v>
      </c>
      <c r="Q435" s="19">
        <v>-4.28E-3</v>
      </c>
      <c r="R435" s="19"/>
      <c r="S435" s="19">
        <f t="shared" si="51"/>
        <v>0</v>
      </c>
      <c r="T435" s="19">
        <f t="shared" si="52"/>
        <v>0</v>
      </c>
      <c r="U435" s="19">
        <f t="shared" si="53"/>
        <v>0</v>
      </c>
      <c r="V435" s="19">
        <f t="shared" si="54"/>
        <v>0</v>
      </c>
      <c r="W435" s="19">
        <f t="shared" si="55"/>
        <v>0</v>
      </c>
      <c r="X435" s="21">
        <f t="shared" si="56"/>
        <v>0</v>
      </c>
    </row>
    <row r="436" spans="1:24" ht="13.5" x14ac:dyDescent="0.35">
      <c r="A436" s="18">
        <v>105152</v>
      </c>
      <c r="B436" s="19" t="s">
        <v>190</v>
      </c>
      <c r="C436" s="19">
        <v>6.6</v>
      </c>
      <c r="D436" s="19">
        <v>101</v>
      </c>
      <c r="E436" s="19">
        <v>523</v>
      </c>
      <c r="F436" s="19">
        <v>0</v>
      </c>
      <c r="G436" s="19">
        <v>0</v>
      </c>
      <c r="H436" s="19">
        <v>0</v>
      </c>
      <c r="I436" s="20">
        <v>0</v>
      </c>
      <c r="J436" s="19">
        <f t="shared" si="49"/>
        <v>0</v>
      </c>
      <c r="K436" s="19">
        <f t="shared" si="50"/>
        <v>0</v>
      </c>
      <c r="L436" s="19">
        <v>-2.5799999999999998E-3</v>
      </c>
      <c r="M436" s="19">
        <v>-2.64E-3</v>
      </c>
      <c r="N436" s="19">
        <v>-3.63E-3</v>
      </c>
      <c r="O436" s="19">
        <v>-4.3099999999999996E-3</v>
      </c>
      <c r="P436" s="19">
        <v>-4.4799999999999996E-3</v>
      </c>
      <c r="Q436" s="19">
        <v>-4.28E-3</v>
      </c>
      <c r="R436" s="19"/>
      <c r="S436" s="19">
        <f t="shared" si="51"/>
        <v>0</v>
      </c>
      <c r="T436" s="19">
        <f t="shared" si="52"/>
        <v>0</v>
      </c>
      <c r="U436" s="19">
        <f t="shared" si="53"/>
        <v>0</v>
      </c>
      <c r="V436" s="19">
        <f t="shared" si="54"/>
        <v>0</v>
      </c>
      <c r="W436" s="19">
        <f t="shared" si="55"/>
        <v>0</v>
      </c>
      <c r="X436" s="21">
        <f t="shared" si="56"/>
        <v>0</v>
      </c>
    </row>
    <row r="437" spans="1:24" ht="13.5" x14ac:dyDescent="0.35">
      <c r="A437" s="18">
        <v>105180</v>
      </c>
      <c r="B437" s="19" t="s">
        <v>191</v>
      </c>
      <c r="C437" s="19">
        <v>4.16</v>
      </c>
      <c r="D437" s="19">
        <v>101</v>
      </c>
      <c r="E437" s="19">
        <v>524</v>
      </c>
      <c r="F437" s="19">
        <v>0</v>
      </c>
      <c r="G437" s="19">
        <v>0</v>
      </c>
      <c r="H437" s="19">
        <v>0</v>
      </c>
      <c r="I437" s="20">
        <v>0</v>
      </c>
      <c r="J437" s="19">
        <f t="shared" si="49"/>
        <v>0</v>
      </c>
      <c r="K437" s="19">
        <f t="shared" si="50"/>
        <v>0</v>
      </c>
      <c r="L437" s="19">
        <v>-2.5799999999999998E-3</v>
      </c>
      <c r="M437" s="19">
        <v>-2.64E-3</v>
      </c>
      <c r="N437" s="19">
        <v>-3.63E-3</v>
      </c>
      <c r="O437" s="19">
        <v>-4.3099999999999996E-3</v>
      </c>
      <c r="P437" s="19">
        <v>-4.4799999999999996E-3</v>
      </c>
      <c r="Q437" s="19">
        <v>-4.28E-3</v>
      </c>
      <c r="R437" s="19"/>
      <c r="S437" s="19">
        <f t="shared" si="51"/>
        <v>0</v>
      </c>
      <c r="T437" s="19">
        <f t="shared" si="52"/>
        <v>0</v>
      </c>
      <c r="U437" s="19">
        <f t="shared" si="53"/>
        <v>0</v>
      </c>
      <c r="V437" s="19">
        <f t="shared" si="54"/>
        <v>0</v>
      </c>
      <c r="W437" s="19">
        <f t="shared" si="55"/>
        <v>0</v>
      </c>
      <c r="X437" s="21">
        <f t="shared" si="56"/>
        <v>0</v>
      </c>
    </row>
    <row r="438" spans="1:24" ht="13.5" x14ac:dyDescent="0.35">
      <c r="A438" s="18">
        <v>105188</v>
      </c>
      <c r="B438" s="19" t="s">
        <v>192</v>
      </c>
      <c r="C438" s="19">
        <v>13.8</v>
      </c>
      <c r="D438" s="19">
        <v>101</v>
      </c>
      <c r="E438" s="19">
        <v>523</v>
      </c>
      <c r="F438" s="19">
        <v>65.38</v>
      </c>
      <c r="G438" s="19">
        <v>0</v>
      </c>
      <c r="H438" s="19">
        <v>65.38</v>
      </c>
      <c r="I438" s="20">
        <v>65.38</v>
      </c>
      <c r="J438" s="19">
        <f t="shared" si="49"/>
        <v>0</v>
      </c>
      <c r="K438" s="19">
        <f t="shared" si="50"/>
        <v>0</v>
      </c>
      <c r="L438" s="19">
        <v>-2.5799999999999998E-3</v>
      </c>
      <c r="M438" s="19">
        <v>-2.64E-3</v>
      </c>
      <c r="N438" s="19">
        <v>-3.63E-3</v>
      </c>
      <c r="O438" s="19">
        <v>-4.3099999999999996E-3</v>
      </c>
      <c r="P438" s="19">
        <v>-4.4799999999999996E-3</v>
      </c>
      <c r="Q438" s="19">
        <v>-4.28E-3</v>
      </c>
      <c r="R438" s="19"/>
      <c r="S438" s="19">
        <f t="shared" si="51"/>
        <v>0</v>
      </c>
      <c r="T438" s="19">
        <f t="shared" si="52"/>
        <v>0</v>
      </c>
      <c r="U438" s="19">
        <f t="shared" si="53"/>
        <v>0</v>
      </c>
      <c r="V438" s="19">
        <f t="shared" si="54"/>
        <v>0</v>
      </c>
      <c r="W438" s="19">
        <f t="shared" si="55"/>
        <v>0</v>
      </c>
      <c r="X438" s="21">
        <f t="shared" si="56"/>
        <v>0</v>
      </c>
    </row>
    <row r="439" spans="1:24" ht="13.5" x14ac:dyDescent="0.35">
      <c r="A439" s="18">
        <v>105193</v>
      </c>
      <c r="B439" s="19" t="s">
        <v>193</v>
      </c>
      <c r="C439" s="19">
        <v>23</v>
      </c>
      <c r="D439" s="19">
        <v>101</v>
      </c>
      <c r="E439" s="19">
        <v>524</v>
      </c>
      <c r="F439" s="19">
        <v>0</v>
      </c>
      <c r="G439" s="19">
        <v>0</v>
      </c>
      <c r="H439" s="19">
        <v>0</v>
      </c>
      <c r="I439" s="20">
        <v>0</v>
      </c>
      <c r="J439" s="19">
        <f t="shared" si="49"/>
        <v>0</v>
      </c>
      <c r="K439" s="19">
        <f t="shared" si="50"/>
        <v>0</v>
      </c>
      <c r="L439" s="19">
        <v>-2.5799999999999998E-3</v>
      </c>
      <c r="M439" s="19">
        <v>-2.64E-3</v>
      </c>
      <c r="N439" s="19">
        <v>-3.63E-3</v>
      </c>
      <c r="O439" s="19">
        <v>-4.3099999999999996E-3</v>
      </c>
      <c r="P439" s="19">
        <v>-4.4799999999999996E-3</v>
      </c>
      <c r="Q439" s="19">
        <v>-4.28E-3</v>
      </c>
      <c r="R439" s="19"/>
      <c r="S439" s="19">
        <f t="shared" si="51"/>
        <v>0</v>
      </c>
      <c r="T439" s="19">
        <f t="shared" si="52"/>
        <v>0</v>
      </c>
      <c r="U439" s="19">
        <f t="shared" si="53"/>
        <v>0</v>
      </c>
      <c r="V439" s="19">
        <f t="shared" si="54"/>
        <v>0</v>
      </c>
      <c r="W439" s="19">
        <f t="shared" si="55"/>
        <v>0</v>
      </c>
      <c r="X439" s="21">
        <f t="shared" si="56"/>
        <v>0</v>
      </c>
    </row>
    <row r="440" spans="1:24" ht="13.5" x14ac:dyDescent="0.35">
      <c r="A440" s="18">
        <v>105194</v>
      </c>
      <c r="B440" s="19" t="s">
        <v>194</v>
      </c>
      <c r="C440" s="19">
        <v>2.2999999999999998</v>
      </c>
      <c r="D440" s="19">
        <v>101</v>
      </c>
      <c r="E440" s="19">
        <v>524</v>
      </c>
      <c r="F440" s="19">
        <v>0</v>
      </c>
      <c r="G440" s="19">
        <v>0</v>
      </c>
      <c r="H440" s="19">
        <v>0</v>
      </c>
      <c r="I440" s="20">
        <v>0</v>
      </c>
      <c r="J440" s="19">
        <f t="shared" si="49"/>
        <v>0</v>
      </c>
      <c r="K440" s="19">
        <f t="shared" si="50"/>
        <v>0</v>
      </c>
      <c r="L440" s="19">
        <v>-2.5799999999999998E-3</v>
      </c>
      <c r="M440" s="19">
        <v>-2.64E-3</v>
      </c>
      <c r="N440" s="19">
        <v>-3.63E-3</v>
      </c>
      <c r="O440" s="19">
        <v>-4.3099999999999996E-3</v>
      </c>
      <c r="P440" s="19">
        <v>-4.4799999999999996E-3</v>
      </c>
      <c r="Q440" s="19">
        <v>-4.28E-3</v>
      </c>
      <c r="R440" s="19"/>
      <c r="S440" s="19">
        <f t="shared" si="51"/>
        <v>0</v>
      </c>
      <c r="T440" s="19">
        <f t="shared" si="52"/>
        <v>0</v>
      </c>
      <c r="U440" s="19">
        <f t="shared" si="53"/>
        <v>0</v>
      </c>
      <c r="V440" s="19">
        <f t="shared" si="54"/>
        <v>0</v>
      </c>
      <c r="W440" s="19">
        <f t="shared" si="55"/>
        <v>0</v>
      </c>
      <c r="X440" s="21">
        <f t="shared" si="56"/>
        <v>0</v>
      </c>
    </row>
    <row r="441" spans="1:24" ht="13.5" x14ac:dyDescent="0.35">
      <c r="A441" s="18">
        <v>105197</v>
      </c>
      <c r="B441" s="19" t="s">
        <v>195</v>
      </c>
      <c r="C441" s="19">
        <v>0.69</v>
      </c>
      <c r="D441" s="19">
        <v>101</v>
      </c>
      <c r="E441" s="19">
        <v>523</v>
      </c>
      <c r="F441" s="19">
        <v>2.5</v>
      </c>
      <c r="G441" s="19">
        <v>0</v>
      </c>
      <c r="H441" s="19">
        <v>2.5</v>
      </c>
      <c r="I441" s="20">
        <v>2.5</v>
      </c>
      <c r="J441" s="19">
        <f t="shared" si="49"/>
        <v>0</v>
      </c>
      <c r="K441" s="19">
        <f t="shared" si="50"/>
        <v>0</v>
      </c>
      <c r="L441" s="19">
        <v>-2.5799999999999998E-3</v>
      </c>
      <c r="M441" s="19">
        <v>-2.64E-3</v>
      </c>
      <c r="N441" s="19">
        <v>-3.63E-3</v>
      </c>
      <c r="O441" s="19">
        <v>-4.3099999999999996E-3</v>
      </c>
      <c r="P441" s="19">
        <v>-4.4799999999999996E-3</v>
      </c>
      <c r="Q441" s="19">
        <v>-4.28E-3</v>
      </c>
      <c r="R441" s="19"/>
      <c r="S441" s="19">
        <f t="shared" si="51"/>
        <v>0</v>
      </c>
      <c r="T441" s="19">
        <f t="shared" si="52"/>
        <v>0</v>
      </c>
      <c r="U441" s="19">
        <f t="shared" si="53"/>
        <v>0</v>
      </c>
      <c r="V441" s="19">
        <f t="shared" si="54"/>
        <v>0</v>
      </c>
      <c r="W441" s="19">
        <f t="shared" si="55"/>
        <v>0</v>
      </c>
      <c r="X441" s="21">
        <f t="shared" si="56"/>
        <v>0</v>
      </c>
    </row>
    <row r="442" spans="1:24" ht="13.5" x14ac:dyDescent="0.35">
      <c r="A442" s="18">
        <v>105206</v>
      </c>
      <c r="B442" s="19" t="s">
        <v>196</v>
      </c>
      <c r="C442" s="19">
        <v>13.2</v>
      </c>
      <c r="D442" s="19">
        <v>101</v>
      </c>
      <c r="E442" s="19">
        <v>524</v>
      </c>
      <c r="F442" s="19">
        <v>0</v>
      </c>
      <c r="G442" s="19">
        <v>0</v>
      </c>
      <c r="H442" s="19">
        <v>0</v>
      </c>
      <c r="I442" s="20">
        <v>0</v>
      </c>
      <c r="J442" s="19">
        <f t="shared" si="49"/>
        <v>0</v>
      </c>
      <c r="K442" s="19">
        <f t="shared" si="50"/>
        <v>0</v>
      </c>
      <c r="L442" s="19">
        <v>-2.5799999999999998E-3</v>
      </c>
      <c r="M442" s="19">
        <v>-2.64E-3</v>
      </c>
      <c r="N442" s="19">
        <v>-3.63E-3</v>
      </c>
      <c r="O442" s="19">
        <v>-4.3099999999999996E-3</v>
      </c>
      <c r="P442" s="19">
        <v>-4.4799999999999996E-3</v>
      </c>
      <c r="Q442" s="19">
        <v>-4.28E-3</v>
      </c>
      <c r="R442" s="19"/>
      <c r="S442" s="19">
        <f t="shared" si="51"/>
        <v>0</v>
      </c>
      <c r="T442" s="19">
        <f t="shared" si="52"/>
        <v>0</v>
      </c>
      <c r="U442" s="19">
        <f t="shared" si="53"/>
        <v>0</v>
      </c>
      <c r="V442" s="19">
        <f t="shared" si="54"/>
        <v>0</v>
      </c>
      <c r="W442" s="19">
        <f t="shared" si="55"/>
        <v>0</v>
      </c>
      <c r="X442" s="21">
        <f t="shared" si="56"/>
        <v>0</v>
      </c>
    </row>
    <row r="443" spans="1:24" ht="13.5" x14ac:dyDescent="0.35">
      <c r="A443" s="18">
        <v>105219</v>
      </c>
      <c r="B443" s="19" t="s">
        <v>197</v>
      </c>
      <c r="C443" s="19">
        <v>13.8</v>
      </c>
      <c r="D443" s="19">
        <v>101</v>
      </c>
      <c r="E443" s="19">
        <v>524</v>
      </c>
      <c r="F443" s="19">
        <v>15.75</v>
      </c>
      <c r="G443" s="19">
        <v>0</v>
      </c>
      <c r="H443" s="19">
        <v>15.75</v>
      </c>
      <c r="I443" s="20">
        <v>15.75</v>
      </c>
      <c r="J443" s="19">
        <f t="shared" si="49"/>
        <v>0</v>
      </c>
      <c r="K443" s="19">
        <f t="shared" si="50"/>
        <v>0</v>
      </c>
      <c r="L443" s="19">
        <v>-2.5799999999999998E-3</v>
      </c>
      <c r="M443" s="19">
        <v>-2.64E-3</v>
      </c>
      <c r="N443" s="19">
        <v>-3.63E-3</v>
      </c>
      <c r="O443" s="19">
        <v>-4.3099999999999996E-3</v>
      </c>
      <c r="P443" s="19">
        <v>-4.4799999999999996E-3</v>
      </c>
      <c r="Q443" s="19">
        <v>-4.28E-3</v>
      </c>
      <c r="R443" s="19"/>
      <c r="S443" s="19">
        <f t="shared" si="51"/>
        <v>0</v>
      </c>
      <c r="T443" s="19">
        <f t="shared" si="52"/>
        <v>0</v>
      </c>
      <c r="U443" s="19">
        <f t="shared" si="53"/>
        <v>0</v>
      </c>
      <c r="V443" s="19">
        <f t="shared" si="54"/>
        <v>0</v>
      </c>
      <c r="W443" s="19">
        <f t="shared" si="55"/>
        <v>0</v>
      </c>
      <c r="X443" s="21">
        <f t="shared" si="56"/>
        <v>0</v>
      </c>
    </row>
    <row r="444" spans="1:24" ht="13.5" x14ac:dyDescent="0.35">
      <c r="A444" s="18">
        <v>105221</v>
      </c>
      <c r="B444" s="19" t="s">
        <v>198</v>
      </c>
      <c r="C444" s="19">
        <v>13.8</v>
      </c>
      <c r="D444" s="19">
        <v>101</v>
      </c>
      <c r="E444" s="19">
        <v>524</v>
      </c>
      <c r="F444" s="19">
        <v>18</v>
      </c>
      <c r="G444" s="19">
        <v>0</v>
      </c>
      <c r="H444" s="19">
        <v>18</v>
      </c>
      <c r="I444" s="20">
        <v>18</v>
      </c>
      <c r="J444" s="19">
        <f t="shared" si="49"/>
        <v>0</v>
      </c>
      <c r="K444" s="19">
        <f t="shared" si="50"/>
        <v>0</v>
      </c>
      <c r="L444" s="19">
        <v>-2.5799999999999998E-3</v>
      </c>
      <c r="M444" s="19">
        <v>-2.64E-3</v>
      </c>
      <c r="N444" s="19">
        <v>-3.63E-3</v>
      </c>
      <c r="O444" s="19">
        <v>-4.3099999999999996E-3</v>
      </c>
      <c r="P444" s="19">
        <v>-4.4799999999999996E-3</v>
      </c>
      <c r="Q444" s="19">
        <v>-4.28E-3</v>
      </c>
      <c r="R444" s="19"/>
      <c r="S444" s="19">
        <f t="shared" si="51"/>
        <v>0</v>
      </c>
      <c r="T444" s="19">
        <f t="shared" si="52"/>
        <v>0</v>
      </c>
      <c r="U444" s="19">
        <f t="shared" si="53"/>
        <v>0</v>
      </c>
      <c r="V444" s="19">
        <f t="shared" si="54"/>
        <v>0</v>
      </c>
      <c r="W444" s="19">
        <f t="shared" si="55"/>
        <v>0</v>
      </c>
      <c r="X444" s="21">
        <f t="shared" si="56"/>
        <v>0</v>
      </c>
    </row>
    <row r="445" spans="1:24" ht="13.5" x14ac:dyDescent="0.35">
      <c r="A445" s="18">
        <v>106044</v>
      </c>
      <c r="B445" s="19" t="s">
        <v>243</v>
      </c>
      <c r="C445" s="19">
        <v>13.8</v>
      </c>
      <c r="D445" s="19">
        <v>101</v>
      </c>
      <c r="E445" s="19">
        <v>400</v>
      </c>
      <c r="F445" s="19">
        <v>47.27</v>
      </c>
      <c r="G445" s="19">
        <v>0</v>
      </c>
      <c r="H445" s="19">
        <v>47.27</v>
      </c>
      <c r="I445" s="20">
        <v>47.27</v>
      </c>
      <c r="J445" s="19">
        <f t="shared" si="49"/>
        <v>0</v>
      </c>
      <c r="K445" s="19">
        <f t="shared" si="50"/>
        <v>0</v>
      </c>
      <c r="L445" s="19">
        <v>-2.5999999999999999E-3</v>
      </c>
      <c r="M445" s="19">
        <v>-2.66E-3</v>
      </c>
      <c r="N445" s="19">
        <v>-3.65E-3</v>
      </c>
      <c r="O445" s="19">
        <v>-4.3299999999999996E-3</v>
      </c>
      <c r="P445" s="19">
        <v>-4.5100000000000001E-3</v>
      </c>
      <c r="Q445" s="19">
        <v>-4.3E-3</v>
      </c>
      <c r="R445" s="19"/>
      <c r="S445" s="19">
        <f t="shared" si="51"/>
        <v>0</v>
      </c>
      <c r="T445" s="19">
        <f t="shared" si="52"/>
        <v>0</v>
      </c>
      <c r="U445" s="19">
        <f t="shared" si="53"/>
        <v>0</v>
      </c>
      <c r="V445" s="19">
        <f t="shared" si="54"/>
        <v>0</v>
      </c>
      <c r="W445" s="19">
        <f t="shared" si="55"/>
        <v>0</v>
      </c>
      <c r="X445" s="21">
        <f t="shared" si="56"/>
        <v>0</v>
      </c>
    </row>
    <row r="446" spans="1:24" ht="13.5" x14ac:dyDescent="0.35">
      <c r="A446" s="18">
        <v>106046</v>
      </c>
      <c r="B446" s="19" t="s">
        <v>245</v>
      </c>
      <c r="C446" s="19">
        <v>13.8</v>
      </c>
      <c r="D446" s="19">
        <v>101</v>
      </c>
      <c r="E446" s="19">
        <v>400</v>
      </c>
      <c r="F446" s="19">
        <v>0</v>
      </c>
      <c r="G446" s="19">
        <v>0</v>
      </c>
      <c r="H446" s="19">
        <v>0</v>
      </c>
      <c r="I446" s="20">
        <v>0</v>
      </c>
      <c r="J446" s="19">
        <f t="shared" si="49"/>
        <v>0</v>
      </c>
      <c r="K446" s="19">
        <f t="shared" si="50"/>
        <v>0</v>
      </c>
      <c r="L446" s="19">
        <v>-2.6199999999999999E-3</v>
      </c>
      <c r="M446" s="19">
        <v>-2.6700000000000001E-3</v>
      </c>
      <c r="N446" s="19">
        <v>-3.6600000000000001E-3</v>
      </c>
      <c r="O446" s="19">
        <v>-4.3499999999999997E-3</v>
      </c>
      <c r="P446" s="19">
        <v>-4.5199999999999997E-3</v>
      </c>
      <c r="Q446" s="19">
        <v>-4.3099999999999996E-3</v>
      </c>
      <c r="R446" s="19"/>
      <c r="S446" s="19">
        <f t="shared" si="51"/>
        <v>0</v>
      </c>
      <c r="T446" s="19">
        <f t="shared" si="52"/>
        <v>0</v>
      </c>
      <c r="U446" s="19">
        <f t="shared" si="53"/>
        <v>0</v>
      </c>
      <c r="V446" s="19">
        <f t="shared" si="54"/>
        <v>0</v>
      </c>
      <c r="W446" s="19">
        <f t="shared" si="55"/>
        <v>0</v>
      </c>
      <c r="X446" s="21">
        <f t="shared" si="56"/>
        <v>0</v>
      </c>
    </row>
    <row r="447" spans="1:24" ht="13.5" x14ac:dyDescent="0.35">
      <c r="A447" s="18">
        <v>106045</v>
      </c>
      <c r="B447" s="19" t="s">
        <v>244</v>
      </c>
      <c r="C447" s="19">
        <v>13.8</v>
      </c>
      <c r="D447" s="19">
        <v>101</v>
      </c>
      <c r="E447" s="19">
        <v>400</v>
      </c>
      <c r="F447" s="19">
        <v>47.27</v>
      </c>
      <c r="G447" s="19">
        <v>0</v>
      </c>
      <c r="H447" s="19">
        <v>47.27</v>
      </c>
      <c r="I447" s="20">
        <v>47.27</v>
      </c>
      <c r="J447" s="19">
        <f t="shared" si="49"/>
        <v>0</v>
      </c>
      <c r="K447" s="19">
        <f t="shared" si="50"/>
        <v>0</v>
      </c>
      <c r="L447" s="19">
        <v>-2.64E-3</v>
      </c>
      <c r="M447" s="19">
        <v>-2.6900000000000001E-3</v>
      </c>
      <c r="N447" s="19">
        <v>-3.6900000000000001E-3</v>
      </c>
      <c r="O447" s="19">
        <v>-4.3699999999999998E-3</v>
      </c>
      <c r="P447" s="19">
        <v>-4.5500000000000002E-3</v>
      </c>
      <c r="Q447" s="19">
        <v>-4.3400000000000001E-3</v>
      </c>
      <c r="R447" s="19"/>
      <c r="S447" s="19">
        <f t="shared" si="51"/>
        <v>0</v>
      </c>
      <c r="T447" s="19">
        <f t="shared" si="52"/>
        <v>0</v>
      </c>
      <c r="U447" s="19">
        <f t="shared" si="53"/>
        <v>0</v>
      </c>
      <c r="V447" s="19">
        <f t="shared" si="54"/>
        <v>0</v>
      </c>
      <c r="W447" s="19">
        <f t="shared" si="55"/>
        <v>0</v>
      </c>
      <c r="X447" s="21">
        <f t="shared" si="56"/>
        <v>0</v>
      </c>
    </row>
    <row r="448" spans="1:24" ht="13.5" x14ac:dyDescent="0.35">
      <c r="A448" s="18">
        <v>106047</v>
      </c>
      <c r="B448" s="19" t="s">
        <v>246</v>
      </c>
      <c r="C448" s="19">
        <v>13.8</v>
      </c>
      <c r="D448" s="19">
        <v>101</v>
      </c>
      <c r="E448" s="19">
        <v>400</v>
      </c>
      <c r="F448" s="19">
        <v>47.27</v>
      </c>
      <c r="G448" s="19">
        <v>0</v>
      </c>
      <c r="H448" s="19">
        <v>47.27</v>
      </c>
      <c r="I448" s="20">
        <v>47.27</v>
      </c>
      <c r="J448" s="19">
        <f t="shared" si="49"/>
        <v>0</v>
      </c>
      <c r="K448" s="19">
        <f t="shared" si="50"/>
        <v>0</v>
      </c>
      <c r="L448" s="19">
        <v>-2.64E-3</v>
      </c>
      <c r="M448" s="19">
        <v>-2.6900000000000001E-3</v>
      </c>
      <c r="N448" s="19">
        <v>-3.6900000000000001E-3</v>
      </c>
      <c r="O448" s="19">
        <v>-4.3699999999999998E-3</v>
      </c>
      <c r="P448" s="19">
        <v>-4.5500000000000002E-3</v>
      </c>
      <c r="Q448" s="19">
        <v>-4.3400000000000001E-3</v>
      </c>
      <c r="R448" s="19"/>
      <c r="S448" s="19">
        <f t="shared" si="51"/>
        <v>0</v>
      </c>
      <c r="T448" s="19">
        <f t="shared" si="52"/>
        <v>0</v>
      </c>
      <c r="U448" s="19">
        <f t="shared" si="53"/>
        <v>0</v>
      </c>
      <c r="V448" s="19">
        <f t="shared" si="54"/>
        <v>0</v>
      </c>
      <c r="W448" s="19">
        <f t="shared" si="55"/>
        <v>0</v>
      </c>
      <c r="X448" s="21">
        <f t="shared" si="56"/>
        <v>0</v>
      </c>
    </row>
    <row r="449" spans="1:24" ht="13.5" x14ac:dyDescent="0.35">
      <c r="A449" s="18">
        <v>106040</v>
      </c>
      <c r="B449" s="19" t="s">
        <v>239</v>
      </c>
      <c r="C449" s="19">
        <v>13.8</v>
      </c>
      <c r="D449" s="19">
        <v>101</v>
      </c>
      <c r="E449" s="19">
        <v>400</v>
      </c>
      <c r="F449" s="19">
        <v>0</v>
      </c>
      <c r="G449" s="19">
        <v>0</v>
      </c>
      <c r="H449" s="19">
        <v>0</v>
      </c>
      <c r="I449" s="20">
        <v>0</v>
      </c>
      <c r="J449" s="19">
        <f t="shared" si="49"/>
        <v>0</v>
      </c>
      <c r="K449" s="19">
        <f t="shared" si="50"/>
        <v>0</v>
      </c>
      <c r="L449" s="19">
        <v>-2.65E-3</v>
      </c>
      <c r="M449" s="19">
        <v>-2.7000000000000001E-3</v>
      </c>
      <c r="N449" s="19">
        <v>-3.7000000000000002E-3</v>
      </c>
      <c r="O449" s="19">
        <v>-4.3800000000000002E-3</v>
      </c>
      <c r="P449" s="19">
        <v>-4.5599999999999998E-3</v>
      </c>
      <c r="Q449" s="19">
        <v>-4.3499999999999997E-3</v>
      </c>
      <c r="R449" s="19"/>
      <c r="S449" s="19">
        <f t="shared" si="51"/>
        <v>0</v>
      </c>
      <c r="T449" s="19">
        <f t="shared" si="52"/>
        <v>0</v>
      </c>
      <c r="U449" s="19">
        <f t="shared" si="53"/>
        <v>0</v>
      </c>
      <c r="V449" s="19">
        <f t="shared" si="54"/>
        <v>0</v>
      </c>
      <c r="W449" s="19">
        <f t="shared" si="55"/>
        <v>0</v>
      </c>
      <c r="X449" s="21">
        <f t="shared" si="56"/>
        <v>0</v>
      </c>
    </row>
    <row r="450" spans="1:24" ht="13.5" x14ac:dyDescent="0.35">
      <c r="A450" s="18">
        <v>106041</v>
      </c>
      <c r="B450" s="19" t="s">
        <v>240</v>
      </c>
      <c r="C450" s="19">
        <v>13.8</v>
      </c>
      <c r="D450" s="19">
        <v>101</v>
      </c>
      <c r="E450" s="19">
        <v>400</v>
      </c>
      <c r="F450" s="19">
        <v>0</v>
      </c>
      <c r="G450" s="19">
        <v>0</v>
      </c>
      <c r="H450" s="19">
        <v>0</v>
      </c>
      <c r="I450" s="20">
        <v>0</v>
      </c>
      <c r="J450" s="19">
        <f t="shared" si="49"/>
        <v>0</v>
      </c>
      <c r="K450" s="19">
        <f t="shared" si="50"/>
        <v>0</v>
      </c>
      <c r="L450" s="19">
        <v>-2.65E-3</v>
      </c>
      <c r="M450" s="19">
        <v>-2.7000000000000001E-3</v>
      </c>
      <c r="N450" s="19">
        <v>-3.7000000000000002E-3</v>
      </c>
      <c r="O450" s="19">
        <v>-4.3800000000000002E-3</v>
      </c>
      <c r="P450" s="19">
        <v>-4.5599999999999998E-3</v>
      </c>
      <c r="Q450" s="19">
        <v>-4.3499999999999997E-3</v>
      </c>
      <c r="R450" s="19"/>
      <c r="S450" s="19">
        <f t="shared" si="51"/>
        <v>0</v>
      </c>
      <c r="T450" s="19">
        <f t="shared" si="52"/>
        <v>0</v>
      </c>
      <c r="U450" s="19">
        <f t="shared" si="53"/>
        <v>0</v>
      </c>
      <c r="V450" s="19">
        <f t="shared" si="54"/>
        <v>0</v>
      </c>
      <c r="W450" s="19">
        <f t="shared" si="55"/>
        <v>0</v>
      </c>
      <c r="X450" s="21">
        <f t="shared" si="56"/>
        <v>0</v>
      </c>
    </row>
    <row r="451" spans="1:24" ht="13.5" x14ac:dyDescent="0.35">
      <c r="A451" s="18">
        <v>106042</v>
      </c>
      <c r="B451" s="19" t="s">
        <v>241</v>
      </c>
      <c r="C451" s="19">
        <v>13.8</v>
      </c>
      <c r="D451" s="19">
        <v>101</v>
      </c>
      <c r="E451" s="19">
        <v>400</v>
      </c>
      <c r="F451" s="19">
        <v>0</v>
      </c>
      <c r="G451" s="19">
        <v>0</v>
      </c>
      <c r="H451" s="19">
        <v>0</v>
      </c>
      <c r="I451" s="20">
        <v>0</v>
      </c>
      <c r="J451" s="19">
        <f t="shared" si="49"/>
        <v>0</v>
      </c>
      <c r="K451" s="19">
        <f t="shared" si="50"/>
        <v>0</v>
      </c>
      <c r="L451" s="19">
        <v>-2.65E-3</v>
      </c>
      <c r="M451" s="19">
        <v>-2.7000000000000001E-3</v>
      </c>
      <c r="N451" s="19">
        <v>-3.7000000000000002E-3</v>
      </c>
      <c r="O451" s="19">
        <v>-4.3800000000000002E-3</v>
      </c>
      <c r="P451" s="19">
        <v>-4.5599999999999998E-3</v>
      </c>
      <c r="Q451" s="19">
        <v>-4.3499999999999997E-3</v>
      </c>
      <c r="R451" s="19"/>
      <c r="S451" s="19">
        <f t="shared" si="51"/>
        <v>0</v>
      </c>
      <c r="T451" s="19">
        <f t="shared" si="52"/>
        <v>0</v>
      </c>
      <c r="U451" s="19">
        <f t="shared" si="53"/>
        <v>0</v>
      </c>
      <c r="V451" s="19">
        <f t="shared" si="54"/>
        <v>0</v>
      </c>
      <c r="W451" s="19">
        <f t="shared" si="55"/>
        <v>0</v>
      </c>
      <c r="X451" s="21">
        <f t="shared" si="56"/>
        <v>0</v>
      </c>
    </row>
    <row r="452" spans="1:24" ht="13.5" x14ac:dyDescent="0.35">
      <c r="A452" s="18">
        <v>106043</v>
      </c>
      <c r="B452" s="19" t="s">
        <v>242</v>
      </c>
      <c r="C452" s="19">
        <v>13.8</v>
      </c>
      <c r="D452" s="19">
        <v>101</v>
      </c>
      <c r="E452" s="19">
        <v>400</v>
      </c>
      <c r="F452" s="19">
        <v>0</v>
      </c>
      <c r="G452" s="19">
        <v>0</v>
      </c>
      <c r="H452" s="19">
        <v>0</v>
      </c>
      <c r="I452" s="20">
        <v>0</v>
      </c>
      <c r="J452" s="19">
        <f t="shared" si="49"/>
        <v>0</v>
      </c>
      <c r="K452" s="19">
        <f t="shared" si="50"/>
        <v>0</v>
      </c>
      <c r="L452" s="19">
        <v>-2.65E-3</v>
      </c>
      <c r="M452" s="19">
        <v>-2.7000000000000001E-3</v>
      </c>
      <c r="N452" s="19">
        <v>-3.7000000000000002E-3</v>
      </c>
      <c r="O452" s="19">
        <v>-4.3800000000000002E-3</v>
      </c>
      <c r="P452" s="19">
        <v>-4.5599999999999998E-3</v>
      </c>
      <c r="Q452" s="19">
        <v>-4.3499999999999997E-3</v>
      </c>
      <c r="R452" s="19"/>
      <c r="S452" s="19">
        <f t="shared" si="51"/>
        <v>0</v>
      </c>
      <c r="T452" s="19">
        <f t="shared" si="52"/>
        <v>0</v>
      </c>
      <c r="U452" s="19">
        <f t="shared" si="53"/>
        <v>0</v>
      </c>
      <c r="V452" s="19">
        <f t="shared" si="54"/>
        <v>0</v>
      </c>
      <c r="W452" s="19">
        <f t="shared" si="55"/>
        <v>0</v>
      </c>
      <c r="X452" s="21">
        <f t="shared" si="56"/>
        <v>0</v>
      </c>
    </row>
    <row r="453" spans="1:24" ht="13.5" x14ac:dyDescent="0.35">
      <c r="A453" s="18">
        <v>105357</v>
      </c>
      <c r="B453" s="19" t="s">
        <v>214</v>
      </c>
      <c r="C453" s="19">
        <v>12.5</v>
      </c>
      <c r="D453" s="19">
        <v>101</v>
      </c>
      <c r="E453" s="19">
        <v>563</v>
      </c>
      <c r="F453" s="19">
        <v>0</v>
      </c>
      <c r="G453" s="19">
        <v>0</v>
      </c>
      <c r="H453" s="19">
        <v>0</v>
      </c>
      <c r="I453" s="20">
        <v>0</v>
      </c>
      <c r="J453" s="19">
        <f t="shared" si="49"/>
        <v>0</v>
      </c>
      <c r="K453" s="19">
        <f t="shared" si="50"/>
        <v>0</v>
      </c>
      <c r="L453" s="19">
        <v>-2.6700000000000001E-3</v>
      </c>
      <c r="M453" s="19">
        <v>-2.7299999999999998E-3</v>
      </c>
      <c r="N453" s="19">
        <v>-3.7499999999999999E-3</v>
      </c>
      <c r="O453" s="19">
        <v>-4.4600000000000004E-3</v>
      </c>
      <c r="P453" s="19">
        <v>-4.64E-3</v>
      </c>
      <c r="Q453" s="19">
        <v>-4.4200000000000003E-3</v>
      </c>
      <c r="R453" s="19"/>
      <c r="S453" s="19">
        <f t="shared" si="51"/>
        <v>0</v>
      </c>
      <c r="T453" s="19">
        <f t="shared" si="52"/>
        <v>0</v>
      </c>
      <c r="U453" s="19">
        <f t="shared" si="53"/>
        <v>0</v>
      </c>
      <c r="V453" s="19">
        <f t="shared" si="54"/>
        <v>0</v>
      </c>
      <c r="W453" s="19">
        <f t="shared" si="55"/>
        <v>0</v>
      </c>
      <c r="X453" s="21">
        <f t="shared" si="56"/>
        <v>0</v>
      </c>
    </row>
    <row r="454" spans="1:24" ht="13.5" x14ac:dyDescent="0.35">
      <c r="A454" s="18">
        <v>105358</v>
      </c>
      <c r="B454" s="19" t="s">
        <v>215</v>
      </c>
      <c r="C454" s="19">
        <v>12.5</v>
      </c>
      <c r="D454" s="19">
        <v>101</v>
      </c>
      <c r="E454" s="19">
        <v>563</v>
      </c>
      <c r="F454" s="19">
        <v>0</v>
      </c>
      <c r="G454" s="19">
        <v>0</v>
      </c>
      <c r="H454" s="19">
        <v>0</v>
      </c>
      <c r="I454" s="20">
        <v>0</v>
      </c>
      <c r="J454" s="19">
        <f t="shared" si="49"/>
        <v>0</v>
      </c>
      <c r="K454" s="19">
        <f t="shared" si="50"/>
        <v>0</v>
      </c>
      <c r="L454" s="19">
        <v>-2.6700000000000001E-3</v>
      </c>
      <c r="M454" s="19">
        <v>-2.7299999999999998E-3</v>
      </c>
      <c r="N454" s="19">
        <v>-3.7499999999999999E-3</v>
      </c>
      <c r="O454" s="19">
        <v>-4.4600000000000004E-3</v>
      </c>
      <c r="P454" s="19">
        <v>-4.64E-3</v>
      </c>
      <c r="Q454" s="19">
        <v>-4.4200000000000003E-3</v>
      </c>
      <c r="R454" s="19"/>
      <c r="S454" s="19">
        <f t="shared" si="51"/>
        <v>0</v>
      </c>
      <c r="T454" s="19">
        <f t="shared" si="52"/>
        <v>0</v>
      </c>
      <c r="U454" s="19">
        <f t="shared" si="53"/>
        <v>0</v>
      </c>
      <c r="V454" s="19">
        <f t="shared" si="54"/>
        <v>0</v>
      </c>
      <c r="W454" s="19">
        <f t="shared" si="55"/>
        <v>0</v>
      </c>
      <c r="X454" s="21">
        <f t="shared" si="56"/>
        <v>0</v>
      </c>
    </row>
    <row r="455" spans="1:24" ht="13.5" x14ac:dyDescent="0.35">
      <c r="A455" s="18">
        <v>105362</v>
      </c>
      <c r="B455" s="19" t="s">
        <v>216</v>
      </c>
      <c r="C455" s="19">
        <v>4.16</v>
      </c>
      <c r="D455" s="19">
        <v>101</v>
      </c>
      <c r="E455" s="19">
        <v>644</v>
      </c>
      <c r="F455" s="19">
        <v>0</v>
      </c>
      <c r="G455" s="19">
        <v>0</v>
      </c>
      <c r="H455" s="19">
        <v>0</v>
      </c>
      <c r="I455" s="20">
        <v>0</v>
      </c>
      <c r="J455" s="19">
        <f t="shared" si="49"/>
        <v>0</v>
      </c>
      <c r="K455" s="19">
        <f t="shared" si="50"/>
        <v>0</v>
      </c>
      <c r="L455" s="19">
        <v>-2.6700000000000001E-3</v>
      </c>
      <c r="M455" s="19">
        <v>-2.7299999999999998E-3</v>
      </c>
      <c r="N455" s="19">
        <v>-3.7499999999999999E-3</v>
      </c>
      <c r="O455" s="19">
        <v>-4.4600000000000004E-3</v>
      </c>
      <c r="P455" s="19">
        <v>-4.64E-3</v>
      </c>
      <c r="Q455" s="19">
        <v>-4.4200000000000003E-3</v>
      </c>
      <c r="R455" s="19"/>
      <c r="S455" s="19">
        <f t="shared" si="51"/>
        <v>0</v>
      </c>
      <c r="T455" s="19">
        <f t="shared" si="52"/>
        <v>0</v>
      </c>
      <c r="U455" s="19">
        <f t="shared" si="53"/>
        <v>0</v>
      </c>
      <c r="V455" s="19">
        <f t="shared" si="54"/>
        <v>0</v>
      </c>
      <c r="W455" s="19">
        <f t="shared" si="55"/>
        <v>0</v>
      </c>
      <c r="X455" s="21">
        <f t="shared" si="56"/>
        <v>0</v>
      </c>
    </row>
    <row r="456" spans="1:24" ht="13.5" x14ac:dyDescent="0.35">
      <c r="A456" s="18">
        <v>105700</v>
      </c>
      <c r="B456" s="19" t="s">
        <v>233</v>
      </c>
      <c r="C456" s="19">
        <v>2.2999999999999998</v>
      </c>
      <c r="D456" s="19">
        <v>101</v>
      </c>
      <c r="E456" s="19">
        <v>644</v>
      </c>
      <c r="F456" s="19">
        <v>0</v>
      </c>
      <c r="G456" s="19">
        <v>0</v>
      </c>
      <c r="H456" s="19">
        <v>0</v>
      </c>
      <c r="I456" s="20">
        <v>0</v>
      </c>
      <c r="J456" s="19">
        <f t="shared" si="49"/>
        <v>0</v>
      </c>
      <c r="K456" s="19">
        <f t="shared" si="50"/>
        <v>0</v>
      </c>
      <c r="L456" s="19">
        <v>-2.8E-3</v>
      </c>
      <c r="M456" s="19">
        <v>-2.8400000000000001E-3</v>
      </c>
      <c r="N456" s="19">
        <v>-3.8899999999999998E-3</v>
      </c>
      <c r="O456" s="19">
        <v>-4.6100000000000004E-3</v>
      </c>
      <c r="P456" s="19">
        <v>-4.7999999999999996E-3</v>
      </c>
      <c r="Q456" s="19">
        <v>-4.5700000000000003E-3</v>
      </c>
      <c r="R456" s="19"/>
      <c r="S456" s="19">
        <f t="shared" si="51"/>
        <v>0</v>
      </c>
      <c r="T456" s="19">
        <f t="shared" si="52"/>
        <v>0</v>
      </c>
      <c r="U456" s="19">
        <f t="shared" si="53"/>
        <v>0</v>
      </c>
      <c r="V456" s="19">
        <f t="shared" si="54"/>
        <v>0</v>
      </c>
      <c r="W456" s="19">
        <f t="shared" si="55"/>
        <v>0</v>
      </c>
      <c r="X456" s="21">
        <f t="shared" si="56"/>
        <v>0</v>
      </c>
    </row>
    <row r="457" spans="1:24" ht="13.5" x14ac:dyDescent="0.35">
      <c r="A457" s="18">
        <v>105701</v>
      </c>
      <c r="B457" s="19" t="s">
        <v>234</v>
      </c>
      <c r="C457" s="19">
        <v>2.2999999999999998</v>
      </c>
      <c r="D457" s="19">
        <v>101</v>
      </c>
      <c r="E457" s="19">
        <v>644</v>
      </c>
      <c r="F457" s="19">
        <v>0</v>
      </c>
      <c r="G457" s="19">
        <v>0</v>
      </c>
      <c r="H457" s="19">
        <v>0</v>
      </c>
      <c r="I457" s="20">
        <v>0</v>
      </c>
      <c r="J457" s="19">
        <f t="shared" si="49"/>
        <v>0</v>
      </c>
      <c r="K457" s="19">
        <f t="shared" si="50"/>
        <v>0</v>
      </c>
      <c r="L457" s="19">
        <v>-2.8E-3</v>
      </c>
      <c r="M457" s="19">
        <v>-2.8400000000000001E-3</v>
      </c>
      <c r="N457" s="19">
        <v>-3.8899999999999998E-3</v>
      </c>
      <c r="O457" s="19">
        <v>-4.6100000000000004E-3</v>
      </c>
      <c r="P457" s="19">
        <v>-4.7999999999999996E-3</v>
      </c>
      <c r="Q457" s="19">
        <v>-4.5700000000000003E-3</v>
      </c>
      <c r="R457" s="19"/>
      <c r="S457" s="19">
        <f t="shared" si="51"/>
        <v>0</v>
      </c>
      <c r="T457" s="19">
        <f t="shared" si="52"/>
        <v>0</v>
      </c>
      <c r="U457" s="19">
        <f t="shared" si="53"/>
        <v>0</v>
      </c>
      <c r="V457" s="19">
        <f t="shared" si="54"/>
        <v>0</v>
      </c>
      <c r="W457" s="19">
        <f t="shared" si="55"/>
        <v>0</v>
      </c>
      <c r="X457" s="21">
        <f t="shared" si="56"/>
        <v>0</v>
      </c>
    </row>
    <row r="458" spans="1:24" ht="13.5" x14ac:dyDescent="0.35">
      <c r="A458" s="18">
        <v>105374</v>
      </c>
      <c r="B458" s="19" t="s">
        <v>217</v>
      </c>
      <c r="C458" s="19">
        <v>11</v>
      </c>
      <c r="D458" s="19">
        <v>101</v>
      </c>
      <c r="E458" s="19">
        <v>644</v>
      </c>
      <c r="F458" s="19">
        <v>0</v>
      </c>
      <c r="G458" s="19">
        <v>0</v>
      </c>
      <c r="H458" s="19">
        <v>0</v>
      </c>
      <c r="I458" s="20">
        <v>0</v>
      </c>
      <c r="J458" s="19">
        <f t="shared" si="49"/>
        <v>0</v>
      </c>
      <c r="K458" s="19">
        <f t="shared" si="50"/>
        <v>0</v>
      </c>
      <c r="L458" s="19">
        <v>-2.8300000000000001E-3</v>
      </c>
      <c r="M458" s="19">
        <v>-2.8600000000000001E-3</v>
      </c>
      <c r="N458" s="19">
        <v>-3.9199999999999999E-3</v>
      </c>
      <c r="O458" s="19">
        <v>-4.6299999999999996E-3</v>
      </c>
      <c r="P458" s="19">
        <v>-4.8300000000000001E-3</v>
      </c>
      <c r="Q458" s="19">
        <v>-4.5999999999999999E-3</v>
      </c>
      <c r="R458" s="19"/>
      <c r="S458" s="19">
        <f t="shared" si="51"/>
        <v>0</v>
      </c>
      <c r="T458" s="19">
        <f t="shared" si="52"/>
        <v>0</v>
      </c>
      <c r="U458" s="19">
        <f t="shared" si="53"/>
        <v>0</v>
      </c>
      <c r="V458" s="19">
        <f t="shared" si="54"/>
        <v>0</v>
      </c>
      <c r="W458" s="19">
        <f t="shared" si="55"/>
        <v>0</v>
      </c>
      <c r="X458" s="21">
        <f t="shared" si="56"/>
        <v>0</v>
      </c>
    </row>
    <row r="459" spans="1:24" ht="13.5" x14ac:dyDescent="0.35">
      <c r="A459" s="18">
        <v>105375</v>
      </c>
      <c r="B459" s="19" t="s">
        <v>218</v>
      </c>
      <c r="C459" s="19">
        <v>11</v>
      </c>
      <c r="D459" s="19">
        <v>101</v>
      </c>
      <c r="E459" s="19">
        <v>644</v>
      </c>
      <c r="F459" s="19">
        <v>0</v>
      </c>
      <c r="G459" s="19">
        <v>0</v>
      </c>
      <c r="H459" s="19">
        <v>0</v>
      </c>
      <c r="I459" s="20">
        <v>0</v>
      </c>
      <c r="J459" s="19">
        <f t="shared" si="49"/>
        <v>0</v>
      </c>
      <c r="K459" s="19">
        <f t="shared" si="50"/>
        <v>0</v>
      </c>
      <c r="L459" s="19">
        <v>-2.8300000000000001E-3</v>
      </c>
      <c r="M459" s="19">
        <v>-2.8600000000000001E-3</v>
      </c>
      <c r="N459" s="19">
        <v>-3.9199999999999999E-3</v>
      </c>
      <c r="O459" s="19">
        <v>-4.6299999999999996E-3</v>
      </c>
      <c r="P459" s="19">
        <v>-4.8300000000000001E-3</v>
      </c>
      <c r="Q459" s="19">
        <v>-4.5999999999999999E-3</v>
      </c>
      <c r="R459" s="19"/>
      <c r="S459" s="19">
        <f t="shared" si="51"/>
        <v>0</v>
      </c>
      <c r="T459" s="19">
        <f t="shared" si="52"/>
        <v>0</v>
      </c>
      <c r="U459" s="19">
        <f t="shared" si="53"/>
        <v>0</v>
      </c>
      <c r="V459" s="19">
        <f t="shared" si="54"/>
        <v>0</v>
      </c>
      <c r="W459" s="19">
        <f t="shared" si="55"/>
        <v>0</v>
      </c>
      <c r="X459" s="21">
        <f t="shared" si="56"/>
        <v>0</v>
      </c>
    </row>
    <row r="460" spans="1:24" ht="13.5" x14ac:dyDescent="0.35">
      <c r="A460" s="18">
        <v>105385</v>
      </c>
      <c r="B460" s="19" t="s">
        <v>219</v>
      </c>
      <c r="C460" s="19">
        <v>14.4</v>
      </c>
      <c r="D460" s="19">
        <v>101</v>
      </c>
      <c r="E460" s="19">
        <v>643</v>
      </c>
      <c r="F460" s="19">
        <v>112.5</v>
      </c>
      <c r="G460" s="19">
        <v>0</v>
      </c>
      <c r="H460" s="19">
        <v>112.5</v>
      </c>
      <c r="I460" s="20">
        <v>112.5</v>
      </c>
      <c r="J460" s="19">
        <f t="shared" si="49"/>
        <v>0</v>
      </c>
      <c r="K460" s="19">
        <f t="shared" si="50"/>
        <v>0</v>
      </c>
      <c r="L460" s="19">
        <v>-2.8500000000000001E-3</v>
      </c>
      <c r="M460" s="19">
        <v>-2.8800000000000002E-3</v>
      </c>
      <c r="N460" s="19">
        <v>-3.9399999999999999E-3</v>
      </c>
      <c r="O460" s="19">
        <v>-4.6499999999999996E-3</v>
      </c>
      <c r="P460" s="19">
        <v>-4.8500000000000001E-3</v>
      </c>
      <c r="Q460" s="19">
        <v>-4.62E-3</v>
      </c>
      <c r="R460" s="19"/>
      <c r="S460" s="19">
        <f t="shared" si="51"/>
        <v>0</v>
      </c>
      <c r="T460" s="19">
        <f t="shared" si="52"/>
        <v>0</v>
      </c>
      <c r="U460" s="19">
        <f t="shared" si="53"/>
        <v>0</v>
      </c>
      <c r="V460" s="19">
        <f t="shared" si="54"/>
        <v>0</v>
      </c>
      <c r="W460" s="19">
        <f t="shared" si="55"/>
        <v>0</v>
      </c>
      <c r="X460" s="21">
        <f t="shared" si="56"/>
        <v>0</v>
      </c>
    </row>
    <row r="461" spans="1:24" ht="13.5" x14ac:dyDescent="0.35">
      <c r="A461" s="18">
        <v>105386</v>
      </c>
      <c r="B461" s="19" t="s">
        <v>220</v>
      </c>
      <c r="C461" s="19">
        <v>24</v>
      </c>
      <c r="D461" s="19">
        <v>101</v>
      </c>
      <c r="E461" s="19">
        <v>643</v>
      </c>
      <c r="F461" s="19">
        <v>335.49</v>
      </c>
      <c r="G461" s="19">
        <v>0</v>
      </c>
      <c r="H461" s="19">
        <v>335.49</v>
      </c>
      <c r="I461" s="20">
        <v>335.49</v>
      </c>
      <c r="J461" s="19">
        <f t="shared" si="49"/>
        <v>0</v>
      </c>
      <c r="K461" s="19">
        <f t="shared" si="50"/>
        <v>0</v>
      </c>
      <c r="L461" s="19">
        <v>-2.8500000000000001E-3</v>
      </c>
      <c r="M461" s="19">
        <v>-2.8800000000000002E-3</v>
      </c>
      <c r="N461" s="19">
        <v>-3.9399999999999999E-3</v>
      </c>
      <c r="O461" s="19">
        <v>-4.6499999999999996E-3</v>
      </c>
      <c r="P461" s="19">
        <v>-4.8500000000000001E-3</v>
      </c>
      <c r="Q461" s="19">
        <v>-4.62E-3</v>
      </c>
      <c r="R461" s="19"/>
      <c r="S461" s="19">
        <f t="shared" si="51"/>
        <v>0</v>
      </c>
      <c r="T461" s="19">
        <f t="shared" si="52"/>
        <v>0</v>
      </c>
      <c r="U461" s="19">
        <f t="shared" si="53"/>
        <v>0</v>
      </c>
      <c r="V461" s="19">
        <f t="shared" si="54"/>
        <v>0</v>
      </c>
      <c r="W461" s="19">
        <f t="shared" si="55"/>
        <v>0</v>
      </c>
      <c r="X461" s="21">
        <f t="shared" si="56"/>
        <v>0</v>
      </c>
    </row>
    <row r="462" spans="1:24" ht="13.5" x14ac:dyDescent="0.35">
      <c r="A462" s="18">
        <v>105387</v>
      </c>
      <c r="B462" s="19" t="s">
        <v>221</v>
      </c>
      <c r="C462" s="19">
        <v>13.8</v>
      </c>
      <c r="D462" s="19">
        <v>101</v>
      </c>
      <c r="E462" s="19">
        <v>643</v>
      </c>
      <c r="F462" s="19">
        <v>0</v>
      </c>
      <c r="G462" s="19">
        <v>0</v>
      </c>
      <c r="H462" s="19">
        <v>0</v>
      </c>
      <c r="I462" s="20">
        <v>0</v>
      </c>
      <c r="J462" s="19">
        <f t="shared" si="49"/>
        <v>0</v>
      </c>
      <c r="K462" s="19">
        <f t="shared" si="50"/>
        <v>0</v>
      </c>
      <c r="L462" s="19">
        <v>-2.8500000000000001E-3</v>
      </c>
      <c r="M462" s="19">
        <v>-2.8800000000000002E-3</v>
      </c>
      <c r="N462" s="19">
        <v>-3.9399999999999999E-3</v>
      </c>
      <c r="O462" s="19">
        <v>-4.6499999999999996E-3</v>
      </c>
      <c r="P462" s="19">
        <v>-4.8500000000000001E-3</v>
      </c>
      <c r="Q462" s="19">
        <v>-4.62E-3</v>
      </c>
      <c r="R462" s="19"/>
      <c r="S462" s="19">
        <f t="shared" si="51"/>
        <v>0</v>
      </c>
      <c r="T462" s="19">
        <f t="shared" si="52"/>
        <v>0</v>
      </c>
      <c r="U462" s="19">
        <f t="shared" si="53"/>
        <v>0</v>
      </c>
      <c r="V462" s="19">
        <f t="shared" si="54"/>
        <v>0</v>
      </c>
      <c r="W462" s="19">
        <f t="shared" si="55"/>
        <v>0</v>
      </c>
      <c r="X462" s="21">
        <f t="shared" si="56"/>
        <v>0</v>
      </c>
    </row>
    <row r="463" spans="1:24" ht="13.5" x14ac:dyDescent="0.35">
      <c r="A463" s="18">
        <v>105633</v>
      </c>
      <c r="B463" s="19" t="s">
        <v>232</v>
      </c>
      <c r="C463" s="19">
        <v>16</v>
      </c>
      <c r="D463" s="19">
        <v>101</v>
      </c>
      <c r="E463" s="19">
        <v>643</v>
      </c>
      <c r="F463" s="19">
        <v>231</v>
      </c>
      <c r="G463" s="19">
        <v>0</v>
      </c>
      <c r="H463" s="19">
        <v>231.83</v>
      </c>
      <c r="I463" s="20">
        <v>231</v>
      </c>
      <c r="J463" s="19">
        <f t="shared" ref="J463:J526" si="57">I463-F463</f>
        <v>0</v>
      </c>
      <c r="K463" s="19">
        <f t="shared" ref="K463:K526" si="58">H463-I463</f>
        <v>0.83000000000001251</v>
      </c>
      <c r="L463" s="19">
        <v>-2.9099999999999998E-3</v>
      </c>
      <c r="M463" s="19">
        <v>-2.9299999999999999E-3</v>
      </c>
      <c r="N463" s="19">
        <v>-4.0200000000000001E-3</v>
      </c>
      <c r="O463" s="19">
        <v>-4.7499999999999999E-3</v>
      </c>
      <c r="P463" s="19">
        <v>-4.9500000000000004E-3</v>
      </c>
      <c r="Q463" s="19">
        <v>-4.7200000000000002E-3</v>
      </c>
      <c r="R463" s="19"/>
      <c r="S463" s="19">
        <f t="shared" ref="S463:S526" si="59">L463*J463</f>
        <v>0</v>
      </c>
      <c r="T463" s="19">
        <f t="shared" ref="T463:T526" si="60">M463*J463</f>
        <v>0</v>
      </c>
      <c r="U463" s="19">
        <f t="shared" ref="U463:U526" si="61">N463*J463</f>
        <v>0</v>
      </c>
      <c r="V463" s="19">
        <f t="shared" ref="V463:V526" si="62">O463*J463</f>
        <v>0</v>
      </c>
      <c r="W463" s="19">
        <f t="shared" ref="W463:W526" si="63">P463*J463</f>
        <v>0</v>
      </c>
      <c r="X463" s="21">
        <f t="shared" ref="X463:X526" si="64">Q463*J463</f>
        <v>0</v>
      </c>
    </row>
    <row r="464" spans="1:24" ht="13.5" x14ac:dyDescent="0.35">
      <c r="A464" s="18">
        <v>105415</v>
      </c>
      <c r="B464" s="19" t="s">
        <v>222</v>
      </c>
      <c r="C464" s="19">
        <v>4.16</v>
      </c>
      <c r="D464" s="19">
        <v>101</v>
      </c>
      <c r="E464" s="19">
        <v>604</v>
      </c>
      <c r="F464" s="19">
        <v>0</v>
      </c>
      <c r="G464" s="19">
        <v>0</v>
      </c>
      <c r="H464" s="19">
        <v>0</v>
      </c>
      <c r="I464" s="20">
        <v>0</v>
      </c>
      <c r="J464" s="19">
        <f t="shared" si="57"/>
        <v>0</v>
      </c>
      <c r="K464" s="19">
        <f t="shared" si="58"/>
        <v>0</v>
      </c>
      <c r="L464" s="19">
        <v>-2.98E-3</v>
      </c>
      <c r="M464" s="19">
        <v>-3.0000000000000001E-3</v>
      </c>
      <c r="N464" s="19">
        <v>-4.1000000000000003E-3</v>
      </c>
      <c r="O464" s="19">
        <v>-4.8300000000000001E-3</v>
      </c>
      <c r="P464" s="19">
        <v>-5.0400000000000002E-3</v>
      </c>
      <c r="Q464" s="19">
        <v>-4.7999999999999996E-3</v>
      </c>
      <c r="R464" s="19"/>
      <c r="S464" s="19">
        <f t="shared" si="59"/>
        <v>0</v>
      </c>
      <c r="T464" s="19">
        <f t="shared" si="60"/>
        <v>0</v>
      </c>
      <c r="U464" s="19">
        <f t="shared" si="61"/>
        <v>0</v>
      </c>
      <c r="V464" s="19">
        <f t="shared" si="62"/>
        <v>0</v>
      </c>
      <c r="W464" s="19">
        <f t="shared" si="63"/>
        <v>0</v>
      </c>
      <c r="X464" s="21">
        <f t="shared" si="64"/>
        <v>0</v>
      </c>
    </row>
    <row r="465" spans="1:24" ht="13.5" x14ac:dyDescent="0.35">
      <c r="A465" s="18">
        <v>105450</v>
      </c>
      <c r="B465" s="19" t="s">
        <v>223</v>
      </c>
      <c r="C465" s="19">
        <v>13.8</v>
      </c>
      <c r="D465" s="19">
        <v>101</v>
      </c>
      <c r="E465" s="19">
        <v>603</v>
      </c>
      <c r="F465" s="19">
        <v>47.5</v>
      </c>
      <c r="G465" s="19">
        <v>0</v>
      </c>
      <c r="H465" s="19">
        <v>47.5</v>
      </c>
      <c r="I465" s="20">
        <v>47.5</v>
      </c>
      <c r="J465" s="19">
        <f t="shared" si="57"/>
        <v>0</v>
      </c>
      <c r="K465" s="19">
        <f t="shared" si="58"/>
        <v>0</v>
      </c>
      <c r="L465" s="19">
        <v>-2.99E-3</v>
      </c>
      <c r="M465" s="19">
        <v>-3.0000000000000001E-3</v>
      </c>
      <c r="N465" s="19">
        <v>-4.1000000000000003E-3</v>
      </c>
      <c r="O465" s="19">
        <v>-4.8399999999999997E-3</v>
      </c>
      <c r="P465" s="19">
        <v>-5.0499999999999998E-3</v>
      </c>
      <c r="Q465" s="19">
        <v>-4.81E-3</v>
      </c>
      <c r="R465" s="19"/>
      <c r="S465" s="19">
        <f t="shared" si="59"/>
        <v>0</v>
      </c>
      <c r="T465" s="19">
        <f t="shared" si="60"/>
        <v>0</v>
      </c>
      <c r="U465" s="19">
        <f t="shared" si="61"/>
        <v>0</v>
      </c>
      <c r="V465" s="19">
        <f t="shared" si="62"/>
        <v>0</v>
      </c>
      <c r="W465" s="19">
        <f t="shared" si="63"/>
        <v>0</v>
      </c>
      <c r="X465" s="21">
        <f t="shared" si="64"/>
        <v>0</v>
      </c>
    </row>
    <row r="466" spans="1:24" ht="13.5" x14ac:dyDescent="0.35">
      <c r="A466" s="18">
        <v>105451</v>
      </c>
      <c r="B466" s="19" t="s">
        <v>224</v>
      </c>
      <c r="C466" s="19">
        <v>13.8</v>
      </c>
      <c r="D466" s="19">
        <v>101</v>
      </c>
      <c r="E466" s="19">
        <v>603</v>
      </c>
      <c r="F466" s="19">
        <v>49.6</v>
      </c>
      <c r="G466" s="19">
        <v>0</v>
      </c>
      <c r="H466" s="19">
        <v>49.6</v>
      </c>
      <c r="I466" s="20">
        <v>49.6</v>
      </c>
      <c r="J466" s="19">
        <f t="shared" si="57"/>
        <v>0</v>
      </c>
      <c r="K466" s="19">
        <f t="shared" si="58"/>
        <v>0</v>
      </c>
      <c r="L466" s="19">
        <v>-2.99E-3</v>
      </c>
      <c r="M466" s="19">
        <v>-3.0000000000000001E-3</v>
      </c>
      <c r="N466" s="19">
        <v>-4.1000000000000003E-3</v>
      </c>
      <c r="O466" s="19">
        <v>-4.8399999999999997E-3</v>
      </c>
      <c r="P466" s="19">
        <v>-5.0499999999999998E-3</v>
      </c>
      <c r="Q466" s="19">
        <v>-4.81E-3</v>
      </c>
      <c r="R466" s="19"/>
      <c r="S466" s="19">
        <f t="shared" si="59"/>
        <v>0</v>
      </c>
      <c r="T466" s="19">
        <f t="shared" si="60"/>
        <v>0</v>
      </c>
      <c r="U466" s="19">
        <f t="shared" si="61"/>
        <v>0</v>
      </c>
      <c r="V466" s="19">
        <f t="shared" si="62"/>
        <v>0</v>
      </c>
      <c r="W466" s="19">
        <f t="shared" si="63"/>
        <v>0</v>
      </c>
      <c r="X466" s="21">
        <f t="shared" si="64"/>
        <v>0</v>
      </c>
    </row>
    <row r="467" spans="1:24" ht="13.5" x14ac:dyDescent="0.35">
      <c r="A467" s="18">
        <v>105452</v>
      </c>
      <c r="B467" s="19" t="s">
        <v>225</v>
      </c>
      <c r="C467" s="19">
        <v>13.8</v>
      </c>
      <c r="D467" s="19">
        <v>101</v>
      </c>
      <c r="E467" s="19">
        <v>603</v>
      </c>
      <c r="F467" s="19">
        <v>48</v>
      </c>
      <c r="G467" s="19">
        <v>0</v>
      </c>
      <c r="H467" s="19">
        <v>48</v>
      </c>
      <c r="I467" s="20">
        <v>48</v>
      </c>
      <c r="J467" s="19">
        <f t="shared" si="57"/>
        <v>0</v>
      </c>
      <c r="K467" s="19">
        <f t="shared" si="58"/>
        <v>0</v>
      </c>
      <c r="L467" s="19">
        <v>-2.99E-3</v>
      </c>
      <c r="M467" s="19">
        <v>-3.0000000000000001E-3</v>
      </c>
      <c r="N467" s="19">
        <v>-4.1000000000000003E-3</v>
      </c>
      <c r="O467" s="19">
        <v>-4.8399999999999997E-3</v>
      </c>
      <c r="P467" s="19">
        <v>-5.0499999999999998E-3</v>
      </c>
      <c r="Q467" s="19">
        <v>-4.81E-3</v>
      </c>
      <c r="R467" s="19"/>
      <c r="S467" s="19">
        <f t="shared" si="59"/>
        <v>0</v>
      </c>
      <c r="T467" s="19">
        <f t="shared" si="60"/>
        <v>0</v>
      </c>
      <c r="U467" s="19">
        <f t="shared" si="61"/>
        <v>0</v>
      </c>
      <c r="V467" s="19">
        <f t="shared" si="62"/>
        <v>0</v>
      </c>
      <c r="W467" s="19">
        <f t="shared" si="63"/>
        <v>0</v>
      </c>
      <c r="X467" s="21">
        <f t="shared" si="64"/>
        <v>0</v>
      </c>
    </row>
    <row r="468" spans="1:24" ht="13.5" x14ac:dyDescent="0.35">
      <c r="A468" s="18">
        <v>105454</v>
      </c>
      <c r="B468" s="19" t="s">
        <v>226</v>
      </c>
      <c r="C468" s="19">
        <v>13.8</v>
      </c>
      <c r="D468" s="19">
        <v>101</v>
      </c>
      <c r="E468" s="19">
        <v>604</v>
      </c>
      <c r="F468" s="19">
        <v>0</v>
      </c>
      <c r="G468" s="19">
        <v>0</v>
      </c>
      <c r="H468" s="19">
        <v>0</v>
      </c>
      <c r="I468" s="20">
        <v>0</v>
      </c>
      <c r="J468" s="19">
        <f t="shared" si="57"/>
        <v>0</v>
      </c>
      <c r="K468" s="19">
        <f t="shared" si="58"/>
        <v>0</v>
      </c>
      <c r="L468" s="19">
        <v>-2.99E-3</v>
      </c>
      <c r="M468" s="19">
        <v>-3.0000000000000001E-3</v>
      </c>
      <c r="N468" s="19">
        <v>-4.1000000000000003E-3</v>
      </c>
      <c r="O468" s="19">
        <v>-4.8399999999999997E-3</v>
      </c>
      <c r="P468" s="19">
        <v>-5.0499999999999998E-3</v>
      </c>
      <c r="Q468" s="19">
        <v>-4.81E-3</v>
      </c>
      <c r="R468" s="19"/>
      <c r="S468" s="19">
        <f t="shared" si="59"/>
        <v>0</v>
      </c>
      <c r="T468" s="19">
        <f t="shared" si="60"/>
        <v>0</v>
      </c>
      <c r="U468" s="19">
        <f t="shared" si="61"/>
        <v>0</v>
      </c>
      <c r="V468" s="19">
        <f t="shared" si="62"/>
        <v>0</v>
      </c>
      <c r="W468" s="19">
        <f t="shared" si="63"/>
        <v>0</v>
      </c>
      <c r="X468" s="21">
        <f t="shared" si="64"/>
        <v>0</v>
      </c>
    </row>
    <row r="469" spans="1:24" ht="13.5" x14ac:dyDescent="0.35">
      <c r="A469" s="18">
        <v>904095</v>
      </c>
      <c r="B469" s="19" t="s">
        <v>604</v>
      </c>
      <c r="C469" s="19">
        <v>345</v>
      </c>
      <c r="D469" s="19">
        <v>101</v>
      </c>
      <c r="E469" s="19">
        <v>640</v>
      </c>
      <c r="F469" s="19">
        <v>0</v>
      </c>
      <c r="G469" s="19">
        <v>0</v>
      </c>
      <c r="H469" s="19">
        <v>0</v>
      </c>
      <c r="I469" s="20">
        <v>0</v>
      </c>
      <c r="J469" s="19">
        <f t="shared" si="57"/>
        <v>0</v>
      </c>
      <c r="K469" s="19">
        <f t="shared" si="58"/>
        <v>0</v>
      </c>
      <c r="L469" s="19">
        <v>-3.0100000000000001E-3</v>
      </c>
      <c r="M469" s="19">
        <v>-3.0200000000000001E-3</v>
      </c>
      <c r="N469" s="19">
        <v>-4.13E-3</v>
      </c>
      <c r="O469" s="19">
        <v>-4.8700000000000002E-3</v>
      </c>
      <c r="P469" s="19">
        <v>-5.0800000000000003E-3</v>
      </c>
      <c r="Q469" s="19">
        <v>-4.8300000000000001E-3</v>
      </c>
      <c r="R469" s="19"/>
      <c r="S469" s="19">
        <f t="shared" si="59"/>
        <v>0</v>
      </c>
      <c r="T469" s="19">
        <f t="shared" si="60"/>
        <v>0</v>
      </c>
      <c r="U469" s="19">
        <f t="shared" si="61"/>
        <v>0</v>
      </c>
      <c r="V469" s="19">
        <f t="shared" si="62"/>
        <v>0</v>
      </c>
      <c r="W469" s="19">
        <f t="shared" si="63"/>
        <v>0</v>
      </c>
      <c r="X469" s="21">
        <f t="shared" si="64"/>
        <v>0</v>
      </c>
    </row>
    <row r="470" spans="1:24" ht="13.5" x14ac:dyDescent="0.35">
      <c r="A470" s="18">
        <v>100351</v>
      </c>
      <c r="B470" s="19" t="s">
        <v>42</v>
      </c>
      <c r="C470" s="19">
        <v>1</v>
      </c>
      <c r="D470" s="19">
        <v>101</v>
      </c>
      <c r="E470" s="19">
        <v>144</v>
      </c>
      <c r="F470" s="19">
        <v>6.03</v>
      </c>
      <c r="G470" s="19">
        <v>0</v>
      </c>
      <c r="H470" s="19">
        <v>6.03</v>
      </c>
      <c r="I470" s="20">
        <v>6.03</v>
      </c>
      <c r="J470" s="19">
        <f t="shared" si="57"/>
        <v>0</v>
      </c>
      <c r="K470" s="19">
        <f t="shared" si="58"/>
        <v>0</v>
      </c>
      <c r="L470" s="19">
        <v>-3.0300000000000001E-3</v>
      </c>
      <c r="M470" s="19">
        <v>-3.0400000000000002E-3</v>
      </c>
      <c r="N470" s="19">
        <v>-4.15E-3</v>
      </c>
      <c r="O470" s="19">
        <v>-4.8900000000000002E-3</v>
      </c>
      <c r="P470" s="19">
        <v>-5.1000000000000004E-3</v>
      </c>
      <c r="Q470" s="19">
        <v>-4.8500000000000001E-3</v>
      </c>
      <c r="R470" s="19"/>
      <c r="S470" s="19">
        <f t="shared" si="59"/>
        <v>0</v>
      </c>
      <c r="T470" s="19">
        <f t="shared" si="60"/>
        <v>0</v>
      </c>
      <c r="U470" s="19">
        <f t="shared" si="61"/>
        <v>0</v>
      </c>
      <c r="V470" s="19">
        <f t="shared" si="62"/>
        <v>0</v>
      </c>
      <c r="W470" s="19">
        <f t="shared" si="63"/>
        <v>0</v>
      </c>
      <c r="X470" s="21">
        <f t="shared" si="64"/>
        <v>0</v>
      </c>
    </row>
    <row r="471" spans="1:24" ht="13.5" x14ac:dyDescent="0.35">
      <c r="A471" s="18">
        <v>100352</v>
      </c>
      <c r="B471" s="19" t="s">
        <v>43</v>
      </c>
      <c r="C471" s="19">
        <v>1</v>
      </c>
      <c r="D471" s="19">
        <v>101</v>
      </c>
      <c r="E471" s="19">
        <v>144</v>
      </c>
      <c r="F471" s="19">
        <v>0</v>
      </c>
      <c r="G471" s="19">
        <v>0</v>
      </c>
      <c r="H471" s="19">
        <v>0</v>
      </c>
      <c r="I471" s="20">
        <v>0</v>
      </c>
      <c r="J471" s="19">
        <f t="shared" si="57"/>
        <v>0</v>
      </c>
      <c r="K471" s="19">
        <f t="shared" si="58"/>
        <v>0</v>
      </c>
      <c r="L471" s="19">
        <v>-3.0300000000000001E-3</v>
      </c>
      <c r="M471" s="19">
        <v>-3.0400000000000002E-3</v>
      </c>
      <c r="N471" s="19">
        <v>-4.15E-3</v>
      </c>
      <c r="O471" s="19">
        <v>-4.8900000000000002E-3</v>
      </c>
      <c r="P471" s="19">
        <v>-5.1000000000000004E-3</v>
      </c>
      <c r="Q471" s="19">
        <v>-4.8500000000000001E-3</v>
      </c>
      <c r="R471" s="19"/>
      <c r="S471" s="19">
        <f t="shared" si="59"/>
        <v>0</v>
      </c>
      <c r="T471" s="19">
        <f t="shared" si="60"/>
        <v>0</v>
      </c>
      <c r="U471" s="19">
        <f t="shared" si="61"/>
        <v>0</v>
      </c>
      <c r="V471" s="19">
        <f t="shared" si="62"/>
        <v>0</v>
      </c>
      <c r="W471" s="19">
        <f t="shared" si="63"/>
        <v>0</v>
      </c>
      <c r="X471" s="21">
        <f t="shared" si="64"/>
        <v>0</v>
      </c>
    </row>
    <row r="472" spans="1:24" ht="13.5" x14ac:dyDescent="0.35">
      <c r="A472" s="18">
        <v>100353</v>
      </c>
      <c r="B472" s="19" t="s">
        <v>44</v>
      </c>
      <c r="C472" s="19">
        <v>1</v>
      </c>
      <c r="D472" s="19">
        <v>101</v>
      </c>
      <c r="E472" s="19">
        <v>144</v>
      </c>
      <c r="F472" s="19">
        <v>6.03</v>
      </c>
      <c r="G472" s="19">
        <v>0</v>
      </c>
      <c r="H472" s="19">
        <v>6.03</v>
      </c>
      <c r="I472" s="20">
        <v>6.03</v>
      </c>
      <c r="J472" s="19">
        <f t="shared" si="57"/>
        <v>0</v>
      </c>
      <c r="K472" s="19">
        <f t="shared" si="58"/>
        <v>0</v>
      </c>
      <c r="L472" s="19">
        <v>-3.0300000000000001E-3</v>
      </c>
      <c r="M472" s="19">
        <v>-3.0400000000000002E-3</v>
      </c>
      <c r="N472" s="19">
        <v>-4.15E-3</v>
      </c>
      <c r="O472" s="19">
        <v>-4.8900000000000002E-3</v>
      </c>
      <c r="P472" s="19">
        <v>-5.1000000000000004E-3</v>
      </c>
      <c r="Q472" s="19">
        <v>-4.8500000000000001E-3</v>
      </c>
      <c r="R472" s="19"/>
      <c r="S472" s="19">
        <f t="shared" si="59"/>
        <v>0</v>
      </c>
      <c r="T472" s="19">
        <f t="shared" si="60"/>
        <v>0</v>
      </c>
      <c r="U472" s="19">
        <f t="shared" si="61"/>
        <v>0</v>
      </c>
      <c r="V472" s="19">
        <f t="shared" si="62"/>
        <v>0</v>
      </c>
      <c r="W472" s="19">
        <f t="shared" si="63"/>
        <v>0</v>
      </c>
      <c r="X472" s="21">
        <f t="shared" si="64"/>
        <v>0</v>
      </c>
    </row>
    <row r="473" spans="1:24" ht="13.5" x14ac:dyDescent="0.35">
      <c r="A473" s="18">
        <v>100354</v>
      </c>
      <c r="B473" s="19" t="s">
        <v>45</v>
      </c>
      <c r="C473" s="19">
        <v>1</v>
      </c>
      <c r="D473" s="19">
        <v>101</v>
      </c>
      <c r="E473" s="19">
        <v>144</v>
      </c>
      <c r="F473" s="19">
        <v>4.17</v>
      </c>
      <c r="G473" s="19">
        <v>0</v>
      </c>
      <c r="H473" s="19">
        <v>4.17</v>
      </c>
      <c r="I473" s="20">
        <v>4.17</v>
      </c>
      <c r="J473" s="19">
        <f t="shared" si="57"/>
        <v>0</v>
      </c>
      <c r="K473" s="19">
        <f t="shared" si="58"/>
        <v>0</v>
      </c>
      <c r="L473" s="19">
        <v>-3.0300000000000001E-3</v>
      </c>
      <c r="M473" s="19">
        <v>-3.0400000000000002E-3</v>
      </c>
      <c r="N473" s="19">
        <v>-4.15E-3</v>
      </c>
      <c r="O473" s="19">
        <v>-4.8900000000000002E-3</v>
      </c>
      <c r="P473" s="19">
        <v>-5.1000000000000004E-3</v>
      </c>
      <c r="Q473" s="19">
        <v>-4.8500000000000001E-3</v>
      </c>
      <c r="R473" s="19"/>
      <c r="S473" s="19">
        <f t="shared" si="59"/>
        <v>0</v>
      </c>
      <c r="T473" s="19">
        <f t="shared" si="60"/>
        <v>0</v>
      </c>
      <c r="U473" s="19">
        <f t="shared" si="61"/>
        <v>0</v>
      </c>
      <c r="V473" s="19">
        <f t="shared" si="62"/>
        <v>0</v>
      </c>
      <c r="W473" s="19">
        <f t="shared" si="63"/>
        <v>0</v>
      </c>
      <c r="X473" s="21">
        <f t="shared" si="64"/>
        <v>0</v>
      </c>
    </row>
    <row r="474" spans="1:24" ht="13.5" x14ac:dyDescent="0.35">
      <c r="A474" s="18">
        <v>100355</v>
      </c>
      <c r="B474" s="19" t="s">
        <v>46</v>
      </c>
      <c r="C474" s="19">
        <v>34.5</v>
      </c>
      <c r="D474" s="19">
        <v>101</v>
      </c>
      <c r="E474" s="19">
        <v>144</v>
      </c>
      <c r="F474" s="19">
        <v>0</v>
      </c>
      <c r="G474" s="19">
        <v>0</v>
      </c>
      <c r="H474" s="19">
        <v>0</v>
      </c>
      <c r="I474" s="20">
        <v>0</v>
      </c>
      <c r="J474" s="19">
        <f t="shared" si="57"/>
        <v>0</v>
      </c>
      <c r="K474" s="19">
        <f t="shared" si="58"/>
        <v>0</v>
      </c>
      <c r="L474" s="19">
        <v>-3.0300000000000001E-3</v>
      </c>
      <c r="M474" s="19">
        <v>-3.0400000000000002E-3</v>
      </c>
      <c r="N474" s="19">
        <v>-4.15E-3</v>
      </c>
      <c r="O474" s="19">
        <v>-4.8900000000000002E-3</v>
      </c>
      <c r="P474" s="19">
        <v>-5.1000000000000004E-3</v>
      </c>
      <c r="Q474" s="19">
        <v>-4.8500000000000001E-3</v>
      </c>
      <c r="R474" s="19"/>
      <c r="S474" s="19">
        <f t="shared" si="59"/>
        <v>0</v>
      </c>
      <c r="T474" s="19">
        <f t="shared" si="60"/>
        <v>0</v>
      </c>
      <c r="U474" s="19">
        <f t="shared" si="61"/>
        <v>0</v>
      </c>
      <c r="V474" s="19">
        <f t="shared" si="62"/>
        <v>0</v>
      </c>
      <c r="W474" s="19">
        <f t="shared" si="63"/>
        <v>0</v>
      </c>
      <c r="X474" s="21">
        <f t="shared" si="64"/>
        <v>0</v>
      </c>
    </row>
    <row r="475" spans="1:24" ht="13.5" x14ac:dyDescent="0.35">
      <c r="A475" s="18">
        <v>100356</v>
      </c>
      <c r="B475" s="19" t="s">
        <v>47</v>
      </c>
      <c r="C475" s="19">
        <v>13.8</v>
      </c>
      <c r="D475" s="19">
        <v>101</v>
      </c>
      <c r="E475" s="19">
        <v>113</v>
      </c>
      <c r="F475" s="19">
        <v>17</v>
      </c>
      <c r="G475" s="19">
        <v>0</v>
      </c>
      <c r="H475" s="19">
        <v>17</v>
      </c>
      <c r="I475" s="20">
        <v>17</v>
      </c>
      <c r="J475" s="19">
        <f t="shared" si="57"/>
        <v>0</v>
      </c>
      <c r="K475" s="19">
        <f t="shared" si="58"/>
        <v>0</v>
      </c>
      <c r="L475" s="19">
        <v>-3.0300000000000001E-3</v>
      </c>
      <c r="M475" s="19">
        <v>-3.0400000000000002E-3</v>
      </c>
      <c r="N475" s="19">
        <v>-4.15E-3</v>
      </c>
      <c r="O475" s="19">
        <v>-4.8900000000000002E-3</v>
      </c>
      <c r="P475" s="19">
        <v>-5.1000000000000004E-3</v>
      </c>
      <c r="Q475" s="19">
        <v>-4.8500000000000001E-3</v>
      </c>
      <c r="R475" s="19"/>
      <c r="S475" s="19">
        <f t="shared" si="59"/>
        <v>0</v>
      </c>
      <c r="T475" s="19">
        <f t="shared" si="60"/>
        <v>0</v>
      </c>
      <c r="U475" s="19">
        <f t="shared" si="61"/>
        <v>0</v>
      </c>
      <c r="V475" s="19">
        <f t="shared" si="62"/>
        <v>0</v>
      </c>
      <c r="W475" s="19">
        <f t="shared" si="63"/>
        <v>0</v>
      </c>
      <c r="X475" s="21">
        <f t="shared" si="64"/>
        <v>0</v>
      </c>
    </row>
    <row r="476" spans="1:24" ht="13.5" x14ac:dyDescent="0.35">
      <c r="A476" s="18">
        <v>100357</v>
      </c>
      <c r="B476" s="19" t="s">
        <v>48</v>
      </c>
      <c r="C476" s="19">
        <v>13.8</v>
      </c>
      <c r="D476" s="19">
        <v>101</v>
      </c>
      <c r="E476" s="19">
        <v>113</v>
      </c>
      <c r="F476" s="19">
        <v>0</v>
      </c>
      <c r="G476" s="19">
        <v>0</v>
      </c>
      <c r="H476" s="19">
        <v>0</v>
      </c>
      <c r="I476" s="20">
        <v>0</v>
      </c>
      <c r="J476" s="19">
        <f t="shared" si="57"/>
        <v>0</v>
      </c>
      <c r="K476" s="19">
        <f t="shared" si="58"/>
        <v>0</v>
      </c>
      <c r="L476" s="19">
        <v>-3.0300000000000001E-3</v>
      </c>
      <c r="M476" s="19">
        <v>-3.0400000000000002E-3</v>
      </c>
      <c r="N476" s="19">
        <v>-4.15E-3</v>
      </c>
      <c r="O476" s="19">
        <v>-4.8900000000000002E-3</v>
      </c>
      <c r="P476" s="19">
        <v>-5.1000000000000004E-3</v>
      </c>
      <c r="Q476" s="19">
        <v>-4.8500000000000001E-3</v>
      </c>
      <c r="R476" s="19"/>
      <c r="S476" s="19">
        <f t="shared" si="59"/>
        <v>0</v>
      </c>
      <c r="T476" s="19">
        <f t="shared" si="60"/>
        <v>0</v>
      </c>
      <c r="U476" s="19">
        <f t="shared" si="61"/>
        <v>0</v>
      </c>
      <c r="V476" s="19">
        <f t="shared" si="62"/>
        <v>0</v>
      </c>
      <c r="W476" s="19">
        <f t="shared" si="63"/>
        <v>0</v>
      </c>
      <c r="X476" s="21">
        <f t="shared" si="64"/>
        <v>0</v>
      </c>
    </row>
    <row r="477" spans="1:24" ht="13.5" x14ac:dyDescent="0.35">
      <c r="A477" s="18">
        <v>100358</v>
      </c>
      <c r="B477" s="19" t="s">
        <v>49</v>
      </c>
      <c r="C477" s="19">
        <v>13.8</v>
      </c>
      <c r="D477" s="19">
        <v>101</v>
      </c>
      <c r="E477" s="19">
        <v>113</v>
      </c>
      <c r="F477" s="19">
        <v>0</v>
      </c>
      <c r="G477" s="19">
        <v>0</v>
      </c>
      <c r="H477" s="19">
        <v>0</v>
      </c>
      <c r="I477" s="20">
        <v>0</v>
      </c>
      <c r="J477" s="19">
        <f t="shared" si="57"/>
        <v>0</v>
      </c>
      <c r="K477" s="19">
        <f t="shared" si="58"/>
        <v>0</v>
      </c>
      <c r="L477" s="19">
        <v>-3.0300000000000001E-3</v>
      </c>
      <c r="M477" s="19">
        <v>-3.0400000000000002E-3</v>
      </c>
      <c r="N477" s="19">
        <v>-4.15E-3</v>
      </c>
      <c r="O477" s="19">
        <v>-4.8900000000000002E-3</v>
      </c>
      <c r="P477" s="19">
        <v>-5.1000000000000004E-3</v>
      </c>
      <c r="Q477" s="19">
        <v>-4.8500000000000001E-3</v>
      </c>
      <c r="R477" s="19"/>
      <c r="S477" s="19">
        <f t="shared" si="59"/>
        <v>0</v>
      </c>
      <c r="T477" s="19">
        <f t="shared" si="60"/>
        <v>0</v>
      </c>
      <c r="U477" s="19">
        <f t="shared" si="61"/>
        <v>0</v>
      </c>
      <c r="V477" s="19">
        <f t="shared" si="62"/>
        <v>0</v>
      </c>
      <c r="W477" s="19">
        <f t="shared" si="63"/>
        <v>0</v>
      </c>
      <c r="X477" s="21">
        <f t="shared" si="64"/>
        <v>0</v>
      </c>
    </row>
    <row r="478" spans="1:24" ht="13.5" x14ac:dyDescent="0.35">
      <c r="A478" s="18">
        <v>100359</v>
      </c>
      <c r="B478" s="19" t="s">
        <v>50</v>
      </c>
      <c r="C478" s="19">
        <v>2.4</v>
      </c>
      <c r="D478" s="19">
        <v>101</v>
      </c>
      <c r="E478" s="19">
        <v>114</v>
      </c>
      <c r="F478" s="19">
        <v>0</v>
      </c>
      <c r="G478" s="19">
        <v>0</v>
      </c>
      <c r="H478" s="19">
        <v>0</v>
      </c>
      <c r="I478" s="20">
        <v>0</v>
      </c>
      <c r="J478" s="19">
        <f t="shared" si="57"/>
        <v>0</v>
      </c>
      <c r="K478" s="19">
        <f t="shared" si="58"/>
        <v>0</v>
      </c>
      <c r="L478" s="19">
        <v>-3.0300000000000001E-3</v>
      </c>
      <c r="M478" s="19">
        <v>-3.0400000000000002E-3</v>
      </c>
      <c r="N478" s="19">
        <v>-4.15E-3</v>
      </c>
      <c r="O478" s="19">
        <v>-4.8900000000000002E-3</v>
      </c>
      <c r="P478" s="19">
        <v>-5.1000000000000004E-3</v>
      </c>
      <c r="Q478" s="19">
        <v>-4.8500000000000001E-3</v>
      </c>
      <c r="R478" s="19"/>
      <c r="S478" s="19">
        <f t="shared" si="59"/>
        <v>0</v>
      </c>
      <c r="T478" s="19">
        <f t="shared" si="60"/>
        <v>0</v>
      </c>
      <c r="U478" s="19">
        <f t="shared" si="61"/>
        <v>0</v>
      </c>
      <c r="V478" s="19">
        <f t="shared" si="62"/>
        <v>0</v>
      </c>
      <c r="W478" s="19">
        <f t="shared" si="63"/>
        <v>0</v>
      </c>
      <c r="X478" s="21">
        <f t="shared" si="64"/>
        <v>0</v>
      </c>
    </row>
    <row r="479" spans="1:24" ht="13.5" x14ac:dyDescent="0.35">
      <c r="A479" s="18">
        <v>100360</v>
      </c>
      <c r="B479" s="19" t="s">
        <v>51</v>
      </c>
      <c r="C479" s="19">
        <v>13.8</v>
      </c>
      <c r="D479" s="19">
        <v>101</v>
      </c>
      <c r="E479" s="19">
        <v>113</v>
      </c>
      <c r="F479" s="19">
        <v>29.01</v>
      </c>
      <c r="G479" s="19">
        <v>0</v>
      </c>
      <c r="H479" s="19">
        <v>29.01</v>
      </c>
      <c r="I479" s="20">
        <v>29.01</v>
      </c>
      <c r="J479" s="19">
        <f t="shared" si="57"/>
        <v>0</v>
      </c>
      <c r="K479" s="19">
        <f t="shared" si="58"/>
        <v>0</v>
      </c>
      <c r="L479" s="19">
        <v>-3.0300000000000001E-3</v>
      </c>
      <c r="M479" s="19">
        <v>-3.0400000000000002E-3</v>
      </c>
      <c r="N479" s="19">
        <v>-4.15E-3</v>
      </c>
      <c r="O479" s="19">
        <v>-4.8900000000000002E-3</v>
      </c>
      <c r="P479" s="19">
        <v>-5.1000000000000004E-3</v>
      </c>
      <c r="Q479" s="19">
        <v>-4.8500000000000001E-3</v>
      </c>
      <c r="R479" s="19"/>
      <c r="S479" s="19">
        <f t="shared" si="59"/>
        <v>0</v>
      </c>
      <c r="T479" s="19">
        <f t="shared" si="60"/>
        <v>0</v>
      </c>
      <c r="U479" s="19">
        <f t="shared" si="61"/>
        <v>0</v>
      </c>
      <c r="V479" s="19">
        <f t="shared" si="62"/>
        <v>0</v>
      </c>
      <c r="W479" s="19">
        <f t="shared" si="63"/>
        <v>0</v>
      </c>
      <c r="X479" s="21">
        <f t="shared" si="64"/>
        <v>0</v>
      </c>
    </row>
    <row r="480" spans="1:24" ht="13.5" x14ac:dyDescent="0.35">
      <c r="A480" s="18">
        <v>100361</v>
      </c>
      <c r="B480" s="19" t="s">
        <v>52</v>
      </c>
      <c r="C480" s="19">
        <v>13.8</v>
      </c>
      <c r="D480" s="19">
        <v>101</v>
      </c>
      <c r="E480" s="19">
        <v>113</v>
      </c>
      <c r="F480" s="19">
        <v>29.9</v>
      </c>
      <c r="G480" s="19">
        <v>0</v>
      </c>
      <c r="H480" s="19">
        <v>29.9</v>
      </c>
      <c r="I480" s="20">
        <v>29.9</v>
      </c>
      <c r="J480" s="19">
        <f t="shared" si="57"/>
        <v>0</v>
      </c>
      <c r="K480" s="19">
        <f t="shared" si="58"/>
        <v>0</v>
      </c>
      <c r="L480" s="19">
        <v>-3.0300000000000001E-3</v>
      </c>
      <c r="M480" s="19">
        <v>-3.0400000000000002E-3</v>
      </c>
      <c r="N480" s="19">
        <v>-4.15E-3</v>
      </c>
      <c r="O480" s="19">
        <v>-4.8900000000000002E-3</v>
      </c>
      <c r="P480" s="19">
        <v>-5.1000000000000004E-3</v>
      </c>
      <c r="Q480" s="19">
        <v>-4.8500000000000001E-3</v>
      </c>
      <c r="R480" s="19"/>
      <c r="S480" s="19">
        <f t="shared" si="59"/>
        <v>0</v>
      </c>
      <c r="T480" s="19">
        <f t="shared" si="60"/>
        <v>0</v>
      </c>
      <c r="U480" s="19">
        <f t="shared" si="61"/>
        <v>0</v>
      </c>
      <c r="V480" s="19">
        <f t="shared" si="62"/>
        <v>0</v>
      </c>
      <c r="W480" s="19">
        <f t="shared" si="63"/>
        <v>0</v>
      </c>
      <c r="X480" s="21">
        <f t="shared" si="64"/>
        <v>0</v>
      </c>
    </row>
    <row r="481" spans="1:24" ht="13.5" x14ac:dyDescent="0.35">
      <c r="A481" s="18">
        <v>100362</v>
      </c>
      <c r="B481" s="19" t="s">
        <v>53</v>
      </c>
      <c r="C481" s="19">
        <v>13.8</v>
      </c>
      <c r="D481" s="19">
        <v>101</v>
      </c>
      <c r="E481" s="19">
        <v>113</v>
      </c>
      <c r="F481" s="19">
        <v>0</v>
      </c>
      <c r="G481" s="19">
        <v>0</v>
      </c>
      <c r="H481" s="19">
        <v>0</v>
      </c>
      <c r="I481" s="20">
        <v>0</v>
      </c>
      <c r="J481" s="19">
        <f t="shared" si="57"/>
        <v>0</v>
      </c>
      <c r="K481" s="19">
        <f t="shared" si="58"/>
        <v>0</v>
      </c>
      <c r="L481" s="19">
        <v>-3.0300000000000001E-3</v>
      </c>
      <c r="M481" s="19">
        <v>-3.0400000000000002E-3</v>
      </c>
      <c r="N481" s="19">
        <v>-4.15E-3</v>
      </c>
      <c r="O481" s="19">
        <v>-4.8900000000000002E-3</v>
      </c>
      <c r="P481" s="19">
        <v>-5.1000000000000004E-3</v>
      </c>
      <c r="Q481" s="19">
        <v>-4.8500000000000001E-3</v>
      </c>
      <c r="R481" s="19"/>
      <c r="S481" s="19">
        <f t="shared" si="59"/>
        <v>0</v>
      </c>
      <c r="T481" s="19">
        <f t="shared" si="60"/>
        <v>0</v>
      </c>
      <c r="U481" s="19">
        <f t="shared" si="61"/>
        <v>0</v>
      </c>
      <c r="V481" s="19">
        <f t="shared" si="62"/>
        <v>0</v>
      </c>
      <c r="W481" s="19">
        <f t="shared" si="63"/>
        <v>0</v>
      </c>
      <c r="X481" s="21">
        <f t="shared" si="64"/>
        <v>0</v>
      </c>
    </row>
    <row r="482" spans="1:24" ht="13.5" x14ac:dyDescent="0.35">
      <c r="A482" s="18">
        <v>100363</v>
      </c>
      <c r="B482" s="19" t="s">
        <v>54</v>
      </c>
      <c r="C482" s="19">
        <v>6.9</v>
      </c>
      <c r="D482" s="19">
        <v>101</v>
      </c>
      <c r="E482" s="19">
        <v>113</v>
      </c>
      <c r="F482" s="19">
        <v>8.2200000000000006</v>
      </c>
      <c r="G482" s="19">
        <v>0</v>
      </c>
      <c r="H482" s="19">
        <v>8.2200000000000006</v>
      </c>
      <c r="I482" s="20">
        <v>8.2200000000000006</v>
      </c>
      <c r="J482" s="19">
        <f t="shared" si="57"/>
        <v>0</v>
      </c>
      <c r="K482" s="19">
        <f t="shared" si="58"/>
        <v>0</v>
      </c>
      <c r="L482" s="19">
        <v>-3.0300000000000001E-3</v>
      </c>
      <c r="M482" s="19">
        <v>-3.0400000000000002E-3</v>
      </c>
      <c r="N482" s="19">
        <v>-4.15E-3</v>
      </c>
      <c r="O482" s="19">
        <v>-4.8900000000000002E-3</v>
      </c>
      <c r="P482" s="19">
        <v>-5.1000000000000004E-3</v>
      </c>
      <c r="Q482" s="19">
        <v>-4.8500000000000001E-3</v>
      </c>
      <c r="R482" s="19"/>
      <c r="S482" s="19">
        <f t="shared" si="59"/>
        <v>0</v>
      </c>
      <c r="T482" s="19">
        <f t="shared" si="60"/>
        <v>0</v>
      </c>
      <c r="U482" s="19">
        <f t="shared" si="61"/>
        <v>0</v>
      </c>
      <c r="V482" s="19">
        <f t="shared" si="62"/>
        <v>0</v>
      </c>
      <c r="W482" s="19">
        <f t="shared" si="63"/>
        <v>0</v>
      </c>
      <c r="X482" s="21">
        <f t="shared" si="64"/>
        <v>0</v>
      </c>
    </row>
    <row r="483" spans="1:24" ht="13.5" x14ac:dyDescent="0.35">
      <c r="A483" s="18">
        <v>100364</v>
      </c>
      <c r="B483" s="19" t="s">
        <v>55</v>
      </c>
      <c r="C483" s="19">
        <v>6.9</v>
      </c>
      <c r="D483" s="19">
        <v>101</v>
      </c>
      <c r="E483" s="19">
        <v>113</v>
      </c>
      <c r="F483" s="19">
        <v>0</v>
      </c>
      <c r="G483" s="19">
        <v>0</v>
      </c>
      <c r="H483" s="19">
        <v>0</v>
      </c>
      <c r="I483" s="20">
        <v>0</v>
      </c>
      <c r="J483" s="19">
        <f t="shared" si="57"/>
        <v>0</v>
      </c>
      <c r="K483" s="19">
        <f t="shared" si="58"/>
        <v>0</v>
      </c>
      <c r="L483" s="19">
        <v>-3.0300000000000001E-3</v>
      </c>
      <c r="M483" s="19">
        <v>-3.0400000000000002E-3</v>
      </c>
      <c r="N483" s="19">
        <v>-4.15E-3</v>
      </c>
      <c r="O483" s="19">
        <v>-4.8900000000000002E-3</v>
      </c>
      <c r="P483" s="19">
        <v>-5.1000000000000004E-3</v>
      </c>
      <c r="Q483" s="19">
        <v>-4.8500000000000001E-3</v>
      </c>
      <c r="R483" s="19"/>
      <c r="S483" s="19">
        <f t="shared" si="59"/>
        <v>0</v>
      </c>
      <c r="T483" s="19">
        <f t="shared" si="60"/>
        <v>0</v>
      </c>
      <c r="U483" s="19">
        <f t="shared" si="61"/>
        <v>0</v>
      </c>
      <c r="V483" s="19">
        <f t="shared" si="62"/>
        <v>0</v>
      </c>
      <c r="W483" s="19">
        <f t="shared" si="63"/>
        <v>0</v>
      </c>
      <c r="X483" s="21">
        <f t="shared" si="64"/>
        <v>0</v>
      </c>
    </row>
    <row r="484" spans="1:24" ht="13.5" x14ac:dyDescent="0.35">
      <c r="A484" s="18">
        <v>100368</v>
      </c>
      <c r="B484" s="19" t="s">
        <v>57</v>
      </c>
      <c r="C484" s="19">
        <v>22</v>
      </c>
      <c r="D484" s="19">
        <v>101</v>
      </c>
      <c r="E484" s="19">
        <v>113</v>
      </c>
      <c r="F484" s="19">
        <v>614.5</v>
      </c>
      <c r="G484" s="19">
        <v>0</v>
      </c>
      <c r="H484" s="19">
        <v>614.5</v>
      </c>
      <c r="I484" s="20">
        <v>614.5</v>
      </c>
      <c r="J484" s="19">
        <f t="shared" si="57"/>
        <v>0</v>
      </c>
      <c r="K484" s="19">
        <f t="shared" si="58"/>
        <v>0</v>
      </c>
      <c r="L484" s="19">
        <v>-3.0300000000000001E-3</v>
      </c>
      <c r="M484" s="19">
        <v>-3.0400000000000002E-3</v>
      </c>
      <c r="N484" s="19">
        <v>-4.15E-3</v>
      </c>
      <c r="O484" s="19">
        <v>-4.8900000000000002E-3</v>
      </c>
      <c r="P484" s="19">
        <v>-5.1000000000000004E-3</v>
      </c>
      <c r="Q484" s="19">
        <v>-4.8599999999999997E-3</v>
      </c>
      <c r="R484" s="19"/>
      <c r="S484" s="19">
        <f t="shared" si="59"/>
        <v>0</v>
      </c>
      <c r="T484" s="19">
        <f t="shared" si="60"/>
        <v>0</v>
      </c>
      <c r="U484" s="19">
        <f t="shared" si="61"/>
        <v>0</v>
      </c>
      <c r="V484" s="19">
        <f t="shared" si="62"/>
        <v>0</v>
      </c>
      <c r="W484" s="19">
        <f t="shared" si="63"/>
        <v>0</v>
      </c>
      <c r="X484" s="21">
        <f t="shared" si="64"/>
        <v>0</v>
      </c>
    </row>
    <row r="485" spans="1:24" ht="13.5" x14ac:dyDescent="0.35">
      <c r="A485" s="18">
        <v>100370</v>
      </c>
      <c r="B485" s="19" t="s">
        <v>58</v>
      </c>
      <c r="C485" s="19">
        <v>13.8</v>
      </c>
      <c r="D485" s="19">
        <v>101</v>
      </c>
      <c r="E485" s="19">
        <v>113</v>
      </c>
      <c r="F485" s="19">
        <v>35.299999999999997</v>
      </c>
      <c r="G485" s="19">
        <v>0</v>
      </c>
      <c r="H485" s="19">
        <v>35.299999999999997</v>
      </c>
      <c r="I485" s="20">
        <v>35.299999999999997</v>
      </c>
      <c r="J485" s="19">
        <f t="shared" si="57"/>
        <v>0</v>
      </c>
      <c r="K485" s="19">
        <f t="shared" si="58"/>
        <v>0</v>
      </c>
      <c r="L485" s="19">
        <v>-3.0300000000000001E-3</v>
      </c>
      <c r="M485" s="19">
        <v>-3.0400000000000002E-3</v>
      </c>
      <c r="N485" s="19">
        <v>-4.15E-3</v>
      </c>
      <c r="O485" s="19">
        <v>-4.8900000000000002E-3</v>
      </c>
      <c r="P485" s="19">
        <v>-5.1000000000000004E-3</v>
      </c>
      <c r="Q485" s="19">
        <v>-4.8500000000000001E-3</v>
      </c>
      <c r="R485" s="19"/>
      <c r="S485" s="19">
        <f t="shared" si="59"/>
        <v>0</v>
      </c>
      <c r="T485" s="19">
        <f t="shared" si="60"/>
        <v>0</v>
      </c>
      <c r="U485" s="19">
        <f t="shared" si="61"/>
        <v>0</v>
      </c>
      <c r="V485" s="19">
        <f t="shared" si="62"/>
        <v>0</v>
      </c>
      <c r="W485" s="19">
        <f t="shared" si="63"/>
        <v>0</v>
      </c>
      <c r="X485" s="21">
        <f t="shared" si="64"/>
        <v>0</v>
      </c>
    </row>
    <row r="486" spans="1:24" ht="13.5" x14ac:dyDescent="0.35">
      <c r="A486" s="18">
        <v>100372</v>
      </c>
      <c r="B486" s="19" t="s">
        <v>59</v>
      </c>
      <c r="C486" s="19">
        <v>13.8</v>
      </c>
      <c r="D486" s="19">
        <v>101</v>
      </c>
      <c r="E486" s="19">
        <v>113</v>
      </c>
      <c r="F486" s="19">
        <v>0</v>
      </c>
      <c r="G486" s="19">
        <v>0</v>
      </c>
      <c r="H486" s="19">
        <v>0</v>
      </c>
      <c r="I486" s="20">
        <v>0</v>
      </c>
      <c r="J486" s="19">
        <f t="shared" si="57"/>
        <v>0</v>
      </c>
      <c r="K486" s="19">
        <f t="shared" si="58"/>
        <v>0</v>
      </c>
      <c r="L486" s="19">
        <v>-3.0300000000000001E-3</v>
      </c>
      <c r="M486" s="19">
        <v>-3.0400000000000002E-3</v>
      </c>
      <c r="N486" s="19">
        <v>-4.15E-3</v>
      </c>
      <c r="O486" s="19">
        <v>-4.8900000000000002E-3</v>
      </c>
      <c r="P486" s="19">
        <v>-5.1000000000000004E-3</v>
      </c>
      <c r="Q486" s="19">
        <v>-4.8500000000000001E-3</v>
      </c>
      <c r="R486" s="19"/>
      <c r="S486" s="19">
        <f t="shared" si="59"/>
        <v>0</v>
      </c>
      <c r="T486" s="19">
        <f t="shared" si="60"/>
        <v>0</v>
      </c>
      <c r="U486" s="19">
        <f t="shared" si="61"/>
        <v>0</v>
      </c>
      <c r="V486" s="19">
        <f t="shared" si="62"/>
        <v>0</v>
      </c>
      <c r="W486" s="19">
        <f t="shared" si="63"/>
        <v>0</v>
      </c>
      <c r="X486" s="21">
        <f t="shared" si="64"/>
        <v>0</v>
      </c>
    </row>
    <row r="487" spans="1:24" ht="13.5" x14ac:dyDescent="0.35">
      <c r="A487" s="18">
        <v>100377</v>
      </c>
      <c r="B487" s="19" t="s">
        <v>60</v>
      </c>
      <c r="C487" s="19">
        <v>13.8</v>
      </c>
      <c r="D487" s="19">
        <v>101</v>
      </c>
      <c r="E487" s="19">
        <v>113</v>
      </c>
      <c r="F487" s="19">
        <v>47.22</v>
      </c>
      <c r="G487" s="19">
        <v>0</v>
      </c>
      <c r="H487" s="19">
        <v>47.22</v>
      </c>
      <c r="I487" s="20">
        <v>47.22</v>
      </c>
      <c r="J487" s="19">
        <f t="shared" si="57"/>
        <v>0</v>
      </c>
      <c r="K487" s="19">
        <f t="shared" si="58"/>
        <v>0</v>
      </c>
      <c r="L487" s="19">
        <v>-3.0300000000000001E-3</v>
      </c>
      <c r="M487" s="19">
        <v>-3.0400000000000002E-3</v>
      </c>
      <c r="N487" s="19">
        <v>-4.15E-3</v>
      </c>
      <c r="O487" s="19">
        <v>-4.8900000000000002E-3</v>
      </c>
      <c r="P487" s="19">
        <v>-5.1000000000000004E-3</v>
      </c>
      <c r="Q487" s="19">
        <v>-4.8500000000000001E-3</v>
      </c>
      <c r="R487" s="19"/>
      <c r="S487" s="19">
        <f t="shared" si="59"/>
        <v>0</v>
      </c>
      <c r="T487" s="19">
        <f t="shared" si="60"/>
        <v>0</v>
      </c>
      <c r="U487" s="19">
        <f t="shared" si="61"/>
        <v>0</v>
      </c>
      <c r="V487" s="19">
        <f t="shared" si="62"/>
        <v>0</v>
      </c>
      <c r="W487" s="19">
        <f t="shared" si="63"/>
        <v>0</v>
      </c>
      <c r="X487" s="21">
        <f t="shared" si="64"/>
        <v>0</v>
      </c>
    </row>
    <row r="488" spans="1:24" ht="13.5" x14ac:dyDescent="0.35">
      <c r="A488" s="18">
        <v>100378</v>
      </c>
      <c r="B488" s="19" t="s">
        <v>61</v>
      </c>
      <c r="C488" s="19">
        <v>13.8</v>
      </c>
      <c r="D488" s="19">
        <v>101</v>
      </c>
      <c r="E488" s="19">
        <v>113</v>
      </c>
      <c r="F488" s="19">
        <v>45.17</v>
      </c>
      <c r="G488" s="19">
        <v>0</v>
      </c>
      <c r="H488" s="19">
        <v>45.17</v>
      </c>
      <c r="I488" s="20">
        <v>45.17</v>
      </c>
      <c r="J488" s="19">
        <f t="shared" si="57"/>
        <v>0</v>
      </c>
      <c r="K488" s="19">
        <f t="shared" si="58"/>
        <v>0</v>
      </c>
      <c r="L488" s="19">
        <v>-3.0300000000000001E-3</v>
      </c>
      <c r="M488" s="19">
        <v>-3.0400000000000002E-3</v>
      </c>
      <c r="N488" s="19">
        <v>-4.15E-3</v>
      </c>
      <c r="O488" s="19">
        <v>-4.8900000000000002E-3</v>
      </c>
      <c r="P488" s="19">
        <v>-5.1000000000000004E-3</v>
      </c>
      <c r="Q488" s="19">
        <v>-4.8500000000000001E-3</v>
      </c>
      <c r="R488" s="19"/>
      <c r="S488" s="19">
        <f t="shared" si="59"/>
        <v>0</v>
      </c>
      <c r="T488" s="19">
        <f t="shared" si="60"/>
        <v>0</v>
      </c>
      <c r="U488" s="19">
        <f t="shared" si="61"/>
        <v>0</v>
      </c>
      <c r="V488" s="19">
        <f t="shared" si="62"/>
        <v>0</v>
      </c>
      <c r="W488" s="19">
        <f t="shared" si="63"/>
        <v>0</v>
      </c>
      <c r="X488" s="21">
        <f t="shared" si="64"/>
        <v>0</v>
      </c>
    </row>
    <row r="489" spans="1:24" ht="13.5" x14ac:dyDescent="0.35">
      <c r="A489" s="18">
        <v>100379</v>
      </c>
      <c r="B489" s="19" t="s">
        <v>62</v>
      </c>
      <c r="C489" s="19">
        <v>13.8</v>
      </c>
      <c r="D489" s="19">
        <v>101</v>
      </c>
      <c r="E489" s="19">
        <v>113</v>
      </c>
      <c r="F489" s="19">
        <v>44.1</v>
      </c>
      <c r="G489" s="19">
        <v>0</v>
      </c>
      <c r="H489" s="19">
        <v>44.1</v>
      </c>
      <c r="I489" s="20">
        <v>44.1</v>
      </c>
      <c r="J489" s="19">
        <f t="shared" si="57"/>
        <v>0</v>
      </c>
      <c r="K489" s="19">
        <f t="shared" si="58"/>
        <v>0</v>
      </c>
      <c r="L489" s="19">
        <v>-3.0300000000000001E-3</v>
      </c>
      <c r="M489" s="19">
        <v>-3.0400000000000002E-3</v>
      </c>
      <c r="N489" s="19">
        <v>-4.15E-3</v>
      </c>
      <c r="O489" s="19">
        <v>-4.8900000000000002E-3</v>
      </c>
      <c r="P489" s="19">
        <v>-5.1000000000000004E-3</v>
      </c>
      <c r="Q489" s="19">
        <v>-4.8500000000000001E-3</v>
      </c>
      <c r="R489" s="19"/>
      <c r="S489" s="19">
        <f t="shared" si="59"/>
        <v>0</v>
      </c>
      <c r="T489" s="19">
        <f t="shared" si="60"/>
        <v>0</v>
      </c>
      <c r="U489" s="19">
        <f t="shared" si="61"/>
        <v>0</v>
      </c>
      <c r="V489" s="19">
        <f t="shared" si="62"/>
        <v>0</v>
      </c>
      <c r="W489" s="19">
        <f t="shared" si="63"/>
        <v>0</v>
      </c>
      <c r="X489" s="21">
        <f t="shared" si="64"/>
        <v>0</v>
      </c>
    </row>
    <row r="490" spans="1:24" ht="13.5" x14ac:dyDescent="0.35">
      <c r="A490" s="18">
        <v>100381</v>
      </c>
      <c r="B490" s="19" t="s">
        <v>63</v>
      </c>
      <c r="C490" s="19">
        <v>18</v>
      </c>
      <c r="D490" s="19">
        <v>101</v>
      </c>
      <c r="E490" s="19">
        <v>113</v>
      </c>
      <c r="F490" s="19">
        <v>160.06</v>
      </c>
      <c r="G490" s="19">
        <v>0</v>
      </c>
      <c r="H490" s="19">
        <v>160.06</v>
      </c>
      <c r="I490" s="20">
        <v>160.06</v>
      </c>
      <c r="J490" s="19">
        <f t="shared" si="57"/>
        <v>0</v>
      </c>
      <c r="K490" s="19">
        <f t="shared" si="58"/>
        <v>0</v>
      </c>
      <c r="L490" s="19">
        <v>-3.0300000000000001E-3</v>
      </c>
      <c r="M490" s="19">
        <v>-3.0400000000000002E-3</v>
      </c>
      <c r="N490" s="19">
        <v>-4.15E-3</v>
      </c>
      <c r="O490" s="19">
        <v>-4.8900000000000002E-3</v>
      </c>
      <c r="P490" s="19">
        <v>-5.1000000000000004E-3</v>
      </c>
      <c r="Q490" s="19">
        <v>-4.8500000000000001E-3</v>
      </c>
      <c r="R490" s="19"/>
      <c r="S490" s="19">
        <f t="shared" si="59"/>
        <v>0</v>
      </c>
      <c r="T490" s="19">
        <f t="shared" si="60"/>
        <v>0</v>
      </c>
      <c r="U490" s="19">
        <f t="shared" si="61"/>
        <v>0</v>
      </c>
      <c r="V490" s="19">
        <f t="shared" si="62"/>
        <v>0</v>
      </c>
      <c r="W490" s="19">
        <f t="shared" si="63"/>
        <v>0</v>
      </c>
      <c r="X490" s="21">
        <f t="shared" si="64"/>
        <v>0</v>
      </c>
    </row>
    <row r="491" spans="1:24" ht="13.5" x14ac:dyDescent="0.35">
      <c r="A491" s="18">
        <v>100382</v>
      </c>
      <c r="B491" s="19" t="s">
        <v>64</v>
      </c>
      <c r="C491" s="19">
        <v>13.8</v>
      </c>
      <c r="D491" s="19">
        <v>101</v>
      </c>
      <c r="E491" s="19">
        <v>113</v>
      </c>
      <c r="F491" s="19">
        <v>84.88</v>
      </c>
      <c r="G491" s="19">
        <v>0</v>
      </c>
      <c r="H491" s="19">
        <v>84.88</v>
      </c>
      <c r="I491" s="20">
        <v>84.88</v>
      </c>
      <c r="J491" s="19">
        <f t="shared" si="57"/>
        <v>0</v>
      </c>
      <c r="K491" s="19">
        <f t="shared" si="58"/>
        <v>0</v>
      </c>
      <c r="L491" s="19">
        <v>-3.0300000000000001E-3</v>
      </c>
      <c r="M491" s="19">
        <v>-3.0400000000000002E-3</v>
      </c>
      <c r="N491" s="19">
        <v>-4.15E-3</v>
      </c>
      <c r="O491" s="19">
        <v>-4.8900000000000002E-3</v>
      </c>
      <c r="P491" s="19">
        <v>-5.1000000000000004E-3</v>
      </c>
      <c r="Q491" s="19">
        <v>-4.8500000000000001E-3</v>
      </c>
      <c r="R491" s="19"/>
      <c r="S491" s="19">
        <f t="shared" si="59"/>
        <v>0</v>
      </c>
      <c r="T491" s="19">
        <f t="shared" si="60"/>
        <v>0</v>
      </c>
      <c r="U491" s="19">
        <f t="shared" si="61"/>
        <v>0</v>
      </c>
      <c r="V491" s="19">
        <f t="shared" si="62"/>
        <v>0</v>
      </c>
      <c r="W491" s="19">
        <f t="shared" si="63"/>
        <v>0</v>
      </c>
      <c r="X491" s="21">
        <f t="shared" si="64"/>
        <v>0</v>
      </c>
    </row>
    <row r="492" spans="1:24" ht="13.5" x14ac:dyDescent="0.35">
      <c r="A492" s="18">
        <v>100389</v>
      </c>
      <c r="B492" s="19" t="s">
        <v>68</v>
      </c>
      <c r="C492" s="19">
        <v>18</v>
      </c>
      <c r="D492" s="19">
        <v>101</v>
      </c>
      <c r="E492" s="19">
        <v>113</v>
      </c>
      <c r="F492" s="19">
        <v>160.30000000000001</v>
      </c>
      <c r="G492" s="19">
        <v>0</v>
      </c>
      <c r="H492" s="19">
        <v>160.30000000000001</v>
      </c>
      <c r="I492" s="20">
        <v>160.30000000000001</v>
      </c>
      <c r="J492" s="19">
        <f t="shared" si="57"/>
        <v>0</v>
      </c>
      <c r="K492" s="19">
        <f t="shared" si="58"/>
        <v>0</v>
      </c>
      <c r="L492" s="19">
        <v>-3.0300000000000001E-3</v>
      </c>
      <c r="M492" s="19">
        <v>-3.0400000000000002E-3</v>
      </c>
      <c r="N492" s="19">
        <v>-4.15E-3</v>
      </c>
      <c r="O492" s="19">
        <v>-4.8900000000000002E-3</v>
      </c>
      <c r="P492" s="19">
        <v>-5.1000000000000004E-3</v>
      </c>
      <c r="Q492" s="19">
        <v>-4.8500000000000001E-3</v>
      </c>
      <c r="R492" s="19"/>
      <c r="S492" s="19">
        <f t="shared" si="59"/>
        <v>0</v>
      </c>
      <c r="T492" s="19">
        <f t="shared" si="60"/>
        <v>0</v>
      </c>
      <c r="U492" s="19">
        <f t="shared" si="61"/>
        <v>0</v>
      </c>
      <c r="V492" s="19">
        <f t="shared" si="62"/>
        <v>0</v>
      </c>
      <c r="W492" s="19">
        <f t="shared" si="63"/>
        <v>0</v>
      </c>
      <c r="X492" s="21">
        <f t="shared" si="64"/>
        <v>0</v>
      </c>
    </row>
    <row r="493" spans="1:24" ht="13.5" x14ac:dyDescent="0.35">
      <c r="A493" s="18">
        <v>100398</v>
      </c>
      <c r="B493" s="19" t="s">
        <v>69</v>
      </c>
      <c r="C493" s="19">
        <v>11.5</v>
      </c>
      <c r="D493" s="19">
        <v>101</v>
      </c>
      <c r="E493" s="19">
        <v>114</v>
      </c>
      <c r="F493" s="19">
        <v>6.77</v>
      </c>
      <c r="G493" s="19">
        <v>0</v>
      </c>
      <c r="H493" s="19">
        <v>6.77</v>
      </c>
      <c r="I493" s="20">
        <v>6.77</v>
      </c>
      <c r="J493" s="19">
        <f t="shared" si="57"/>
        <v>0</v>
      </c>
      <c r="K493" s="19">
        <f t="shared" si="58"/>
        <v>0</v>
      </c>
      <c r="L493" s="19">
        <v>-3.0300000000000001E-3</v>
      </c>
      <c r="M493" s="19">
        <v>-3.0400000000000002E-3</v>
      </c>
      <c r="N493" s="19">
        <v>-4.15E-3</v>
      </c>
      <c r="O493" s="19">
        <v>-4.8900000000000002E-3</v>
      </c>
      <c r="P493" s="19">
        <v>-5.1000000000000004E-3</v>
      </c>
      <c r="Q493" s="19">
        <v>-4.8500000000000001E-3</v>
      </c>
      <c r="R493" s="19"/>
      <c r="S493" s="19">
        <f t="shared" si="59"/>
        <v>0</v>
      </c>
      <c r="T493" s="19">
        <f t="shared" si="60"/>
        <v>0</v>
      </c>
      <c r="U493" s="19">
        <f t="shared" si="61"/>
        <v>0</v>
      </c>
      <c r="V493" s="19">
        <f t="shared" si="62"/>
        <v>0</v>
      </c>
      <c r="W493" s="19">
        <f t="shared" si="63"/>
        <v>0</v>
      </c>
      <c r="X493" s="21">
        <f t="shared" si="64"/>
        <v>0</v>
      </c>
    </row>
    <row r="494" spans="1:24" ht="13.5" x14ac:dyDescent="0.35">
      <c r="A494" s="18">
        <v>100399</v>
      </c>
      <c r="B494" s="19" t="s">
        <v>70</v>
      </c>
      <c r="C494" s="19">
        <v>11.5</v>
      </c>
      <c r="D494" s="19">
        <v>101</v>
      </c>
      <c r="E494" s="19">
        <v>114</v>
      </c>
      <c r="F494" s="19">
        <v>6.77</v>
      </c>
      <c r="G494" s="19">
        <v>0</v>
      </c>
      <c r="H494" s="19">
        <v>6.77</v>
      </c>
      <c r="I494" s="20">
        <v>6.77</v>
      </c>
      <c r="J494" s="19">
        <f t="shared" si="57"/>
        <v>0</v>
      </c>
      <c r="K494" s="19">
        <f t="shared" si="58"/>
        <v>0</v>
      </c>
      <c r="L494" s="19">
        <v>-3.0300000000000001E-3</v>
      </c>
      <c r="M494" s="19">
        <v>-3.0400000000000002E-3</v>
      </c>
      <c r="N494" s="19">
        <v>-4.15E-3</v>
      </c>
      <c r="O494" s="19">
        <v>-4.8900000000000002E-3</v>
      </c>
      <c r="P494" s="19">
        <v>-5.1000000000000004E-3</v>
      </c>
      <c r="Q494" s="19">
        <v>-4.8500000000000001E-3</v>
      </c>
      <c r="R494" s="19"/>
      <c r="S494" s="19">
        <f t="shared" si="59"/>
        <v>0</v>
      </c>
      <c r="T494" s="19">
        <f t="shared" si="60"/>
        <v>0</v>
      </c>
      <c r="U494" s="19">
        <f t="shared" si="61"/>
        <v>0</v>
      </c>
      <c r="V494" s="19">
        <f t="shared" si="62"/>
        <v>0</v>
      </c>
      <c r="W494" s="19">
        <f t="shared" si="63"/>
        <v>0</v>
      </c>
      <c r="X494" s="21">
        <f t="shared" si="64"/>
        <v>0</v>
      </c>
    </row>
    <row r="495" spans="1:24" ht="13.5" x14ac:dyDescent="0.35">
      <c r="A495" s="18">
        <v>100410</v>
      </c>
      <c r="B495" s="19" t="s">
        <v>71</v>
      </c>
      <c r="C495" s="19">
        <v>4.16</v>
      </c>
      <c r="D495" s="19">
        <v>101</v>
      </c>
      <c r="E495" s="19">
        <v>113</v>
      </c>
      <c r="F495" s="19">
        <v>7.83</v>
      </c>
      <c r="G495" s="19">
        <v>0</v>
      </c>
      <c r="H495" s="19">
        <v>7.83</v>
      </c>
      <c r="I495" s="20">
        <v>7.83</v>
      </c>
      <c r="J495" s="19">
        <f t="shared" si="57"/>
        <v>0</v>
      </c>
      <c r="K495" s="19">
        <f t="shared" si="58"/>
        <v>0</v>
      </c>
      <c r="L495" s="19">
        <v>-3.0300000000000001E-3</v>
      </c>
      <c r="M495" s="19">
        <v>-3.0400000000000002E-3</v>
      </c>
      <c r="N495" s="19">
        <v>-4.15E-3</v>
      </c>
      <c r="O495" s="19">
        <v>-4.8900000000000002E-3</v>
      </c>
      <c r="P495" s="19">
        <v>-5.1000000000000004E-3</v>
      </c>
      <c r="Q495" s="19">
        <v>-4.8500000000000001E-3</v>
      </c>
      <c r="R495" s="19"/>
      <c r="S495" s="19">
        <f t="shared" si="59"/>
        <v>0</v>
      </c>
      <c r="T495" s="19">
        <f t="shared" si="60"/>
        <v>0</v>
      </c>
      <c r="U495" s="19">
        <f t="shared" si="61"/>
        <v>0</v>
      </c>
      <c r="V495" s="19">
        <f t="shared" si="62"/>
        <v>0</v>
      </c>
      <c r="W495" s="19">
        <f t="shared" si="63"/>
        <v>0</v>
      </c>
      <c r="X495" s="21">
        <f t="shared" si="64"/>
        <v>0</v>
      </c>
    </row>
    <row r="496" spans="1:24" ht="13.5" x14ac:dyDescent="0.35">
      <c r="A496" s="18">
        <v>100411</v>
      </c>
      <c r="B496" s="19" t="s">
        <v>72</v>
      </c>
      <c r="C496" s="19">
        <v>4.16</v>
      </c>
      <c r="D496" s="19">
        <v>101</v>
      </c>
      <c r="E496" s="19">
        <v>114</v>
      </c>
      <c r="F496" s="19">
        <v>0</v>
      </c>
      <c r="G496" s="19">
        <v>0</v>
      </c>
      <c r="H496" s="19">
        <v>0</v>
      </c>
      <c r="I496" s="20">
        <v>0</v>
      </c>
      <c r="J496" s="19">
        <f t="shared" si="57"/>
        <v>0</v>
      </c>
      <c r="K496" s="19">
        <f t="shared" si="58"/>
        <v>0</v>
      </c>
      <c r="L496" s="19">
        <v>-3.0300000000000001E-3</v>
      </c>
      <c r="M496" s="19">
        <v>-3.0400000000000002E-3</v>
      </c>
      <c r="N496" s="19">
        <v>-4.15E-3</v>
      </c>
      <c r="O496" s="19">
        <v>-4.8900000000000002E-3</v>
      </c>
      <c r="P496" s="19">
        <v>-5.1000000000000004E-3</v>
      </c>
      <c r="Q496" s="19">
        <v>-4.8500000000000001E-3</v>
      </c>
      <c r="R496" s="19"/>
      <c r="S496" s="19">
        <f t="shared" si="59"/>
        <v>0</v>
      </c>
      <c r="T496" s="19">
        <f t="shared" si="60"/>
        <v>0</v>
      </c>
      <c r="U496" s="19">
        <f t="shared" si="61"/>
        <v>0</v>
      </c>
      <c r="V496" s="19">
        <f t="shared" si="62"/>
        <v>0</v>
      </c>
      <c r="W496" s="19">
        <f t="shared" si="63"/>
        <v>0</v>
      </c>
      <c r="X496" s="21">
        <f t="shared" si="64"/>
        <v>0</v>
      </c>
    </row>
    <row r="497" spans="1:24" ht="13.5" x14ac:dyDescent="0.35">
      <c r="A497" s="18">
        <v>100412</v>
      </c>
      <c r="B497" s="19" t="s">
        <v>73</v>
      </c>
      <c r="C497" s="19">
        <v>11.5</v>
      </c>
      <c r="D497" s="19">
        <v>101</v>
      </c>
      <c r="E497" s="19">
        <v>114</v>
      </c>
      <c r="F497" s="19">
        <v>15.45</v>
      </c>
      <c r="G497" s="19">
        <v>0</v>
      </c>
      <c r="H497" s="19">
        <v>15.45</v>
      </c>
      <c r="I497" s="20">
        <v>15.45</v>
      </c>
      <c r="J497" s="19">
        <f t="shared" si="57"/>
        <v>0</v>
      </c>
      <c r="K497" s="19">
        <f t="shared" si="58"/>
        <v>0</v>
      </c>
      <c r="L497" s="19">
        <v>-3.0300000000000001E-3</v>
      </c>
      <c r="M497" s="19">
        <v>-3.0400000000000002E-3</v>
      </c>
      <c r="N497" s="19">
        <v>-4.15E-3</v>
      </c>
      <c r="O497" s="19">
        <v>-4.8900000000000002E-3</v>
      </c>
      <c r="P497" s="19">
        <v>-5.1000000000000004E-3</v>
      </c>
      <c r="Q497" s="19">
        <v>-4.8500000000000001E-3</v>
      </c>
      <c r="R497" s="19"/>
      <c r="S497" s="19">
        <f t="shared" si="59"/>
        <v>0</v>
      </c>
      <c r="T497" s="19">
        <f t="shared" si="60"/>
        <v>0</v>
      </c>
      <c r="U497" s="19">
        <f t="shared" si="61"/>
        <v>0</v>
      </c>
      <c r="V497" s="19">
        <f t="shared" si="62"/>
        <v>0</v>
      </c>
      <c r="W497" s="19">
        <f t="shared" si="63"/>
        <v>0</v>
      </c>
      <c r="X497" s="21">
        <f t="shared" si="64"/>
        <v>0</v>
      </c>
    </row>
    <row r="498" spans="1:24" ht="13.5" x14ac:dyDescent="0.35">
      <c r="A498" s="18">
        <v>100413</v>
      </c>
      <c r="B498" s="19" t="s">
        <v>74</v>
      </c>
      <c r="C498" s="19">
        <v>11.5</v>
      </c>
      <c r="D498" s="19">
        <v>101</v>
      </c>
      <c r="E498" s="19">
        <v>114</v>
      </c>
      <c r="F498" s="19">
        <v>7.2</v>
      </c>
      <c r="G498" s="19">
        <v>0</v>
      </c>
      <c r="H498" s="19">
        <v>7.2</v>
      </c>
      <c r="I498" s="20">
        <v>7.2</v>
      </c>
      <c r="J498" s="19">
        <f t="shared" si="57"/>
        <v>0</v>
      </c>
      <c r="K498" s="19">
        <f t="shared" si="58"/>
        <v>0</v>
      </c>
      <c r="L498" s="19">
        <v>-3.0300000000000001E-3</v>
      </c>
      <c r="M498" s="19">
        <v>-3.0400000000000002E-3</v>
      </c>
      <c r="N498" s="19">
        <v>-4.15E-3</v>
      </c>
      <c r="O498" s="19">
        <v>-4.8900000000000002E-3</v>
      </c>
      <c r="P498" s="19">
        <v>-5.1000000000000004E-3</v>
      </c>
      <c r="Q498" s="19">
        <v>-4.8500000000000001E-3</v>
      </c>
      <c r="R498" s="19"/>
      <c r="S498" s="19">
        <f t="shared" si="59"/>
        <v>0</v>
      </c>
      <c r="T498" s="19">
        <f t="shared" si="60"/>
        <v>0</v>
      </c>
      <c r="U498" s="19">
        <f t="shared" si="61"/>
        <v>0</v>
      </c>
      <c r="V498" s="19">
        <f t="shared" si="62"/>
        <v>0</v>
      </c>
      <c r="W498" s="19">
        <f t="shared" si="63"/>
        <v>0</v>
      </c>
      <c r="X498" s="21">
        <f t="shared" si="64"/>
        <v>0</v>
      </c>
    </row>
    <row r="499" spans="1:24" ht="13.5" x14ac:dyDescent="0.35">
      <c r="A499" s="18">
        <v>100416</v>
      </c>
      <c r="B499" s="19" t="s">
        <v>75</v>
      </c>
      <c r="C499" s="19">
        <v>13.8</v>
      </c>
      <c r="D499" s="19">
        <v>101</v>
      </c>
      <c r="E499" s="19">
        <v>112</v>
      </c>
      <c r="F499" s="19">
        <v>10</v>
      </c>
      <c r="G499" s="19">
        <v>0</v>
      </c>
      <c r="H499" s="19">
        <v>10</v>
      </c>
      <c r="I499" s="20">
        <v>10</v>
      </c>
      <c r="J499" s="19">
        <f t="shared" si="57"/>
        <v>0</v>
      </c>
      <c r="K499" s="19">
        <f t="shared" si="58"/>
        <v>0</v>
      </c>
      <c r="L499" s="19">
        <v>-3.0300000000000001E-3</v>
      </c>
      <c r="M499" s="19">
        <v>-3.0400000000000002E-3</v>
      </c>
      <c r="N499" s="19">
        <v>-4.15E-3</v>
      </c>
      <c r="O499" s="19">
        <v>-4.8900000000000002E-3</v>
      </c>
      <c r="P499" s="19">
        <v>-5.1000000000000004E-3</v>
      </c>
      <c r="Q499" s="19">
        <v>-4.8500000000000001E-3</v>
      </c>
      <c r="R499" s="19"/>
      <c r="S499" s="19">
        <f t="shared" si="59"/>
        <v>0</v>
      </c>
      <c r="T499" s="19">
        <f t="shared" si="60"/>
        <v>0</v>
      </c>
      <c r="U499" s="19">
        <f t="shared" si="61"/>
        <v>0</v>
      </c>
      <c r="V499" s="19">
        <f t="shared" si="62"/>
        <v>0</v>
      </c>
      <c r="W499" s="19">
        <f t="shared" si="63"/>
        <v>0</v>
      </c>
      <c r="X499" s="21">
        <f t="shared" si="64"/>
        <v>0</v>
      </c>
    </row>
    <row r="500" spans="1:24" ht="13.5" x14ac:dyDescent="0.35">
      <c r="A500" s="18">
        <v>100420</v>
      </c>
      <c r="B500" s="19" t="s">
        <v>78</v>
      </c>
      <c r="C500" s="19">
        <v>13.8</v>
      </c>
      <c r="D500" s="19">
        <v>101</v>
      </c>
      <c r="E500" s="19">
        <v>112</v>
      </c>
      <c r="F500" s="19">
        <v>25</v>
      </c>
      <c r="G500" s="19">
        <v>0</v>
      </c>
      <c r="H500" s="19">
        <v>34.5</v>
      </c>
      <c r="I500" s="20">
        <v>25</v>
      </c>
      <c r="J500" s="19">
        <f t="shared" si="57"/>
        <v>0</v>
      </c>
      <c r="K500" s="19">
        <f t="shared" si="58"/>
        <v>9.5</v>
      </c>
      <c r="L500" s="19">
        <v>-3.0300000000000001E-3</v>
      </c>
      <c r="M500" s="19">
        <v>-3.0400000000000002E-3</v>
      </c>
      <c r="N500" s="19">
        <v>-4.15E-3</v>
      </c>
      <c r="O500" s="19">
        <v>-4.8900000000000002E-3</v>
      </c>
      <c r="P500" s="19">
        <v>-5.1000000000000004E-3</v>
      </c>
      <c r="Q500" s="19">
        <v>-4.8500000000000001E-3</v>
      </c>
      <c r="R500" s="19"/>
      <c r="S500" s="19">
        <f t="shared" si="59"/>
        <v>0</v>
      </c>
      <c r="T500" s="19">
        <f t="shared" si="60"/>
        <v>0</v>
      </c>
      <c r="U500" s="19">
        <f t="shared" si="61"/>
        <v>0</v>
      </c>
      <c r="V500" s="19">
        <f t="shared" si="62"/>
        <v>0</v>
      </c>
      <c r="W500" s="19">
        <f t="shared" si="63"/>
        <v>0</v>
      </c>
      <c r="X500" s="21">
        <f t="shared" si="64"/>
        <v>0</v>
      </c>
    </row>
    <row r="501" spans="1:24" ht="13.5" x14ac:dyDescent="0.35">
      <c r="A501" s="18">
        <v>100421</v>
      </c>
      <c r="B501" s="19" t="s">
        <v>79</v>
      </c>
      <c r="C501" s="19">
        <v>13.8</v>
      </c>
      <c r="D501" s="19">
        <v>101</v>
      </c>
      <c r="E501" s="19">
        <v>112</v>
      </c>
      <c r="F501" s="19">
        <v>10.5</v>
      </c>
      <c r="G501" s="19">
        <v>-24</v>
      </c>
      <c r="H501" s="19">
        <v>34.5</v>
      </c>
      <c r="I501" s="20">
        <v>10.5</v>
      </c>
      <c r="J501" s="19">
        <f t="shared" si="57"/>
        <v>0</v>
      </c>
      <c r="K501" s="19">
        <f t="shared" si="58"/>
        <v>24</v>
      </c>
      <c r="L501" s="19">
        <v>-3.0300000000000001E-3</v>
      </c>
      <c r="M501" s="19">
        <v>-3.0400000000000002E-3</v>
      </c>
      <c r="N501" s="19">
        <v>-4.15E-3</v>
      </c>
      <c r="O501" s="19">
        <v>-4.8900000000000002E-3</v>
      </c>
      <c r="P501" s="19">
        <v>-5.1000000000000004E-3</v>
      </c>
      <c r="Q501" s="19">
        <v>-4.8500000000000001E-3</v>
      </c>
      <c r="R501" s="19"/>
      <c r="S501" s="19">
        <f t="shared" si="59"/>
        <v>0</v>
      </c>
      <c r="T501" s="19">
        <f t="shared" si="60"/>
        <v>0</v>
      </c>
      <c r="U501" s="19">
        <f t="shared" si="61"/>
        <v>0</v>
      </c>
      <c r="V501" s="19">
        <f t="shared" si="62"/>
        <v>0</v>
      </c>
      <c r="W501" s="19">
        <f t="shared" si="63"/>
        <v>0</v>
      </c>
      <c r="X501" s="21">
        <f t="shared" si="64"/>
        <v>0</v>
      </c>
    </row>
    <row r="502" spans="1:24" ht="13.5" x14ac:dyDescent="0.35">
      <c r="A502" s="18">
        <v>100422</v>
      </c>
      <c r="B502" s="19" t="s">
        <v>80</v>
      </c>
      <c r="C502" s="19">
        <v>13.8</v>
      </c>
      <c r="D502" s="19">
        <v>101</v>
      </c>
      <c r="E502" s="19">
        <v>114</v>
      </c>
      <c r="F502" s="19">
        <v>0</v>
      </c>
      <c r="G502" s="19">
        <v>0</v>
      </c>
      <c r="H502" s="19">
        <v>0</v>
      </c>
      <c r="I502" s="20">
        <v>0</v>
      </c>
      <c r="J502" s="19">
        <f t="shared" si="57"/>
        <v>0</v>
      </c>
      <c r="K502" s="19">
        <f t="shared" si="58"/>
        <v>0</v>
      </c>
      <c r="L502" s="19">
        <v>-3.0300000000000001E-3</v>
      </c>
      <c r="M502" s="19">
        <v>-3.0400000000000002E-3</v>
      </c>
      <c r="N502" s="19">
        <v>-4.15E-3</v>
      </c>
      <c r="O502" s="19">
        <v>-4.8900000000000002E-3</v>
      </c>
      <c r="P502" s="19">
        <v>-5.1000000000000004E-3</v>
      </c>
      <c r="Q502" s="19">
        <v>-4.8500000000000001E-3</v>
      </c>
      <c r="R502" s="19"/>
      <c r="S502" s="19">
        <f t="shared" si="59"/>
        <v>0</v>
      </c>
      <c r="T502" s="19">
        <f t="shared" si="60"/>
        <v>0</v>
      </c>
      <c r="U502" s="19">
        <f t="shared" si="61"/>
        <v>0</v>
      </c>
      <c r="V502" s="19">
        <f t="shared" si="62"/>
        <v>0</v>
      </c>
      <c r="W502" s="19">
        <f t="shared" si="63"/>
        <v>0</v>
      </c>
      <c r="X502" s="21">
        <f t="shared" si="64"/>
        <v>0</v>
      </c>
    </row>
    <row r="503" spans="1:24" ht="13.5" x14ac:dyDescent="0.35">
      <c r="A503" s="18">
        <v>100423</v>
      </c>
      <c r="B503" s="19" t="s">
        <v>81</v>
      </c>
      <c r="C503" s="19">
        <v>13.8</v>
      </c>
      <c r="D503" s="19">
        <v>101</v>
      </c>
      <c r="E503" s="19">
        <v>114</v>
      </c>
      <c r="F503" s="19">
        <v>60</v>
      </c>
      <c r="G503" s="19">
        <v>0</v>
      </c>
      <c r="H503" s="19">
        <v>60</v>
      </c>
      <c r="I503" s="20">
        <v>60</v>
      </c>
      <c r="J503" s="19">
        <f t="shared" si="57"/>
        <v>0</v>
      </c>
      <c r="K503" s="19">
        <f t="shared" si="58"/>
        <v>0</v>
      </c>
      <c r="L503" s="19">
        <v>-3.0300000000000001E-3</v>
      </c>
      <c r="M503" s="19">
        <v>-3.0400000000000002E-3</v>
      </c>
      <c r="N503" s="19">
        <v>-4.15E-3</v>
      </c>
      <c r="O503" s="19">
        <v>-4.8900000000000002E-3</v>
      </c>
      <c r="P503" s="19">
        <v>-5.1000000000000004E-3</v>
      </c>
      <c r="Q503" s="19">
        <v>-4.8500000000000001E-3</v>
      </c>
      <c r="R503" s="19"/>
      <c r="S503" s="19">
        <f t="shared" si="59"/>
        <v>0</v>
      </c>
      <c r="T503" s="19">
        <f t="shared" si="60"/>
        <v>0</v>
      </c>
      <c r="U503" s="19">
        <f t="shared" si="61"/>
        <v>0</v>
      </c>
      <c r="V503" s="19">
        <f t="shared" si="62"/>
        <v>0</v>
      </c>
      <c r="W503" s="19">
        <f t="shared" si="63"/>
        <v>0</v>
      </c>
      <c r="X503" s="21">
        <f t="shared" si="64"/>
        <v>0</v>
      </c>
    </row>
    <row r="504" spans="1:24" ht="13.5" x14ac:dyDescent="0.35">
      <c r="A504" s="18">
        <v>100425</v>
      </c>
      <c r="B504" s="19" t="s">
        <v>82</v>
      </c>
      <c r="C504" s="19">
        <v>13.8</v>
      </c>
      <c r="D504" s="19">
        <v>101</v>
      </c>
      <c r="E504" s="19">
        <v>113</v>
      </c>
      <c r="F504" s="19">
        <v>119</v>
      </c>
      <c r="G504" s="19">
        <v>1</v>
      </c>
      <c r="H504" s="19">
        <v>119</v>
      </c>
      <c r="I504" s="20">
        <v>119</v>
      </c>
      <c r="J504" s="19">
        <f t="shared" si="57"/>
        <v>0</v>
      </c>
      <c r="K504" s="19">
        <f t="shared" si="58"/>
        <v>0</v>
      </c>
      <c r="L504" s="19">
        <v>-3.0300000000000001E-3</v>
      </c>
      <c r="M504" s="19">
        <v>-3.0400000000000002E-3</v>
      </c>
      <c r="N504" s="19">
        <v>-4.15E-3</v>
      </c>
      <c r="O504" s="19">
        <v>-4.8900000000000002E-3</v>
      </c>
      <c r="P504" s="19">
        <v>-5.1000000000000004E-3</v>
      </c>
      <c r="Q504" s="19">
        <v>-4.8500000000000001E-3</v>
      </c>
      <c r="R504" s="19"/>
      <c r="S504" s="19">
        <f t="shared" si="59"/>
        <v>0</v>
      </c>
      <c r="T504" s="19">
        <f t="shared" si="60"/>
        <v>0</v>
      </c>
      <c r="U504" s="19">
        <f t="shared" si="61"/>
        <v>0</v>
      </c>
      <c r="V504" s="19">
        <f t="shared" si="62"/>
        <v>0</v>
      </c>
      <c r="W504" s="19">
        <f t="shared" si="63"/>
        <v>0</v>
      </c>
      <c r="X504" s="21">
        <f t="shared" si="64"/>
        <v>0</v>
      </c>
    </row>
    <row r="505" spans="1:24" ht="13.5" x14ac:dyDescent="0.35">
      <c r="A505" s="18">
        <v>100427</v>
      </c>
      <c r="B505" s="19" t="s">
        <v>83</v>
      </c>
      <c r="C505" s="19">
        <v>2.2999999999999998</v>
      </c>
      <c r="D505" s="19">
        <v>101</v>
      </c>
      <c r="E505" s="19">
        <v>114</v>
      </c>
      <c r="F505" s="19">
        <v>0</v>
      </c>
      <c r="G505" s="19">
        <v>0</v>
      </c>
      <c r="H505" s="19">
        <v>0</v>
      </c>
      <c r="I505" s="20">
        <v>0</v>
      </c>
      <c r="J505" s="19">
        <f t="shared" si="57"/>
        <v>0</v>
      </c>
      <c r="K505" s="19">
        <f t="shared" si="58"/>
        <v>0</v>
      </c>
      <c r="L505" s="19">
        <v>-3.0300000000000001E-3</v>
      </c>
      <c r="M505" s="19">
        <v>-3.0400000000000002E-3</v>
      </c>
      <c r="N505" s="19">
        <v>-4.15E-3</v>
      </c>
      <c r="O505" s="19">
        <v>-4.8900000000000002E-3</v>
      </c>
      <c r="P505" s="19">
        <v>-5.1000000000000004E-3</v>
      </c>
      <c r="Q505" s="19">
        <v>-4.8500000000000001E-3</v>
      </c>
      <c r="R505" s="19"/>
      <c r="S505" s="19">
        <f t="shared" si="59"/>
        <v>0</v>
      </c>
      <c r="T505" s="19">
        <f t="shared" si="60"/>
        <v>0</v>
      </c>
      <c r="U505" s="19">
        <f t="shared" si="61"/>
        <v>0</v>
      </c>
      <c r="V505" s="19">
        <f t="shared" si="62"/>
        <v>0</v>
      </c>
      <c r="W505" s="19">
        <f t="shared" si="63"/>
        <v>0</v>
      </c>
      <c r="X505" s="21">
        <f t="shared" si="64"/>
        <v>0</v>
      </c>
    </row>
    <row r="506" spans="1:24" ht="13.5" x14ac:dyDescent="0.35">
      <c r="A506" s="18">
        <v>100428</v>
      </c>
      <c r="B506" s="19" t="s">
        <v>84</v>
      </c>
      <c r="C506" s="19">
        <v>4.16</v>
      </c>
      <c r="D506" s="19">
        <v>101</v>
      </c>
      <c r="E506" s="19">
        <v>114</v>
      </c>
      <c r="F506" s="19">
        <v>0</v>
      </c>
      <c r="G506" s="19">
        <v>0</v>
      </c>
      <c r="H506" s="19">
        <v>0</v>
      </c>
      <c r="I506" s="20">
        <v>0</v>
      </c>
      <c r="J506" s="19">
        <f t="shared" si="57"/>
        <v>0</v>
      </c>
      <c r="K506" s="19">
        <f t="shared" si="58"/>
        <v>0</v>
      </c>
      <c r="L506" s="19">
        <v>-3.0300000000000001E-3</v>
      </c>
      <c r="M506" s="19">
        <v>-3.0400000000000002E-3</v>
      </c>
      <c r="N506" s="19">
        <v>-4.15E-3</v>
      </c>
      <c r="O506" s="19">
        <v>-4.8900000000000002E-3</v>
      </c>
      <c r="P506" s="19">
        <v>-5.1000000000000004E-3</v>
      </c>
      <c r="Q506" s="19">
        <v>-4.8500000000000001E-3</v>
      </c>
      <c r="R506" s="19"/>
      <c r="S506" s="19">
        <f t="shared" si="59"/>
        <v>0</v>
      </c>
      <c r="T506" s="19">
        <f t="shared" si="60"/>
        <v>0</v>
      </c>
      <c r="U506" s="19">
        <f t="shared" si="61"/>
        <v>0</v>
      </c>
      <c r="V506" s="19">
        <f t="shared" si="62"/>
        <v>0</v>
      </c>
      <c r="W506" s="19">
        <f t="shared" si="63"/>
        <v>0</v>
      </c>
      <c r="X506" s="21">
        <f t="shared" si="64"/>
        <v>0</v>
      </c>
    </row>
    <row r="507" spans="1:24" ht="13.5" x14ac:dyDescent="0.35">
      <c r="A507" s="18">
        <v>100431</v>
      </c>
      <c r="B507" s="19" t="s">
        <v>85</v>
      </c>
      <c r="C507" s="19">
        <v>4.16</v>
      </c>
      <c r="D507" s="19">
        <v>101</v>
      </c>
      <c r="E507" s="19">
        <v>114</v>
      </c>
      <c r="F507" s="19">
        <v>0</v>
      </c>
      <c r="G507" s="19">
        <v>0</v>
      </c>
      <c r="H507" s="19">
        <v>0</v>
      </c>
      <c r="I507" s="20">
        <v>0</v>
      </c>
      <c r="J507" s="19">
        <f t="shared" si="57"/>
        <v>0</v>
      </c>
      <c r="K507" s="19">
        <f t="shared" si="58"/>
        <v>0</v>
      </c>
      <c r="L507" s="19">
        <v>-3.0300000000000001E-3</v>
      </c>
      <c r="M507" s="19">
        <v>-3.0400000000000002E-3</v>
      </c>
      <c r="N507" s="19">
        <v>-4.15E-3</v>
      </c>
      <c r="O507" s="19">
        <v>-4.8900000000000002E-3</v>
      </c>
      <c r="P507" s="19">
        <v>-5.1000000000000004E-3</v>
      </c>
      <c r="Q507" s="19">
        <v>-4.8500000000000001E-3</v>
      </c>
      <c r="R507" s="19"/>
      <c r="S507" s="19">
        <f t="shared" si="59"/>
        <v>0</v>
      </c>
      <c r="T507" s="19">
        <f t="shared" si="60"/>
        <v>0</v>
      </c>
      <c r="U507" s="19">
        <f t="shared" si="61"/>
        <v>0</v>
      </c>
      <c r="V507" s="19">
        <f t="shared" si="62"/>
        <v>0</v>
      </c>
      <c r="W507" s="19">
        <f t="shared" si="63"/>
        <v>0</v>
      </c>
      <c r="X507" s="21">
        <f t="shared" si="64"/>
        <v>0</v>
      </c>
    </row>
    <row r="508" spans="1:24" ht="13.5" x14ac:dyDescent="0.35">
      <c r="A508" s="18">
        <v>100432</v>
      </c>
      <c r="B508" s="19" t="s">
        <v>86</v>
      </c>
      <c r="C508" s="19">
        <v>13.8</v>
      </c>
      <c r="D508" s="19">
        <v>101</v>
      </c>
      <c r="E508" s="19">
        <v>112</v>
      </c>
      <c r="F508" s="19">
        <v>39.6</v>
      </c>
      <c r="G508" s="19">
        <v>0</v>
      </c>
      <c r="H508" s="19">
        <v>39.6</v>
      </c>
      <c r="I508" s="20">
        <v>39.6</v>
      </c>
      <c r="J508" s="19">
        <f t="shared" si="57"/>
        <v>0</v>
      </c>
      <c r="K508" s="19">
        <f t="shared" si="58"/>
        <v>0</v>
      </c>
      <c r="L508" s="19">
        <v>-3.0300000000000001E-3</v>
      </c>
      <c r="M508" s="19">
        <v>-3.0400000000000002E-3</v>
      </c>
      <c r="N508" s="19">
        <v>-4.15E-3</v>
      </c>
      <c r="O508" s="19">
        <v>-4.8900000000000002E-3</v>
      </c>
      <c r="P508" s="19">
        <v>-5.1000000000000004E-3</v>
      </c>
      <c r="Q508" s="19">
        <v>-4.8500000000000001E-3</v>
      </c>
      <c r="R508" s="19"/>
      <c r="S508" s="19">
        <f t="shared" si="59"/>
        <v>0</v>
      </c>
      <c r="T508" s="19">
        <f t="shared" si="60"/>
        <v>0</v>
      </c>
      <c r="U508" s="19">
        <f t="shared" si="61"/>
        <v>0</v>
      </c>
      <c r="V508" s="19">
        <f t="shared" si="62"/>
        <v>0</v>
      </c>
      <c r="W508" s="19">
        <f t="shared" si="63"/>
        <v>0</v>
      </c>
      <c r="X508" s="21">
        <f t="shared" si="64"/>
        <v>0</v>
      </c>
    </row>
    <row r="509" spans="1:24" ht="13.5" x14ac:dyDescent="0.35">
      <c r="A509" s="18">
        <v>100450</v>
      </c>
      <c r="B509" s="19" t="s">
        <v>89</v>
      </c>
      <c r="C509" s="19">
        <v>13.8</v>
      </c>
      <c r="D509" s="19">
        <v>101</v>
      </c>
      <c r="E509" s="19">
        <v>112</v>
      </c>
      <c r="F509" s="19">
        <v>0</v>
      </c>
      <c r="G509" s="19">
        <v>0</v>
      </c>
      <c r="H509" s="19">
        <v>0</v>
      </c>
      <c r="I509" s="20">
        <v>0</v>
      </c>
      <c r="J509" s="19">
        <f t="shared" si="57"/>
        <v>0</v>
      </c>
      <c r="K509" s="19">
        <f t="shared" si="58"/>
        <v>0</v>
      </c>
      <c r="L509" s="19">
        <v>-3.0300000000000001E-3</v>
      </c>
      <c r="M509" s="19">
        <v>-3.0400000000000002E-3</v>
      </c>
      <c r="N509" s="19">
        <v>-4.15E-3</v>
      </c>
      <c r="O509" s="19">
        <v>-4.8900000000000002E-3</v>
      </c>
      <c r="P509" s="19">
        <v>-5.1000000000000004E-3</v>
      </c>
      <c r="Q509" s="19">
        <v>-4.8500000000000001E-3</v>
      </c>
      <c r="R509" s="19"/>
      <c r="S509" s="19">
        <f t="shared" si="59"/>
        <v>0</v>
      </c>
      <c r="T509" s="19">
        <f t="shared" si="60"/>
        <v>0</v>
      </c>
      <c r="U509" s="19">
        <f t="shared" si="61"/>
        <v>0</v>
      </c>
      <c r="V509" s="19">
        <f t="shared" si="62"/>
        <v>0</v>
      </c>
      <c r="W509" s="19">
        <f t="shared" si="63"/>
        <v>0</v>
      </c>
      <c r="X509" s="21">
        <f t="shared" si="64"/>
        <v>0</v>
      </c>
    </row>
    <row r="510" spans="1:24" ht="13.5" x14ac:dyDescent="0.35">
      <c r="A510" s="18">
        <v>100460</v>
      </c>
      <c r="B510" s="19" t="s">
        <v>90</v>
      </c>
      <c r="C510" s="19">
        <v>12</v>
      </c>
      <c r="D510" s="19">
        <v>101</v>
      </c>
      <c r="E510" s="19">
        <v>114</v>
      </c>
      <c r="F510" s="19">
        <v>28</v>
      </c>
      <c r="G510" s="19">
        <v>0</v>
      </c>
      <c r="H510" s="19">
        <v>28</v>
      </c>
      <c r="I510" s="20">
        <v>28</v>
      </c>
      <c r="J510" s="19">
        <f t="shared" si="57"/>
        <v>0</v>
      </c>
      <c r="K510" s="19">
        <f t="shared" si="58"/>
        <v>0</v>
      </c>
      <c r="L510" s="19">
        <v>-3.0300000000000001E-3</v>
      </c>
      <c r="M510" s="19">
        <v>-3.0400000000000002E-3</v>
      </c>
      <c r="N510" s="19">
        <v>-4.15E-3</v>
      </c>
      <c r="O510" s="19">
        <v>-4.8900000000000002E-3</v>
      </c>
      <c r="P510" s="19">
        <v>-5.1000000000000004E-3</v>
      </c>
      <c r="Q510" s="19">
        <v>-4.8500000000000001E-3</v>
      </c>
      <c r="R510" s="19"/>
      <c r="S510" s="19">
        <f t="shared" si="59"/>
        <v>0</v>
      </c>
      <c r="T510" s="19">
        <f t="shared" si="60"/>
        <v>0</v>
      </c>
      <c r="U510" s="19">
        <f t="shared" si="61"/>
        <v>0</v>
      </c>
      <c r="V510" s="19">
        <f t="shared" si="62"/>
        <v>0</v>
      </c>
      <c r="W510" s="19">
        <f t="shared" si="63"/>
        <v>0</v>
      </c>
      <c r="X510" s="21">
        <f t="shared" si="64"/>
        <v>0</v>
      </c>
    </row>
    <row r="511" spans="1:24" ht="13.5" x14ac:dyDescent="0.35">
      <c r="A511" s="18">
        <v>100461</v>
      </c>
      <c r="B511" s="19" t="s">
        <v>91</v>
      </c>
      <c r="C511" s="19">
        <v>2.4</v>
      </c>
      <c r="D511" s="19">
        <v>101</v>
      </c>
      <c r="E511" s="19">
        <v>114</v>
      </c>
      <c r="F511" s="19">
        <v>0</v>
      </c>
      <c r="G511" s="19">
        <v>0</v>
      </c>
      <c r="H511" s="19">
        <v>0</v>
      </c>
      <c r="I511" s="20">
        <v>0</v>
      </c>
      <c r="J511" s="19">
        <f t="shared" si="57"/>
        <v>0</v>
      </c>
      <c r="K511" s="19">
        <f t="shared" si="58"/>
        <v>0</v>
      </c>
      <c r="L511" s="19">
        <v>-3.0300000000000001E-3</v>
      </c>
      <c r="M511" s="19">
        <v>-3.0400000000000002E-3</v>
      </c>
      <c r="N511" s="19">
        <v>-4.15E-3</v>
      </c>
      <c r="O511" s="19">
        <v>-4.8900000000000002E-3</v>
      </c>
      <c r="P511" s="19">
        <v>-5.1000000000000004E-3</v>
      </c>
      <c r="Q511" s="19">
        <v>-4.8500000000000001E-3</v>
      </c>
      <c r="R511" s="19"/>
      <c r="S511" s="19">
        <f t="shared" si="59"/>
        <v>0</v>
      </c>
      <c r="T511" s="19">
        <f t="shared" si="60"/>
        <v>0</v>
      </c>
      <c r="U511" s="19">
        <f t="shared" si="61"/>
        <v>0</v>
      </c>
      <c r="V511" s="19">
        <f t="shared" si="62"/>
        <v>0</v>
      </c>
      <c r="W511" s="19">
        <f t="shared" si="63"/>
        <v>0</v>
      </c>
      <c r="X511" s="21">
        <f t="shared" si="64"/>
        <v>0</v>
      </c>
    </row>
    <row r="512" spans="1:24" ht="13.5" x14ac:dyDescent="0.35">
      <c r="A512" s="18">
        <v>100462</v>
      </c>
      <c r="B512" s="19" t="s">
        <v>92</v>
      </c>
      <c r="C512" s="19">
        <v>13.2</v>
      </c>
      <c r="D512" s="19">
        <v>101</v>
      </c>
      <c r="E512" s="19">
        <v>114</v>
      </c>
      <c r="F512" s="19">
        <v>9.1999999999999993</v>
      </c>
      <c r="G512" s="19">
        <v>0</v>
      </c>
      <c r="H512" s="19">
        <v>9.1999999999999993</v>
      </c>
      <c r="I512" s="20">
        <v>9.1999999999999993</v>
      </c>
      <c r="J512" s="19">
        <f t="shared" si="57"/>
        <v>0</v>
      </c>
      <c r="K512" s="19">
        <f t="shared" si="58"/>
        <v>0</v>
      </c>
      <c r="L512" s="19">
        <v>-3.0300000000000001E-3</v>
      </c>
      <c r="M512" s="19">
        <v>-3.0400000000000002E-3</v>
      </c>
      <c r="N512" s="19">
        <v>-4.15E-3</v>
      </c>
      <c r="O512" s="19">
        <v>-4.8900000000000002E-3</v>
      </c>
      <c r="P512" s="19">
        <v>-5.1000000000000004E-3</v>
      </c>
      <c r="Q512" s="19">
        <v>-4.8500000000000001E-3</v>
      </c>
      <c r="R512" s="19"/>
      <c r="S512" s="19">
        <f t="shared" si="59"/>
        <v>0</v>
      </c>
      <c r="T512" s="19">
        <f t="shared" si="60"/>
        <v>0</v>
      </c>
      <c r="U512" s="19">
        <f t="shared" si="61"/>
        <v>0</v>
      </c>
      <c r="V512" s="19">
        <f t="shared" si="62"/>
        <v>0</v>
      </c>
      <c r="W512" s="19">
        <f t="shared" si="63"/>
        <v>0</v>
      </c>
      <c r="X512" s="21">
        <f t="shared" si="64"/>
        <v>0</v>
      </c>
    </row>
    <row r="513" spans="1:24" ht="13.5" x14ac:dyDescent="0.35">
      <c r="A513" s="18">
        <v>100468</v>
      </c>
      <c r="B513" s="19" t="s">
        <v>97</v>
      </c>
      <c r="C513" s="19">
        <v>7.2</v>
      </c>
      <c r="D513" s="19">
        <v>101</v>
      </c>
      <c r="E513" s="19">
        <v>114</v>
      </c>
      <c r="F513" s="19">
        <v>0</v>
      </c>
      <c r="G513" s="19">
        <v>0</v>
      </c>
      <c r="H513" s="19">
        <v>0</v>
      </c>
      <c r="I513" s="20">
        <v>0</v>
      </c>
      <c r="J513" s="19">
        <f t="shared" si="57"/>
        <v>0</v>
      </c>
      <c r="K513" s="19">
        <f t="shared" si="58"/>
        <v>0</v>
      </c>
      <c r="L513" s="19">
        <v>-3.0300000000000001E-3</v>
      </c>
      <c r="M513" s="19">
        <v>-3.0400000000000002E-3</v>
      </c>
      <c r="N513" s="19">
        <v>-4.15E-3</v>
      </c>
      <c r="O513" s="19">
        <v>-4.8900000000000002E-3</v>
      </c>
      <c r="P513" s="19">
        <v>-5.1000000000000004E-3</v>
      </c>
      <c r="Q513" s="19">
        <v>-4.8500000000000001E-3</v>
      </c>
      <c r="R513" s="19"/>
      <c r="S513" s="19">
        <f t="shared" si="59"/>
        <v>0</v>
      </c>
      <c r="T513" s="19">
        <f t="shared" si="60"/>
        <v>0</v>
      </c>
      <c r="U513" s="19">
        <f t="shared" si="61"/>
        <v>0</v>
      </c>
      <c r="V513" s="19">
        <f t="shared" si="62"/>
        <v>0</v>
      </c>
      <c r="W513" s="19">
        <f t="shared" si="63"/>
        <v>0</v>
      </c>
      <c r="X513" s="21">
        <f t="shared" si="64"/>
        <v>0</v>
      </c>
    </row>
    <row r="514" spans="1:24" ht="13.5" x14ac:dyDescent="0.35">
      <c r="A514" s="18">
        <v>100469</v>
      </c>
      <c r="B514" s="19" t="s">
        <v>98</v>
      </c>
      <c r="C514" s="19">
        <v>4.16</v>
      </c>
      <c r="D514" s="19">
        <v>101</v>
      </c>
      <c r="E514" s="19">
        <v>114</v>
      </c>
      <c r="F514" s="19">
        <v>19.399999999999999</v>
      </c>
      <c r="G514" s="19">
        <v>0</v>
      </c>
      <c r="H514" s="19">
        <v>19.399999999999999</v>
      </c>
      <c r="I514" s="20">
        <v>19.399999999999999</v>
      </c>
      <c r="J514" s="19">
        <f t="shared" si="57"/>
        <v>0</v>
      </c>
      <c r="K514" s="19">
        <f t="shared" si="58"/>
        <v>0</v>
      </c>
      <c r="L514" s="19">
        <v>-3.0300000000000001E-3</v>
      </c>
      <c r="M514" s="19">
        <v>-3.0400000000000002E-3</v>
      </c>
      <c r="N514" s="19">
        <v>-4.15E-3</v>
      </c>
      <c r="O514" s="19">
        <v>-4.8900000000000002E-3</v>
      </c>
      <c r="P514" s="19">
        <v>-5.1000000000000004E-3</v>
      </c>
      <c r="Q514" s="19">
        <v>-4.8500000000000001E-3</v>
      </c>
      <c r="R514" s="19"/>
      <c r="S514" s="19">
        <f t="shared" si="59"/>
        <v>0</v>
      </c>
      <c r="T514" s="19">
        <f t="shared" si="60"/>
        <v>0</v>
      </c>
      <c r="U514" s="19">
        <f t="shared" si="61"/>
        <v>0</v>
      </c>
      <c r="V514" s="19">
        <f t="shared" si="62"/>
        <v>0</v>
      </c>
      <c r="W514" s="19">
        <f t="shared" si="63"/>
        <v>0</v>
      </c>
      <c r="X514" s="21">
        <f t="shared" si="64"/>
        <v>0</v>
      </c>
    </row>
    <row r="515" spans="1:24" ht="13.5" x14ac:dyDescent="0.35">
      <c r="A515" s="18">
        <v>100470</v>
      </c>
      <c r="B515" s="19" t="s">
        <v>99</v>
      </c>
      <c r="C515" s="19">
        <v>4.16</v>
      </c>
      <c r="D515" s="19">
        <v>101</v>
      </c>
      <c r="E515" s="19">
        <v>114</v>
      </c>
      <c r="F515" s="19">
        <v>10.210000000000001</v>
      </c>
      <c r="G515" s="19">
        <v>0</v>
      </c>
      <c r="H515" s="19">
        <v>10.210000000000001</v>
      </c>
      <c r="I515" s="20">
        <v>10.210000000000001</v>
      </c>
      <c r="J515" s="19">
        <f t="shared" si="57"/>
        <v>0</v>
      </c>
      <c r="K515" s="19">
        <f t="shared" si="58"/>
        <v>0</v>
      </c>
      <c r="L515" s="19">
        <v>-3.0300000000000001E-3</v>
      </c>
      <c r="M515" s="19">
        <v>-3.0400000000000002E-3</v>
      </c>
      <c r="N515" s="19">
        <v>-4.15E-3</v>
      </c>
      <c r="O515" s="19">
        <v>-4.8900000000000002E-3</v>
      </c>
      <c r="P515" s="19">
        <v>-5.1000000000000004E-3</v>
      </c>
      <c r="Q515" s="19">
        <v>-4.8500000000000001E-3</v>
      </c>
      <c r="R515" s="19"/>
      <c r="S515" s="19">
        <f t="shared" si="59"/>
        <v>0</v>
      </c>
      <c r="T515" s="19">
        <f t="shared" si="60"/>
        <v>0</v>
      </c>
      <c r="U515" s="19">
        <f t="shared" si="61"/>
        <v>0</v>
      </c>
      <c r="V515" s="19">
        <f t="shared" si="62"/>
        <v>0</v>
      </c>
      <c r="W515" s="19">
        <f t="shared" si="63"/>
        <v>0</v>
      </c>
      <c r="X515" s="21">
        <f t="shared" si="64"/>
        <v>0</v>
      </c>
    </row>
    <row r="516" spans="1:24" ht="13.5" x14ac:dyDescent="0.35">
      <c r="A516" s="18">
        <v>100471</v>
      </c>
      <c r="B516" s="19" t="s">
        <v>100</v>
      </c>
      <c r="C516" s="19">
        <v>13.2</v>
      </c>
      <c r="D516" s="19">
        <v>101</v>
      </c>
      <c r="E516" s="19">
        <v>114</v>
      </c>
      <c r="F516" s="19">
        <v>20.2</v>
      </c>
      <c r="G516" s="19">
        <v>0</v>
      </c>
      <c r="H516" s="19">
        <v>20.2</v>
      </c>
      <c r="I516" s="20">
        <v>20.2</v>
      </c>
      <c r="J516" s="19">
        <f t="shared" si="57"/>
        <v>0</v>
      </c>
      <c r="K516" s="19">
        <f t="shared" si="58"/>
        <v>0</v>
      </c>
      <c r="L516" s="19">
        <v>-3.0300000000000001E-3</v>
      </c>
      <c r="M516" s="19">
        <v>-3.0400000000000002E-3</v>
      </c>
      <c r="N516" s="19">
        <v>-4.15E-3</v>
      </c>
      <c r="O516" s="19">
        <v>-4.8900000000000002E-3</v>
      </c>
      <c r="P516" s="19">
        <v>-5.1000000000000004E-3</v>
      </c>
      <c r="Q516" s="19">
        <v>-4.8500000000000001E-3</v>
      </c>
      <c r="R516" s="19"/>
      <c r="S516" s="19">
        <f t="shared" si="59"/>
        <v>0</v>
      </c>
      <c r="T516" s="19">
        <f t="shared" si="60"/>
        <v>0</v>
      </c>
      <c r="U516" s="19">
        <f t="shared" si="61"/>
        <v>0</v>
      </c>
      <c r="V516" s="19">
        <f t="shared" si="62"/>
        <v>0</v>
      </c>
      <c r="W516" s="19">
        <f t="shared" si="63"/>
        <v>0</v>
      </c>
      <c r="X516" s="21">
        <f t="shared" si="64"/>
        <v>0</v>
      </c>
    </row>
    <row r="517" spans="1:24" ht="13.5" x14ac:dyDescent="0.35">
      <c r="A517" s="18">
        <v>100477</v>
      </c>
      <c r="B517" s="19" t="s">
        <v>105</v>
      </c>
      <c r="C517" s="19">
        <v>2.4</v>
      </c>
      <c r="D517" s="19">
        <v>101</v>
      </c>
      <c r="E517" s="19">
        <v>114</v>
      </c>
      <c r="F517" s="19">
        <v>0</v>
      </c>
      <c r="G517" s="19">
        <v>0</v>
      </c>
      <c r="H517" s="19">
        <v>0</v>
      </c>
      <c r="I517" s="20">
        <v>0</v>
      </c>
      <c r="J517" s="19">
        <f t="shared" si="57"/>
        <v>0</v>
      </c>
      <c r="K517" s="19">
        <f t="shared" si="58"/>
        <v>0</v>
      </c>
      <c r="L517" s="19">
        <v>-3.0300000000000001E-3</v>
      </c>
      <c r="M517" s="19">
        <v>-3.0400000000000002E-3</v>
      </c>
      <c r="N517" s="19">
        <v>-4.15E-3</v>
      </c>
      <c r="O517" s="19">
        <v>-4.8900000000000002E-3</v>
      </c>
      <c r="P517" s="19">
        <v>-5.1000000000000004E-3</v>
      </c>
      <c r="Q517" s="19">
        <v>-4.8500000000000001E-3</v>
      </c>
      <c r="R517" s="19"/>
      <c r="S517" s="19">
        <f t="shared" si="59"/>
        <v>0</v>
      </c>
      <c r="T517" s="19">
        <f t="shared" si="60"/>
        <v>0</v>
      </c>
      <c r="U517" s="19">
        <f t="shared" si="61"/>
        <v>0</v>
      </c>
      <c r="V517" s="19">
        <f t="shared" si="62"/>
        <v>0</v>
      </c>
      <c r="W517" s="19">
        <f t="shared" si="63"/>
        <v>0</v>
      </c>
      <c r="X517" s="21">
        <f t="shared" si="64"/>
        <v>0</v>
      </c>
    </row>
    <row r="518" spans="1:24" ht="13.5" x14ac:dyDescent="0.35">
      <c r="A518" s="18">
        <v>100478</v>
      </c>
      <c r="B518" s="19" t="s">
        <v>106</v>
      </c>
      <c r="C518" s="19">
        <v>2.4</v>
      </c>
      <c r="D518" s="19">
        <v>101</v>
      </c>
      <c r="E518" s="19">
        <v>114</v>
      </c>
      <c r="F518" s="19">
        <v>0</v>
      </c>
      <c r="G518" s="19">
        <v>0</v>
      </c>
      <c r="H518" s="19">
        <v>0</v>
      </c>
      <c r="I518" s="20">
        <v>0</v>
      </c>
      <c r="J518" s="19">
        <f t="shared" si="57"/>
        <v>0</v>
      </c>
      <c r="K518" s="19">
        <f t="shared" si="58"/>
        <v>0</v>
      </c>
      <c r="L518" s="19">
        <v>-3.0300000000000001E-3</v>
      </c>
      <c r="M518" s="19">
        <v>-3.0400000000000002E-3</v>
      </c>
      <c r="N518" s="19">
        <v>-4.15E-3</v>
      </c>
      <c r="O518" s="19">
        <v>-4.8900000000000002E-3</v>
      </c>
      <c r="P518" s="19">
        <v>-5.1000000000000004E-3</v>
      </c>
      <c r="Q518" s="19">
        <v>-4.8500000000000001E-3</v>
      </c>
      <c r="R518" s="19"/>
      <c r="S518" s="19">
        <f t="shared" si="59"/>
        <v>0</v>
      </c>
      <c r="T518" s="19">
        <f t="shared" si="60"/>
        <v>0</v>
      </c>
      <c r="U518" s="19">
        <f t="shared" si="61"/>
        <v>0</v>
      </c>
      <c r="V518" s="19">
        <f t="shared" si="62"/>
        <v>0</v>
      </c>
      <c r="W518" s="19">
        <f t="shared" si="63"/>
        <v>0</v>
      </c>
      <c r="X518" s="21">
        <f t="shared" si="64"/>
        <v>0</v>
      </c>
    </row>
    <row r="519" spans="1:24" ht="13.5" x14ac:dyDescent="0.35">
      <c r="A519" s="18">
        <v>100479</v>
      </c>
      <c r="B519" s="19" t="s">
        <v>107</v>
      </c>
      <c r="C519" s="19">
        <v>4</v>
      </c>
      <c r="D519" s="19">
        <v>101</v>
      </c>
      <c r="E519" s="19">
        <v>114</v>
      </c>
      <c r="F519" s="19">
        <v>0</v>
      </c>
      <c r="G519" s="19">
        <v>0</v>
      </c>
      <c r="H519" s="19">
        <v>0</v>
      </c>
      <c r="I519" s="20">
        <v>0</v>
      </c>
      <c r="J519" s="19">
        <f t="shared" si="57"/>
        <v>0</v>
      </c>
      <c r="K519" s="19">
        <f t="shared" si="58"/>
        <v>0</v>
      </c>
      <c r="L519" s="19">
        <v>-3.0300000000000001E-3</v>
      </c>
      <c r="M519" s="19">
        <v>-3.0400000000000002E-3</v>
      </c>
      <c r="N519" s="19">
        <v>-4.15E-3</v>
      </c>
      <c r="O519" s="19">
        <v>-4.8900000000000002E-3</v>
      </c>
      <c r="P519" s="19">
        <v>-5.1000000000000004E-3</v>
      </c>
      <c r="Q519" s="19">
        <v>-4.8500000000000001E-3</v>
      </c>
      <c r="R519" s="19"/>
      <c r="S519" s="19">
        <f t="shared" si="59"/>
        <v>0</v>
      </c>
      <c r="T519" s="19">
        <f t="shared" si="60"/>
        <v>0</v>
      </c>
      <c r="U519" s="19">
        <f t="shared" si="61"/>
        <v>0</v>
      </c>
      <c r="V519" s="19">
        <f t="shared" si="62"/>
        <v>0</v>
      </c>
      <c r="W519" s="19">
        <f t="shared" si="63"/>
        <v>0</v>
      </c>
      <c r="X519" s="21">
        <f t="shared" si="64"/>
        <v>0</v>
      </c>
    </row>
    <row r="520" spans="1:24" ht="13.5" x14ac:dyDescent="0.35">
      <c r="A520" s="18">
        <v>100480</v>
      </c>
      <c r="B520" s="19" t="s">
        <v>108</v>
      </c>
      <c r="C520" s="19">
        <v>4</v>
      </c>
      <c r="D520" s="19">
        <v>101</v>
      </c>
      <c r="E520" s="19">
        <v>114</v>
      </c>
      <c r="F520" s="19">
        <v>0</v>
      </c>
      <c r="G520" s="19">
        <v>0</v>
      </c>
      <c r="H520" s="19">
        <v>0</v>
      </c>
      <c r="I520" s="20">
        <v>0</v>
      </c>
      <c r="J520" s="19">
        <f t="shared" si="57"/>
        <v>0</v>
      </c>
      <c r="K520" s="19">
        <f t="shared" si="58"/>
        <v>0</v>
      </c>
      <c r="L520" s="19">
        <v>-3.0300000000000001E-3</v>
      </c>
      <c r="M520" s="19">
        <v>-3.0400000000000002E-3</v>
      </c>
      <c r="N520" s="19">
        <v>-4.15E-3</v>
      </c>
      <c r="O520" s="19">
        <v>-4.8900000000000002E-3</v>
      </c>
      <c r="P520" s="19">
        <v>-5.1000000000000004E-3</v>
      </c>
      <c r="Q520" s="19">
        <v>-4.8500000000000001E-3</v>
      </c>
      <c r="R520" s="19"/>
      <c r="S520" s="19">
        <f t="shared" si="59"/>
        <v>0</v>
      </c>
      <c r="T520" s="19">
        <f t="shared" si="60"/>
        <v>0</v>
      </c>
      <c r="U520" s="19">
        <f t="shared" si="61"/>
        <v>0</v>
      </c>
      <c r="V520" s="19">
        <f t="shared" si="62"/>
        <v>0</v>
      </c>
      <c r="W520" s="19">
        <f t="shared" si="63"/>
        <v>0</v>
      </c>
      <c r="X520" s="21">
        <f t="shared" si="64"/>
        <v>0</v>
      </c>
    </row>
    <row r="521" spans="1:24" ht="13.5" x14ac:dyDescent="0.35">
      <c r="A521" s="18">
        <v>100483</v>
      </c>
      <c r="B521" s="19" t="s">
        <v>110</v>
      </c>
      <c r="C521" s="19">
        <v>4.16</v>
      </c>
      <c r="D521" s="19">
        <v>101</v>
      </c>
      <c r="E521" s="19">
        <v>114</v>
      </c>
      <c r="F521" s="19">
        <v>6.8</v>
      </c>
      <c r="G521" s="19">
        <v>0</v>
      </c>
      <c r="H521" s="19">
        <v>6.8</v>
      </c>
      <c r="I521" s="20">
        <v>6.8</v>
      </c>
      <c r="J521" s="19">
        <f t="shared" si="57"/>
        <v>0</v>
      </c>
      <c r="K521" s="19">
        <f t="shared" si="58"/>
        <v>0</v>
      </c>
      <c r="L521" s="19">
        <v>-3.0300000000000001E-3</v>
      </c>
      <c r="M521" s="19">
        <v>-3.0400000000000002E-3</v>
      </c>
      <c r="N521" s="19">
        <v>-4.15E-3</v>
      </c>
      <c r="O521" s="19">
        <v>-4.8900000000000002E-3</v>
      </c>
      <c r="P521" s="19">
        <v>-5.1000000000000004E-3</v>
      </c>
      <c r="Q521" s="19">
        <v>-4.8500000000000001E-3</v>
      </c>
      <c r="R521" s="19"/>
      <c r="S521" s="19">
        <f t="shared" si="59"/>
        <v>0</v>
      </c>
      <c r="T521" s="19">
        <f t="shared" si="60"/>
        <v>0</v>
      </c>
      <c r="U521" s="19">
        <f t="shared" si="61"/>
        <v>0</v>
      </c>
      <c r="V521" s="19">
        <f t="shared" si="62"/>
        <v>0</v>
      </c>
      <c r="W521" s="19">
        <f t="shared" si="63"/>
        <v>0</v>
      </c>
      <c r="X521" s="21">
        <f t="shared" si="64"/>
        <v>0</v>
      </c>
    </row>
    <row r="522" spans="1:24" ht="13.5" x14ac:dyDescent="0.35">
      <c r="A522" s="18">
        <v>100485</v>
      </c>
      <c r="B522" s="19" t="s">
        <v>112</v>
      </c>
      <c r="C522" s="19">
        <v>13.2</v>
      </c>
      <c r="D522" s="19">
        <v>101</v>
      </c>
      <c r="E522" s="19">
        <v>114</v>
      </c>
      <c r="F522" s="19">
        <v>6.14</v>
      </c>
      <c r="G522" s="19">
        <v>0</v>
      </c>
      <c r="H522" s="19">
        <v>6.14</v>
      </c>
      <c r="I522" s="20">
        <v>6.14</v>
      </c>
      <c r="J522" s="19">
        <f t="shared" si="57"/>
        <v>0</v>
      </c>
      <c r="K522" s="19">
        <f t="shared" si="58"/>
        <v>0</v>
      </c>
      <c r="L522" s="19">
        <v>-3.0300000000000001E-3</v>
      </c>
      <c r="M522" s="19">
        <v>-3.0400000000000002E-3</v>
      </c>
      <c r="N522" s="19">
        <v>-4.15E-3</v>
      </c>
      <c r="O522" s="19">
        <v>-4.8900000000000002E-3</v>
      </c>
      <c r="P522" s="19">
        <v>-5.1000000000000004E-3</v>
      </c>
      <c r="Q522" s="19">
        <v>-4.8500000000000001E-3</v>
      </c>
      <c r="R522" s="19"/>
      <c r="S522" s="19">
        <f t="shared" si="59"/>
        <v>0</v>
      </c>
      <c r="T522" s="19">
        <f t="shared" si="60"/>
        <v>0</v>
      </c>
      <c r="U522" s="19">
        <f t="shared" si="61"/>
        <v>0</v>
      </c>
      <c r="V522" s="19">
        <f t="shared" si="62"/>
        <v>0</v>
      </c>
      <c r="W522" s="19">
        <f t="shared" si="63"/>
        <v>0</v>
      </c>
      <c r="X522" s="21">
        <f t="shared" si="64"/>
        <v>0</v>
      </c>
    </row>
    <row r="523" spans="1:24" ht="13.5" x14ac:dyDescent="0.35">
      <c r="A523" s="18">
        <v>100486</v>
      </c>
      <c r="B523" s="19" t="s">
        <v>113</v>
      </c>
      <c r="C523" s="19">
        <v>13.2</v>
      </c>
      <c r="D523" s="19">
        <v>101</v>
      </c>
      <c r="E523" s="19">
        <v>114</v>
      </c>
      <c r="F523" s="19">
        <v>0</v>
      </c>
      <c r="G523" s="19">
        <v>0</v>
      </c>
      <c r="H523" s="19">
        <v>0</v>
      </c>
      <c r="I523" s="20">
        <v>0</v>
      </c>
      <c r="J523" s="19">
        <f t="shared" si="57"/>
        <v>0</v>
      </c>
      <c r="K523" s="19">
        <f t="shared" si="58"/>
        <v>0</v>
      </c>
      <c r="L523" s="19">
        <v>-3.0300000000000001E-3</v>
      </c>
      <c r="M523" s="19">
        <v>-3.0400000000000002E-3</v>
      </c>
      <c r="N523" s="19">
        <v>-4.15E-3</v>
      </c>
      <c r="O523" s="19">
        <v>-4.8900000000000002E-3</v>
      </c>
      <c r="P523" s="19">
        <v>-5.1000000000000004E-3</v>
      </c>
      <c r="Q523" s="19">
        <v>-4.8500000000000001E-3</v>
      </c>
      <c r="R523" s="19"/>
      <c r="S523" s="19">
        <f t="shared" si="59"/>
        <v>0</v>
      </c>
      <c r="T523" s="19">
        <f t="shared" si="60"/>
        <v>0</v>
      </c>
      <c r="U523" s="19">
        <f t="shared" si="61"/>
        <v>0</v>
      </c>
      <c r="V523" s="19">
        <f t="shared" si="62"/>
        <v>0</v>
      </c>
      <c r="W523" s="19">
        <f t="shared" si="63"/>
        <v>0</v>
      </c>
      <c r="X523" s="21">
        <f t="shared" si="64"/>
        <v>0</v>
      </c>
    </row>
    <row r="524" spans="1:24" ht="13.5" x14ac:dyDescent="0.35">
      <c r="A524" s="18">
        <v>100487</v>
      </c>
      <c r="B524" s="19" t="s">
        <v>114</v>
      </c>
      <c r="C524" s="19">
        <v>13.2</v>
      </c>
      <c r="D524" s="19">
        <v>101</v>
      </c>
      <c r="E524" s="19">
        <v>114</v>
      </c>
      <c r="F524" s="19">
        <v>0</v>
      </c>
      <c r="G524" s="19">
        <v>0</v>
      </c>
      <c r="H524" s="19">
        <v>0</v>
      </c>
      <c r="I524" s="20">
        <v>0</v>
      </c>
      <c r="J524" s="19">
        <f t="shared" si="57"/>
        <v>0</v>
      </c>
      <c r="K524" s="19">
        <f t="shared" si="58"/>
        <v>0</v>
      </c>
      <c r="L524" s="19">
        <v>-3.0300000000000001E-3</v>
      </c>
      <c r="M524" s="19">
        <v>-3.0400000000000002E-3</v>
      </c>
      <c r="N524" s="19">
        <v>-4.15E-3</v>
      </c>
      <c r="O524" s="19">
        <v>-4.8900000000000002E-3</v>
      </c>
      <c r="P524" s="19">
        <v>-5.1000000000000004E-3</v>
      </c>
      <c r="Q524" s="19">
        <v>-4.8500000000000001E-3</v>
      </c>
      <c r="R524" s="19"/>
      <c r="S524" s="19">
        <f t="shared" si="59"/>
        <v>0</v>
      </c>
      <c r="T524" s="19">
        <f t="shared" si="60"/>
        <v>0</v>
      </c>
      <c r="U524" s="19">
        <f t="shared" si="61"/>
        <v>0</v>
      </c>
      <c r="V524" s="19">
        <f t="shared" si="62"/>
        <v>0</v>
      </c>
      <c r="W524" s="19">
        <f t="shared" si="63"/>
        <v>0</v>
      </c>
      <c r="X524" s="21">
        <f t="shared" si="64"/>
        <v>0</v>
      </c>
    </row>
    <row r="525" spans="1:24" ht="13.5" x14ac:dyDescent="0.35">
      <c r="A525" s="18">
        <v>100562</v>
      </c>
      <c r="B525" s="19" t="s">
        <v>116</v>
      </c>
      <c r="C525" s="19">
        <v>0.69</v>
      </c>
      <c r="D525" s="19">
        <v>101</v>
      </c>
      <c r="E525" s="19">
        <v>114</v>
      </c>
      <c r="F525" s="19">
        <v>0</v>
      </c>
      <c r="G525" s="19">
        <v>0</v>
      </c>
      <c r="H525" s="19">
        <v>0</v>
      </c>
      <c r="I525" s="20">
        <v>0</v>
      </c>
      <c r="J525" s="19">
        <f t="shared" si="57"/>
        <v>0</v>
      </c>
      <c r="K525" s="19">
        <f t="shared" si="58"/>
        <v>0</v>
      </c>
      <c r="L525" s="19">
        <v>-3.0300000000000001E-3</v>
      </c>
      <c r="M525" s="19">
        <v>-3.0400000000000002E-3</v>
      </c>
      <c r="N525" s="19">
        <v>-4.15E-3</v>
      </c>
      <c r="O525" s="19">
        <v>-4.8900000000000002E-3</v>
      </c>
      <c r="P525" s="19">
        <v>-5.1000000000000004E-3</v>
      </c>
      <c r="Q525" s="19">
        <v>-4.8500000000000001E-3</v>
      </c>
      <c r="R525" s="19"/>
      <c r="S525" s="19">
        <f t="shared" si="59"/>
        <v>0</v>
      </c>
      <c r="T525" s="19">
        <f t="shared" si="60"/>
        <v>0</v>
      </c>
      <c r="U525" s="19">
        <f t="shared" si="61"/>
        <v>0</v>
      </c>
      <c r="V525" s="19">
        <f t="shared" si="62"/>
        <v>0</v>
      </c>
      <c r="W525" s="19">
        <f t="shared" si="63"/>
        <v>0</v>
      </c>
      <c r="X525" s="21">
        <f t="shared" si="64"/>
        <v>0</v>
      </c>
    </row>
    <row r="526" spans="1:24" ht="13.5" x14ac:dyDescent="0.35">
      <c r="A526" s="18">
        <v>100688</v>
      </c>
      <c r="B526" s="19" t="s">
        <v>117</v>
      </c>
      <c r="C526" s="19">
        <v>4.16</v>
      </c>
      <c r="D526" s="19">
        <v>101</v>
      </c>
      <c r="E526" s="19">
        <v>134</v>
      </c>
      <c r="F526" s="19">
        <v>7.01</v>
      </c>
      <c r="G526" s="19">
        <v>0</v>
      </c>
      <c r="H526" s="19">
        <v>7.01</v>
      </c>
      <c r="I526" s="20">
        <v>7.01</v>
      </c>
      <c r="J526" s="19">
        <f t="shared" si="57"/>
        <v>0</v>
      </c>
      <c r="K526" s="19">
        <f t="shared" si="58"/>
        <v>0</v>
      </c>
      <c r="L526" s="19">
        <v>-3.0300000000000001E-3</v>
      </c>
      <c r="M526" s="19">
        <v>-3.0400000000000002E-3</v>
      </c>
      <c r="N526" s="19">
        <v>-4.15E-3</v>
      </c>
      <c r="O526" s="19">
        <v>-4.8900000000000002E-3</v>
      </c>
      <c r="P526" s="19">
        <v>-5.1000000000000004E-3</v>
      </c>
      <c r="Q526" s="19">
        <v>-4.8500000000000001E-3</v>
      </c>
      <c r="R526" s="19"/>
      <c r="S526" s="19">
        <f t="shared" si="59"/>
        <v>0</v>
      </c>
      <c r="T526" s="19">
        <f t="shared" si="60"/>
        <v>0</v>
      </c>
      <c r="U526" s="19">
        <f t="shared" si="61"/>
        <v>0</v>
      </c>
      <c r="V526" s="19">
        <f t="shared" si="62"/>
        <v>0</v>
      </c>
      <c r="W526" s="19">
        <f t="shared" si="63"/>
        <v>0</v>
      </c>
      <c r="X526" s="21">
        <f t="shared" si="64"/>
        <v>0</v>
      </c>
    </row>
    <row r="527" spans="1:24" ht="13.5" x14ac:dyDescent="0.35">
      <c r="A527" s="18">
        <v>100689</v>
      </c>
      <c r="B527" s="19" t="s">
        <v>118</v>
      </c>
      <c r="C527" s="19">
        <v>4.16</v>
      </c>
      <c r="D527" s="19">
        <v>101</v>
      </c>
      <c r="E527" s="19">
        <v>134</v>
      </c>
      <c r="F527" s="19">
        <v>0</v>
      </c>
      <c r="G527" s="19">
        <v>0</v>
      </c>
      <c r="H527" s="19">
        <v>0</v>
      </c>
      <c r="I527" s="20">
        <v>0</v>
      </c>
      <c r="J527" s="19">
        <f t="shared" ref="J527:J590" si="65">I527-F527</f>
        <v>0</v>
      </c>
      <c r="K527" s="19">
        <f t="shared" ref="K527:K590" si="66">H527-I527</f>
        <v>0</v>
      </c>
      <c r="L527" s="19">
        <v>-3.0300000000000001E-3</v>
      </c>
      <c r="M527" s="19">
        <v>-3.0400000000000002E-3</v>
      </c>
      <c r="N527" s="19">
        <v>-4.15E-3</v>
      </c>
      <c r="O527" s="19">
        <v>-4.8900000000000002E-3</v>
      </c>
      <c r="P527" s="19">
        <v>-5.1000000000000004E-3</v>
      </c>
      <c r="Q527" s="19">
        <v>-4.8500000000000001E-3</v>
      </c>
      <c r="R527" s="19"/>
      <c r="S527" s="19">
        <f t="shared" ref="S527:S590" si="67">L527*J527</f>
        <v>0</v>
      </c>
      <c r="T527" s="19">
        <f t="shared" ref="T527:T590" si="68">M527*J527</f>
        <v>0</v>
      </c>
      <c r="U527" s="19">
        <f t="shared" ref="U527:U590" si="69">N527*J527</f>
        <v>0</v>
      </c>
      <c r="V527" s="19">
        <f t="shared" ref="V527:V590" si="70">O527*J527</f>
        <v>0</v>
      </c>
      <c r="W527" s="19">
        <f t="shared" ref="W527:W590" si="71">P527*J527</f>
        <v>0</v>
      </c>
      <c r="X527" s="21">
        <f t="shared" ref="X527:X590" si="72">Q527*J527</f>
        <v>0</v>
      </c>
    </row>
    <row r="528" spans="1:24" ht="13.5" x14ac:dyDescent="0.35">
      <c r="A528" s="18">
        <v>100690</v>
      </c>
      <c r="B528" s="19" t="s">
        <v>119</v>
      </c>
      <c r="C528" s="19">
        <v>4.2</v>
      </c>
      <c r="D528" s="19">
        <v>101</v>
      </c>
      <c r="E528" s="19">
        <v>134</v>
      </c>
      <c r="F528" s="19">
        <v>0</v>
      </c>
      <c r="G528" s="19">
        <v>0</v>
      </c>
      <c r="H528" s="19">
        <v>0</v>
      </c>
      <c r="I528" s="20">
        <v>0</v>
      </c>
      <c r="J528" s="19">
        <f t="shared" si="65"/>
        <v>0</v>
      </c>
      <c r="K528" s="19">
        <f t="shared" si="66"/>
        <v>0</v>
      </c>
      <c r="L528" s="19">
        <v>-3.0300000000000001E-3</v>
      </c>
      <c r="M528" s="19">
        <v>-3.0400000000000002E-3</v>
      </c>
      <c r="N528" s="19">
        <v>-4.15E-3</v>
      </c>
      <c r="O528" s="19">
        <v>-4.8900000000000002E-3</v>
      </c>
      <c r="P528" s="19">
        <v>-5.1000000000000004E-3</v>
      </c>
      <c r="Q528" s="19">
        <v>-4.8500000000000001E-3</v>
      </c>
      <c r="R528" s="19"/>
      <c r="S528" s="19">
        <f t="shared" si="67"/>
        <v>0</v>
      </c>
      <c r="T528" s="19">
        <f t="shared" si="68"/>
        <v>0</v>
      </c>
      <c r="U528" s="19">
        <f t="shared" si="69"/>
        <v>0</v>
      </c>
      <c r="V528" s="19">
        <f t="shared" si="70"/>
        <v>0</v>
      </c>
      <c r="W528" s="19">
        <f t="shared" si="71"/>
        <v>0</v>
      </c>
      <c r="X528" s="21">
        <f t="shared" si="72"/>
        <v>0</v>
      </c>
    </row>
    <row r="529" spans="1:24" ht="13.5" x14ac:dyDescent="0.35">
      <c r="A529" s="18">
        <v>100707</v>
      </c>
      <c r="B529" s="19" t="s">
        <v>120</v>
      </c>
      <c r="C529" s="19">
        <v>0.69</v>
      </c>
      <c r="D529" s="19">
        <v>101</v>
      </c>
      <c r="E529" s="19">
        <v>114</v>
      </c>
      <c r="F529" s="19">
        <v>6.8</v>
      </c>
      <c r="G529" s="19">
        <v>0</v>
      </c>
      <c r="H529" s="19">
        <v>6.8</v>
      </c>
      <c r="I529" s="20">
        <v>6.8</v>
      </c>
      <c r="J529" s="19">
        <f t="shared" si="65"/>
        <v>0</v>
      </c>
      <c r="K529" s="19">
        <f t="shared" si="66"/>
        <v>0</v>
      </c>
      <c r="L529" s="19">
        <v>-3.0300000000000001E-3</v>
      </c>
      <c r="M529" s="19">
        <v>-3.0400000000000002E-3</v>
      </c>
      <c r="N529" s="19">
        <v>-4.15E-3</v>
      </c>
      <c r="O529" s="19">
        <v>-4.8900000000000002E-3</v>
      </c>
      <c r="P529" s="19">
        <v>-5.1000000000000004E-3</v>
      </c>
      <c r="Q529" s="19">
        <v>-4.8500000000000001E-3</v>
      </c>
      <c r="R529" s="19"/>
      <c r="S529" s="19">
        <f t="shared" si="67"/>
        <v>0</v>
      </c>
      <c r="T529" s="19">
        <f t="shared" si="68"/>
        <v>0</v>
      </c>
      <c r="U529" s="19">
        <f t="shared" si="69"/>
        <v>0</v>
      </c>
      <c r="V529" s="19">
        <f t="shared" si="70"/>
        <v>0</v>
      </c>
      <c r="W529" s="19">
        <f t="shared" si="71"/>
        <v>0</v>
      </c>
      <c r="X529" s="21">
        <f t="shared" si="72"/>
        <v>0</v>
      </c>
    </row>
    <row r="530" spans="1:24" ht="13.5" x14ac:dyDescent="0.35">
      <c r="A530" s="18">
        <v>100708</v>
      </c>
      <c r="B530" s="19" t="s">
        <v>121</v>
      </c>
      <c r="C530" s="19">
        <v>0.69</v>
      </c>
      <c r="D530" s="19">
        <v>101</v>
      </c>
      <c r="E530" s="19">
        <v>114</v>
      </c>
      <c r="F530" s="19">
        <v>6.8</v>
      </c>
      <c r="G530" s="19">
        <v>0</v>
      </c>
      <c r="H530" s="19">
        <v>6.8</v>
      </c>
      <c r="I530" s="20">
        <v>6.8</v>
      </c>
      <c r="J530" s="19">
        <f t="shared" si="65"/>
        <v>0</v>
      </c>
      <c r="K530" s="19">
        <f t="shared" si="66"/>
        <v>0</v>
      </c>
      <c r="L530" s="19">
        <v>-3.0300000000000001E-3</v>
      </c>
      <c r="M530" s="19">
        <v>-3.0400000000000002E-3</v>
      </c>
      <c r="N530" s="19">
        <v>-4.15E-3</v>
      </c>
      <c r="O530" s="19">
        <v>-4.8900000000000002E-3</v>
      </c>
      <c r="P530" s="19">
        <v>-5.1000000000000004E-3</v>
      </c>
      <c r="Q530" s="19">
        <v>-4.8500000000000001E-3</v>
      </c>
      <c r="R530" s="19"/>
      <c r="S530" s="19">
        <f t="shared" si="67"/>
        <v>0</v>
      </c>
      <c r="T530" s="19">
        <f t="shared" si="68"/>
        <v>0</v>
      </c>
      <c r="U530" s="19">
        <f t="shared" si="69"/>
        <v>0</v>
      </c>
      <c r="V530" s="19">
        <f t="shared" si="70"/>
        <v>0</v>
      </c>
      <c r="W530" s="19">
        <f t="shared" si="71"/>
        <v>0</v>
      </c>
      <c r="X530" s="21">
        <f t="shared" si="72"/>
        <v>0</v>
      </c>
    </row>
    <row r="531" spans="1:24" ht="13.5" x14ac:dyDescent="0.35">
      <c r="A531" s="18">
        <v>100716</v>
      </c>
      <c r="B531" s="19" t="s">
        <v>122</v>
      </c>
      <c r="C531" s="19">
        <v>6</v>
      </c>
      <c r="D531" s="19">
        <v>101</v>
      </c>
      <c r="E531" s="19">
        <v>114</v>
      </c>
      <c r="F531" s="19">
        <v>0</v>
      </c>
      <c r="G531" s="19">
        <v>0</v>
      </c>
      <c r="H531" s="19">
        <v>0</v>
      </c>
      <c r="I531" s="20">
        <v>0</v>
      </c>
      <c r="J531" s="19">
        <f t="shared" si="65"/>
        <v>0</v>
      </c>
      <c r="K531" s="19">
        <f t="shared" si="66"/>
        <v>0</v>
      </c>
      <c r="L531" s="19">
        <v>-3.0300000000000001E-3</v>
      </c>
      <c r="M531" s="19">
        <v>-3.0400000000000002E-3</v>
      </c>
      <c r="N531" s="19">
        <v>-4.15E-3</v>
      </c>
      <c r="O531" s="19">
        <v>-4.8900000000000002E-3</v>
      </c>
      <c r="P531" s="19">
        <v>-5.1000000000000004E-3</v>
      </c>
      <c r="Q531" s="19">
        <v>-4.8500000000000001E-3</v>
      </c>
      <c r="R531" s="19"/>
      <c r="S531" s="19">
        <f t="shared" si="67"/>
        <v>0</v>
      </c>
      <c r="T531" s="19">
        <f t="shared" si="68"/>
        <v>0</v>
      </c>
      <c r="U531" s="19">
        <f t="shared" si="69"/>
        <v>0</v>
      </c>
      <c r="V531" s="19">
        <f t="shared" si="70"/>
        <v>0</v>
      </c>
      <c r="W531" s="19">
        <f t="shared" si="71"/>
        <v>0</v>
      </c>
      <c r="X531" s="21">
        <f t="shared" si="72"/>
        <v>0</v>
      </c>
    </row>
    <row r="532" spans="1:24" ht="13.5" x14ac:dyDescent="0.35">
      <c r="A532" s="18">
        <v>100721</v>
      </c>
      <c r="B532" s="19" t="s">
        <v>123</v>
      </c>
      <c r="C532" s="19">
        <v>0.69</v>
      </c>
      <c r="D532" s="19">
        <v>101</v>
      </c>
      <c r="E532" s="19">
        <v>114</v>
      </c>
      <c r="F532" s="19">
        <v>0</v>
      </c>
      <c r="G532" s="19">
        <v>0</v>
      </c>
      <c r="H532" s="19">
        <v>0</v>
      </c>
      <c r="I532" s="20">
        <v>0</v>
      </c>
      <c r="J532" s="19">
        <f t="shared" si="65"/>
        <v>0</v>
      </c>
      <c r="K532" s="19">
        <f t="shared" si="66"/>
        <v>0</v>
      </c>
      <c r="L532" s="19">
        <v>-3.0300000000000001E-3</v>
      </c>
      <c r="M532" s="19">
        <v>-3.0400000000000002E-3</v>
      </c>
      <c r="N532" s="19">
        <v>-4.15E-3</v>
      </c>
      <c r="O532" s="19">
        <v>-4.8900000000000002E-3</v>
      </c>
      <c r="P532" s="19">
        <v>-5.1000000000000004E-3</v>
      </c>
      <c r="Q532" s="19">
        <v>-4.8500000000000001E-3</v>
      </c>
      <c r="R532" s="19"/>
      <c r="S532" s="19">
        <f t="shared" si="67"/>
        <v>0</v>
      </c>
      <c r="T532" s="19">
        <f t="shared" si="68"/>
        <v>0</v>
      </c>
      <c r="U532" s="19">
        <f t="shared" si="69"/>
        <v>0</v>
      </c>
      <c r="V532" s="19">
        <f t="shared" si="70"/>
        <v>0</v>
      </c>
      <c r="W532" s="19">
        <f t="shared" si="71"/>
        <v>0</v>
      </c>
      <c r="X532" s="21">
        <f t="shared" si="72"/>
        <v>0</v>
      </c>
    </row>
    <row r="533" spans="1:24" ht="13.5" x14ac:dyDescent="0.35">
      <c r="A533" s="18">
        <v>100724</v>
      </c>
      <c r="B533" s="19" t="s">
        <v>124</v>
      </c>
      <c r="C533" s="19">
        <v>6</v>
      </c>
      <c r="D533" s="19">
        <v>101</v>
      </c>
      <c r="E533" s="19">
        <v>114</v>
      </c>
      <c r="F533" s="19">
        <v>3.75</v>
      </c>
      <c r="G533" s="19">
        <v>0</v>
      </c>
      <c r="H533" s="19">
        <v>3.75</v>
      </c>
      <c r="I533" s="20">
        <v>3.75</v>
      </c>
      <c r="J533" s="19">
        <f t="shared" si="65"/>
        <v>0</v>
      </c>
      <c r="K533" s="19">
        <f t="shared" si="66"/>
        <v>0</v>
      </c>
      <c r="L533" s="19">
        <v>-3.0300000000000001E-3</v>
      </c>
      <c r="M533" s="19">
        <v>-3.0400000000000002E-3</v>
      </c>
      <c r="N533" s="19">
        <v>-4.15E-3</v>
      </c>
      <c r="O533" s="19">
        <v>-4.8900000000000002E-3</v>
      </c>
      <c r="P533" s="19">
        <v>-5.1000000000000004E-3</v>
      </c>
      <c r="Q533" s="19">
        <v>-4.8500000000000001E-3</v>
      </c>
      <c r="R533" s="19"/>
      <c r="S533" s="19">
        <f t="shared" si="67"/>
        <v>0</v>
      </c>
      <c r="T533" s="19">
        <f t="shared" si="68"/>
        <v>0</v>
      </c>
      <c r="U533" s="19">
        <f t="shared" si="69"/>
        <v>0</v>
      </c>
      <c r="V533" s="19">
        <f t="shared" si="70"/>
        <v>0</v>
      </c>
      <c r="W533" s="19">
        <f t="shared" si="71"/>
        <v>0</v>
      </c>
      <c r="X533" s="21">
        <f t="shared" si="72"/>
        <v>0</v>
      </c>
    </row>
    <row r="534" spans="1:24" ht="13.5" x14ac:dyDescent="0.35">
      <c r="A534" s="18">
        <v>100735</v>
      </c>
      <c r="B534" s="19" t="s">
        <v>125</v>
      </c>
      <c r="C534" s="19">
        <v>0.65</v>
      </c>
      <c r="D534" s="19">
        <v>101</v>
      </c>
      <c r="E534" s="19">
        <v>113</v>
      </c>
      <c r="F534" s="19">
        <v>0</v>
      </c>
      <c r="G534" s="19">
        <v>0</v>
      </c>
      <c r="H534" s="19">
        <v>0</v>
      </c>
      <c r="I534" s="20">
        <v>0</v>
      </c>
      <c r="J534" s="19">
        <f t="shared" si="65"/>
        <v>0</v>
      </c>
      <c r="K534" s="19">
        <f t="shared" si="66"/>
        <v>0</v>
      </c>
      <c r="L534" s="19">
        <v>-3.0300000000000001E-3</v>
      </c>
      <c r="M534" s="19">
        <v>-3.0400000000000002E-3</v>
      </c>
      <c r="N534" s="19">
        <v>-4.15E-3</v>
      </c>
      <c r="O534" s="19">
        <v>-4.8900000000000002E-3</v>
      </c>
      <c r="P534" s="19">
        <v>-5.1000000000000004E-3</v>
      </c>
      <c r="Q534" s="19">
        <v>-4.8500000000000001E-3</v>
      </c>
      <c r="R534" s="19"/>
      <c r="S534" s="19">
        <f t="shared" si="67"/>
        <v>0</v>
      </c>
      <c r="T534" s="19">
        <f t="shared" si="68"/>
        <v>0</v>
      </c>
      <c r="U534" s="19">
        <f t="shared" si="69"/>
        <v>0</v>
      </c>
      <c r="V534" s="19">
        <f t="shared" si="70"/>
        <v>0</v>
      </c>
      <c r="W534" s="19">
        <f t="shared" si="71"/>
        <v>0</v>
      </c>
      <c r="X534" s="21">
        <f t="shared" si="72"/>
        <v>0</v>
      </c>
    </row>
    <row r="535" spans="1:24" ht="13.5" x14ac:dyDescent="0.35">
      <c r="A535" s="18">
        <v>100736</v>
      </c>
      <c r="B535" s="19" t="s">
        <v>126</v>
      </c>
      <c r="C535" s="19">
        <v>0.65</v>
      </c>
      <c r="D535" s="19">
        <v>101</v>
      </c>
      <c r="E535" s="19">
        <v>113</v>
      </c>
      <c r="F535" s="19">
        <v>4.9800000000000004</v>
      </c>
      <c r="G535" s="19">
        <v>0</v>
      </c>
      <c r="H535" s="19">
        <v>4.9800000000000004</v>
      </c>
      <c r="I535" s="20">
        <v>4.9800000000000004</v>
      </c>
      <c r="J535" s="19">
        <f t="shared" si="65"/>
        <v>0</v>
      </c>
      <c r="K535" s="19">
        <f t="shared" si="66"/>
        <v>0</v>
      </c>
      <c r="L535" s="19">
        <v>-3.0300000000000001E-3</v>
      </c>
      <c r="M535" s="19">
        <v>-3.0400000000000002E-3</v>
      </c>
      <c r="N535" s="19">
        <v>-4.15E-3</v>
      </c>
      <c r="O535" s="19">
        <v>-4.8900000000000002E-3</v>
      </c>
      <c r="P535" s="19">
        <v>-5.1000000000000004E-3</v>
      </c>
      <c r="Q535" s="19">
        <v>-4.8500000000000001E-3</v>
      </c>
      <c r="R535" s="19"/>
      <c r="S535" s="19">
        <f t="shared" si="67"/>
        <v>0</v>
      </c>
      <c r="T535" s="19">
        <f t="shared" si="68"/>
        <v>0</v>
      </c>
      <c r="U535" s="19">
        <f t="shared" si="69"/>
        <v>0</v>
      </c>
      <c r="V535" s="19">
        <f t="shared" si="70"/>
        <v>0</v>
      </c>
      <c r="W535" s="19">
        <f t="shared" si="71"/>
        <v>0</v>
      </c>
      <c r="X535" s="21">
        <f t="shared" si="72"/>
        <v>0</v>
      </c>
    </row>
    <row r="536" spans="1:24" ht="13.5" x14ac:dyDescent="0.35">
      <c r="A536" s="18">
        <v>100737</v>
      </c>
      <c r="B536" s="19" t="s">
        <v>127</v>
      </c>
      <c r="C536" s="19">
        <v>0.65</v>
      </c>
      <c r="D536" s="19">
        <v>101</v>
      </c>
      <c r="E536" s="19">
        <v>113</v>
      </c>
      <c r="F536" s="19">
        <v>6.09</v>
      </c>
      <c r="G536" s="19">
        <v>0</v>
      </c>
      <c r="H536" s="19">
        <v>6.09</v>
      </c>
      <c r="I536" s="20">
        <v>6.09</v>
      </c>
      <c r="J536" s="19">
        <f t="shared" si="65"/>
        <v>0</v>
      </c>
      <c r="K536" s="19">
        <f t="shared" si="66"/>
        <v>0</v>
      </c>
      <c r="L536" s="19">
        <v>-3.0300000000000001E-3</v>
      </c>
      <c r="M536" s="19">
        <v>-3.0400000000000002E-3</v>
      </c>
      <c r="N536" s="19">
        <v>-4.15E-3</v>
      </c>
      <c r="O536" s="19">
        <v>-4.8900000000000002E-3</v>
      </c>
      <c r="P536" s="19">
        <v>-5.1000000000000004E-3</v>
      </c>
      <c r="Q536" s="19">
        <v>-4.8500000000000001E-3</v>
      </c>
      <c r="R536" s="19"/>
      <c r="S536" s="19">
        <f t="shared" si="67"/>
        <v>0</v>
      </c>
      <c r="T536" s="19">
        <f t="shared" si="68"/>
        <v>0</v>
      </c>
      <c r="U536" s="19">
        <f t="shared" si="69"/>
        <v>0</v>
      </c>
      <c r="V536" s="19">
        <f t="shared" si="70"/>
        <v>0</v>
      </c>
      <c r="W536" s="19">
        <f t="shared" si="71"/>
        <v>0</v>
      </c>
      <c r="X536" s="21">
        <f t="shared" si="72"/>
        <v>0</v>
      </c>
    </row>
    <row r="537" spans="1:24" ht="13.5" x14ac:dyDescent="0.35">
      <c r="A537" s="18">
        <v>100738</v>
      </c>
      <c r="B537" s="19" t="s">
        <v>128</v>
      </c>
      <c r="C537" s="19">
        <v>0.65</v>
      </c>
      <c r="D537" s="19">
        <v>101</v>
      </c>
      <c r="E537" s="19">
        <v>113</v>
      </c>
      <c r="F537" s="19">
        <v>5.53</v>
      </c>
      <c r="G537" s="19">
        <v>0</v>
      </c>
      <c r="H537" s="19">
        <v>5.53</v>
      </c>
      <c r="I537" s="20">
        <v>5.53</v>
      </c>
      <c r="J537" s="19">
        <f t="shared" si="65"/>
        <v>0</v>
      </c>
      <c r="K537" s="19">
        <f t="shared" si="66"/>
        <v>0</v>
      </c>
      <c r="L537" s="19">
        <v>-3.0300000000000001E-3</v>
      </c>
      <c r="M537" s="19">
        <v>-3.0400000000000002E-3</v>
      </c>
      <c r="N537" s="19">
        <v>-4.15E-3</v>
      </c>
      <c r="O537" s="19">
        <v>-4.8900000000000002E-3</v>
      </c>
      <c r="P537" s="19">
        <v>-5.1000000000000004E-3</v>
      </c>
      <c r="Q537" s="19">
        <v>-4.8500000000000001E-3</v>
      </c>
      <c r="R537" s="19"/>
      <c r="S537" s="19">
        <f t="shared" si="67"/>
        <v>0</v>
      </c>
      <c r="T537" s="19">
        <f t="shared" si="68"/>
        <v>0</v>
      </c>
      <c r="U537" s="19">
        <f t="shared" si="69"/>
        <v>0</v>
      </c>
      <c r="V537" s="19">
        <f t="shared" si="70"/>
        <v>0</v>
      </c>
      <c r="W537" s="19">
        <f t="shared" si="71"/>
        <v>0</v>
      </c>
      <c r="X537" s="21">
        <f t="shared" si="72"/>
        <v>0</v>
      </c>
    </row>
    <row r="538" spans="1:24" ht="13.5" x14ac:dyDescent="0.35">
      <c r="A538" s="18">
        <v>100739</v>
      </c>
      <c r="B538" s="19" t="s">
        <v>129</v>
      </c>
      <c r="C538" s="19">
        <v>0.65</v>
      </c>
      <c r="D538" s="19">
        <v>101</v>
      </c>
      <c r="E538" s="19">
        <v>113</v>
      </c>
      <c r="F538" s="19">
        <v>8.3000000000000007</v>
      </c>
      <c r="G538" s="19">
        <v>0</v>
      </c>
      <c r="H538" s="19">
        <v>8.3000000000000007</v>
      </c>
      <c r="I538" s="20">
        <v>8.3000000000000007</v>
      </c>
      <c r="J538" s="19">
        <f t="shared" si="65"/>
        <v>0</v>
      </c>
      <c r="K538" s="19">
        <f t="shared" si="66"/>
        <v>0</v>
      </c>
      <c r="L538" s="19">
        <v>-3.0300000000000001E-3</v>
      </c>
      <c r="M538" s="19">
        <v>-3.0400000000000002E-3</v>
      </c>
      <c r="N538" s="19">
        <v>-4.15E-3</v>
      </c>
      <c r="O538" s="19">
        <v>-4.8900000000000002E-3</v>
      </c>
      <c r="P538" s="19">
        <v>-5.1000000000000004E-3</v>
      </c>
      <c r="Q538" s="19">
        <v>-4.8500000000000001E-3</v>
      </c>
      <c r="R538" s="19"/>
      <c r="S538" s="19">
        <f t="shared" si="67"/>
        <v>0</v>
      </c>
      <c r="T538" s="19">
        <f t="shared" si="68"/>
        <v>0</v>
      </c>
      <c r="U538" s="19">
        <f t="shared" si="69"/>
        <v>0</v>
      </c>
      <c r="V538" s="19">
        <f t="shared" si="70"/>
        <v>0</v>
      </c>
      <c r="W538" s="19">
        <f t="shared" si="71"/>
        <v>0</v>
      </c>
      <c r="X538" s="21">
        <f t="shared" si="72"/>
        <v>0</v>
      </c>
    </row>
    <row r="539" spans="1:24" ht="13.5" x14ac:dyDescent="0.35">
      <c r="A539" s="18">
        <v>100749</v>
      </c>
      <c r="B539" s="19" t="s">
        <v>130</v>
      </c>
      <c r="C539" s="19">
        <v>12.5</v>
      </c>
      <c r="D539" s="19">
        <v>101</v>
      </c>
      <c r="E539" s="19">
        <v>113</v>
      </c>
      <c r="F539" s="19">
        <v>0</v>
      </c>
      <c r="G539" s="19">
        <v>0</v>
      </c>
      <c r="H539" s="19">
        <v>0</v>
      </c>
      <c r="I539" s="20">
        <v>0</v>
      </c>
      <c r="J539" s="19">
        <f t="shared" si="65"/>
        <v>0</v>
      </c>
      <c r="K539" s="19">
        <f t="shared" si="66"/>
        <v>0</v>
      </c>
      <c r="L539" s="19">
        <v>-3.0300000000000001E-3</v>
      </c>
      <c r="M539" s="19">
        <v>-3.0400000000000002E-3</v>
      </c>
      <c r="N539" s="19">
        <v>-4.15E-3</v>
      </c>
      <c r="O539" s="19">
        <v>-4.8900000000000002E-3</v>
      </c>
      <c r="P539" s="19">
        <v>-5.1000000000000004E-3</v>
      </c>
      <c r="Q539" s="19">
        <v>-4.8500000000000001E-3</v>
      </c>
      <c r="R539" s="19"/>
      <c r="S539" s="19">
        <f t="shared" si="67"/>
        <v>0</v>
      </c>
      <c r="T539" s="19">
        <f t="shared" si="68"/>
        <v>0</v>
      </c>
      <c r="U539" s="19">
        <f t="shared" si="69"/>
        <v>0</v>
      </c>
      <c r="V539" s="19">
        <f t="shared" si="70"/>
        <v>0</v>
      </c>
      <c r="W539" s="19">
        <f t="shared" si="71"/>
        <v>0</v>
      </c>
      <c r="X539" s="21">
        <f t="shared" si="72"/>
        <v>0</v>
      </c>
    </row>
    <row r="540" spans="1:24" ht="13.5" x14ac:dyDescent="0.35">
      <c r="A540" s="18">
        <v>100777</v>
      </c>
      <c r="B540" s="19" t="s">
        <v>132</v>
      </c>
      <c r="C540" s="19">
        <v>0.4</v>
      </c>
      <c r="D540" s="19">
        <v>101</v>
      </c>
      <c r="E540" s="19">
        <v>113</v>
      </c>
      <c r="F540" s="19">
        <v>0</v>
      </c>
      <c r="G540" s="19">
        <v>0</v>
      </c>
      <c r="H540" s="19">
        <v>0</v>
      </c>
      <c r="I540" s="20">
        <v>0</v>
      </c>
      <c r="J540" s="19">
        <f t="shared" si="65"/>
        <v>0</v>
      </c>
      <c r="K540" s="19">
        <f t="shared" si="66"/>
        <v>0</v>
      </c>
      <c r="L540" s="19">
        <v>-3.0300000000000001E-3</v>
      </c>
      <c r="M540" s="19">
        <v>-3.0400000000000002E-3</v>
      </c>
      <c r="N540" s="19">
        <v>-4.15E-3</v>
      </c>
      <c r="O540" s="19">
        <v>-4.8900000000000002E-3</v>
      </c>
      <c r="P540" s="19">
        <v>-5.1000000000000004E-3</v>
      </c>
      <c r="Q540" s="19">
        <v>-4.8500000000000001E-3</v>
      </c>
      <c r="R540" s="19"/>
      <c r="S540" s="19">
        <f t="shared" si="67"/>
        <v>0</v>
      </c>
      <c r="T540" s="19">
        <f t="shared" si="68"/>
        <v>0</v>
      </c>
      <c r="U540" s="19">
        <f t="shared" si="69"/>
        <v>0</v>
      </c>
      <c r="V540" s="19">
        <f t="shared" si="70"/>
        <v>0</v>
      </c>
      <c r="W540" s="19">
        <f t="shared" si="71"/>
        <v>0</v>
      </c>
      <c r="X540" s="21">
        <f t="shared" si="72"/>
        <v>0</v>
      </c>
    </row>
    <row r="541" spans="1:24" ht="13.5" x14ac:dyDescent="0.35">
      <c r="A541" s="18">
        <v>100851</v>
      </c>
      <c r="B541" s="19" t="s">
        <v>133</v>
      </c>
      <c r="C541" s="19">
        <v>12</v>
      </c>
      <c r="D541" s="19">
        <v>101</v>
      </c>
      <c r="E541" s="19">
        <v>112</v>
      </c>
      <c r="F541" s="19">
        <v>0</v>
      </c>
      <c r="G541" s="19">
        <v>0</v>
      </c>
      <c r="H541" s="19">
        <v>0</v>
      </c>
      <c r="I541" s="20">
        <v>0</v>
      </c>
      <c r="J541" s="19">
        <f t="shared" si="65"/>
        <v>0</v>
      </c>
      <c r="K541" s="19">
        <f t="shared" si="66"/>
        <v>0</v>
      </c>
      <c r="L541" s="19">
        <v>-3.0300000000000001E-3</v>
      </c>
      <c r="M541" s="19">
        <v>-3.0400000000000002E-3</v>
      </c>
      <c r="N541" s="19">
        <v>-4.15E-3</v>
      </c>
      <c r="O541" s="19">
        <v>-4.8900000000000002E-3</v>
      </c>
      <c r="P541" s="19">
        <v>-5.1000000000000004E-3</v>
      </c>
      <c r="Q541" s="19">
        <v>-4.8500000000000001E-3</v>
      </c>
      <c r="R541" s="19"/>
      <c r="S541" s="19">
        <f t="shared" si="67"/>
        <v>0</v>
      </c>
      <c r="T541" s="19">
        <f t="shared" si="68"/>
        <v>0</v>
      </c>
      <c r="U541" s="19">
        <f t="shared" si="69"/>
        <v>0</v>
      </c>
      <c r="V541" s="19">
        <f t="shared" si="70"/>
        <v>0</v>
      </c>
      <c r="W541" s="19">
        <f t="shared" si="71"/>
        <v>0</v>
      </c>
      <c r="X541" s="21">
        <f t="shared" si="72"/>
        <v>0</v>
      </c>
    </row>
    <row r="542" spans="1:24" ht="13.5" x14ac:dyDescent="0.35">
      <c r="A542" s="18">
        <v>100870</v>
      </c>
      <c r="B542" s="19" t="s">
        <v>134</v>
      </c>
      <c r="C542" s="19">
        <v>0.6</v>
      </c>
      <c r="D542" s="19">
        <v>101</v>
      </c>
      <c r="E542" s="19">
        <v>113</v>
      </c>
      <c r="F542" s="19">
        <v>0</v>
      </c>
      <c r="G542" s="19">
        <v>0</v>
      </c>
      <c r="H542" s="19">
        <v>0</v>
      </c>
      <c r="I542" s="20">
        <v>0</v>
      </c>
      <c r="J542" s="19">
        <f t="shared" si="65"/>
        <v>0</v>
      </c>
      <c r="K542" s="19">
        <f t="shared" si="66"/>
        <v>0</v>
      </c>
      <c r="L542" s="19">
        <v>-3.0300000000000001E-3</v>
      </c>
      <c r="M542" s="19">
        <v>-3.0400000000000002E-3</v>
      </c>
      <c r="N542" s="19">
        <v>-4.15E-3</v>
      </c>
      <c r="O542" s="19">
        <v>-4.8900000000000002E-3</v>
      </c>
      <c r="P542" s="19">
        <v>-5.1000000000000004E-3</v>
      </c>
      <c r="Q542" s="19">
        <v>-4.8500000000000001E-3</v>
      </c>
      <c r="R542" s="19"/>
      <c r="S542" s="19">
        <f t="shared" si="67"/>
        <v>0</v>
      </c>
      <c r="T542" s="19">
        <f t="shared" si="68"/>
        <v>0</v>
      </c>
      <c r="U542" s="19">
        <f t="shared" si="69"/>
        <v>0</v>
      </c>
      <c r="V542" s="19">
        <f t="shared" si="70"/>
        <v>0</v>
      </c>
      <c r="W542" s="19">
        <f t="shared" si="71"/>
        <v>0</v>
      </c>
      <c r="X542" s="21">
        <f t="shared" si="72"/>
        <v>0</v>
      </c>
    </row>
    <row r="543" spans="1:24" ht="13.5" x14ac:dyDescent="0.35">
      <c r="A543" s="18">
        <v>101062</v>
      </c>
      <c r="B543" s="19" t="s">
        <v>135</v>
      </c>
      <c r="C543" s="19">
        <v>34.5</v>
      </c>
      <c r="D543" s="19">
        <v>101</v>
      </c>
      <c r="E543" s="19">
        <v>112</v>
      </c>
      <c r="F543" s="19">
        <v>0</v>
      </c>
      <c r="G543" s="19">
        <v>0</v>
      </c>
      <c r="H543" s="19">
        <v>0</v>
      </c>
      <c r="I543" s="20">
        <v>0</v>
      </c>
      <c r="J543" s="19">
        <f t="shared" si="65"/>
        <v>0</v>
      </c>
      <c r="K543" s="19">
        <f t="shared" si="66"/>
        <v>0</v>
      </c>
      <c r="L543" s="19">
        <v>-3.0300000000000001E-3</v>
      </c>
      <c r="M543" s="19">
        <v>-3.0400000000000002E-3</v>
      </c>
      <c r="N543" s="19">
        <v>-4.15E-3</v>
      </c>
      <c r="O543" s="19">
        <v>-4.8900000000000002E-3</v>
      </c>
      <c r="P543" s="19">
        <v>-5.1000000000000004E-3</v>
      </c>
      <c r="Q543" s="19">
        <v>-4.8500000000000001E-3</v>
      </c>
      <c r="R543" s="19"/>
      <c r="S543" s="19">
        <f t="shared" si="67"/>
        <v>0</v>
      </c>
      <c r="T543" s="19">
        <f t="shared" si="68"/>
        <v>0</v>
      </c>
      <c r="U543" s="19">
        <f t="shared" si="69"/>
        <v>0</v>
      </c>
      <c r="V543" s="19">
        <f t="shared" si="70"/>
        <v>0</v>
      </c>
      <c r="W543" s="19">
        <f t="shared" si="71"/>
        <v>0</v>
      </c>
      <c r="X543" s="21">
        <f t="shared" si="72"/>
        <v>0</v>
      </c>
    </row>
    <row r="544" spans="1:24" ht="13.5" x14ac:dyDescent="0.35">
      <c r="A544" s="18">
        <v>102101</v>
      </c>
      <c r="B544" s="19" t="s">
        <v>136</v>
      </c>
      <c r="C544" s="19">
        <v>4</v>
      </c>
      <c r="D544" s="19">
        <v>101</v>
      </c>
      <c r="E544" s="19">
        <v>112</v>
      </c>
      <c r="F544" s="19">
        <v>0</v>
      </c>
      <c r="G544" s="19">
        <v>0</v>
      </c>
      <c r="H544" s="19">
        <v>0</v>
      </c>
      <c r="I544" s="20">
        <v>0</v>
      </c>
      <c r="J544" s="19">
        <f t="shared" si="65"/>
        <v>0</v>
      </c>
      <c r="K544" s="19">
        <f t="shared" si="66"/>
        <v>0</v>
      </c>
      <c r="L544" s="19">
        <v>-3.0300000000000001E-3</v>
      </c>
      <c r="M544" s="19">
        <v>-3.0400000000000002E-3</v>
      </c>
      <c r="N544" s="19">
        <v>-4.15E-3</v>
      </c>
      <c r="O544" s="19">
        <v>-4.8900000000000002E-3</v>
      </c>
      <c r="P544" s="19">
        <v>-5.1000000000000004E-3</v>
      </c>
      <c r="Q544" s="19">
        <v>-4.8500000000000001E-3</v>
      </c>
      <c r="R544" s="19"/>
      <c r="S544" s="19">
        <f t="shared" si="67"/>
        <v>0</v>
      </c>
      <c r="T544" s="19">
        <f t="shared" si="68"/>
        <v>0</v>
      </c>
      <c r="U544" s="19">
        <f t="shared" si="69"/>
        <v>0</v>
      </c>
      <c r="V544" s="19">
        <f t="shared" si="70"/>
        <v>0</v>
      </c>
      <c r="W544" s="19">
        <f t="shared" si="71"/>
        <v>0</v>
      </c>
      <c r="X544" s="21">
        <f t="shared" si="72"/>
        <v>0</v>
      </c>
    </row>
    <row r="545" spans="1:24" ht="13.5" x14ac:dyDescent="0.35">
      <c r="A545" s="18">
        <v>102195</v>
      </c>
      <c r="B545" s="19" t="s">
        <v>138</v>
      </c>
      <c r="C545" s="19">
        <v>34.5</v>
      </c>
      <c r="D545" s="19">
        <v>101</v>
      </c>
      <c r="E545" s="19">
        <v>112</v>
      </c>
      <c r="F545" s="19">
        <v>0</v>
      </c>
      <c r="G545" s="19">
        <v>0</v>
      </c>
      <c r="H545" s="19">
        <v>0</v>
      </c>
      <c r="I545" s="20">
        <v>0</v>
      </c>
      <c r="J545" s="19">
        <f t="shared" si="65"/>
        <v>0</v>
      </c>
      <c r="K545" s="19">
        <f t="shared" si="66"/>
        <v>0</v>
      </c>
      <c r="L545" s="19">
        <v>-3.0300000000000001E-3</v>
      </c>
      <c r="M545" s="19">
        <v>-3.0400000000000002E-3</v>
      </c>
      <c r="N545" s="19">
        <v>-4.15E-3</v>
      </c>
      <c r="O545" s="19">
        <v>-4.8900000000000002E-3</v>
      </c>
      <c r="P545" s="19">
        <v>-5.1000000000000004E-3</v>
      </c>
      <c r="Q545" s="19">
        <v>-4.8500000000000001E-3</v>
      </c>
      <c r="R545" s="19"/>
      <c r="S545" s="19">
        <f t="shared" si="67"/>
        <v>0</v>
      </c>
      <c r="T545" s="19">
        <f t="shared" si="68"/>
        <v>0</v>
      </c>
      <c r="U545" s="19">
        <f t="shared" si="69"/>
        <v>0</v>
      </c>
      <c r="V545" s="19">
        <f t="shared" si="70"/>
        <v>0</v>
      </c>
      <c r="W545" s="19">
        <f t="shared" si="71"/>
        <v>0</v>
      </c>
      <c r="X545" s="21">
        <f t="shared" si="72"/>
        <v>0</v>
      </c>
    </row>
    <row r="546" spans="1:24" ht="13.5" x14ac:dyDescent="0.35">
      <c r="A546" s="18">
        <v>103050</v>
      </c>
      <c r="B546" s="19" t="s">
        <v>139</v>
      </c>
      <c r="C546" s="19">
        <v>0.56999999999999995</v>
      </c>
      <c r="D546" s="19">
        <v>101</v>
      </c>
      <c r="E546" s="19">
        <v>363</v>
      </c>
      <c r="F546" s="19">
        <v>0</v>
      </c>
      <c r="G546" s="19">
        <v>0</v>
      </c>
      <c r="H546" s="19">
        <v>0</v>
      </c>
      <c r="I546" s="20">
        <v>0</v>
      </c>
      <c r="J546" s="19">
        <f t="shared" si="65"/>
        <v>0</v>
      </c>
      <c r="K546" s="19">
        <f t="shared" si="66"/>
        <v>0</v>
      </c>
      <c r="L546" s="19">
        <v>-3.0300000000000001E-3</v>
      </c>
      <c r="M546" s="19">
        <v>-3.0400000000000002E-3</v>
      </c>
      <c r="N546" s="19">
        <v>-4.15E-3</v>
      </c>
      <c r="O546" s="19">
        <v>-4.8900000000000002E-3</v>
      </c>
      <c r="P546" s="19">
        <v>-5.1000000000000004E-3</v>
      </c>
      <c r="Q546" s="19">
        <v>-4.8500000000000001E-3</v>
      </c>
      <c r="R546" s="19"/>
      <c r="S546" s="19">
        <f t="shared" si="67"/>
        <v>0</v>
      </c>
      <c r="T546" s="19">
        <f t="shared" si="68"/>
        <v>0</v>
      </c>
      <c r="U546" s="19">
        <f t="shared" si="69"/>
        <v>0</v>
      </c>
      <c r="V546" s="19">
        <f t="shared" si="70"/>
        <v>0</v>
      </c>
      <c r="W546" s="19">
        <f t="shared" si="71"/>
        <v>0</v>
      </c>
      <c r="X546" s="21">
        <f t="shared" si="72"/>
        <v>0</v>
      </c>
    </row>
    <row r="547" spans="1:24" ht="13.5" x14ac:dyDescent="0.35">
      <c r="A547" s="18">
        <v>103051</v>
      </c>
      <c r="B547" s="19" t="s">
        <v>140</v>
      </c>
      <c r="C547" s="19">
        <v>0.56999999999999995</v>
      </c>
      <c r="D547" s="19">
        <v>101</v>
      </c>
      <c r="E547" s="19">
        <v>363</v>
      </c>
      <c r="F547" s="19">
        <v>0</v>
      </c>
      <c r="G547" s="19">
        <v>0</v>
      </c>
      <c r="H547" s="19">
        <v>0</v>
      </c>
      <c r="I547" s="20">
        <v>0</v>
      </c>
      <c r="J547" s="19">
        <f t="shared" si="65"/>
        <v>0</v>
      </c>
      <c r="K547" s="19">
        <f t="shared" si="66"/>
        <v>0</v>
      </c>
      <c r="L547" s="19">
        <v>-3.0300000000000001E-3</v>
      </c>
      <c r="M547" s="19">
        <v>-3.0400000000000002E-3</v>
      </c>
      <c r="N547" s="19">
        <v>-4.15E-3</v>
      </c>
      <c r="O547" s="19">
        <v>-4.8900000000000002E-3</v>
      </c>
      <c r="P547" s="19">
        <v>-5.1000000000000004E-3</v>
      </c>
      <c r="Q547" s="19">
        <v>-4.8500000000000001E-3</v>
      </c>
      <c r="R547" s="19"/>
      <c r="S547" s="19">
        <f t="shared" si="67"/>
        <v>0</v>
      </c>
      <c r="T547" s="19">
        <f t="shared" si="68"/>
        <v>0</v>
      </c>
      <c r="U547" s="19">
        <f t="shared" si="69"/>
        <v>0</v>
      </c>
      <c r="V547" s="19">
        <f t="shared" si="70"/>
        <v>0</v>
      </c>
      <c r="W547" s="19">
        <f t="shared" si="71"/>
        <v>0</v>
      </c>
      <c r="X547" s="21">
        <f t="shared" si="72"/>
        <v>0</v>
      </c>
    </row>
    <row r="548" spans="1:24" ht="13.5" x14ac:dyDescent="0.35">
      <c r="A548" s="18">
        <v>103052</v>
      </c>
      <c r="B548" s="19" t="s">
        <v>141</v>
      </c>
      <c r="C548" s="19">
        <v>0.56999999999999995</v>
      </c>
      <c r="D548" s="19">
        <v>101</v>
      </c>
      <c r="E548" s="19">
        <v>363</v>
      </c>
      <c r="F548" s="19">
        <v>0</v>
      </c>
      <c r="G548" s="19">
        <v>0</v>
      </c>
      <c r="H548" s="19">
        <v>0</v>
      </c>
      <c r="I548" s="20">
        <v>0</v>
      </c>
      <c r="J548" s="19">
        <f t="shared" si="65"/>
        <v>0</v>
      </c>
      <c r="K548" s="19">
        <f t="shared" si="66"/>
        <v>0</v>
      </c>
      <c r="L548" s="19">
        <v>-3.0300000000000001E-3</v>
      </c>
      <c r="M548" s="19">
        <v>-3.0400000000000002E-3</v>
      </c>
      <c r="N548" s="19">
        <v>-4.15E-3</v>
      </c>
      <c r="O548" s="19">
        <v>-4.8900000000000002E-3</v>
      </c>
      <c r="P548" s="19">
        <v>-5.1000000000000004E-3</v>
      </c>
      <c r="Q548" s="19">
        <v>-4.8500000000000001E-3</v>
      </c>
      <c r="R548" s="19"/>
      <c r="S548" s="19">
        <f t="shared" si="67"/>
        <v>0</v>
      </c>
      <c r="T548" s="19">
        <f t="shared" si="68"/>
        <v>0</v>
      </c>
      <c r="U548" s="19">
        <f t="shared" si="69"/>
        <v>0</v>
      </c>
      <c r="V548" s="19">
        <f t="shared" si="70"/>
        <v>0</v>
      </c>
      <c r="W548" s="19">
        <f t="shared" si="71"/>
        <v>0</v>
      </c>
      <c r="X548" s="21">
        <f t="shared" si="72"/>
        <v>0</v>
      </c>
    </row>
    <row r="549" spans="1:24" ht="13.5" x14ac:dyDescent="0.35">
      <c r="A549" s="18">
        <v>103060</v>
      </c>
      <c r="B549" s="19" t="s">
        <v>142</v>
      </c>
      <c r="C549" s="19">
        <v>18</v>
      </c>
      <c r="D549" s="19">
        <v>101</v>
      </c>
      <c r="E549" s="19">
        <v>353</v>
      </c>
      <c r="F549" s="19">
        <v>157.84</v>
      </c>
      <c r="G549" s="19">
        <v>0</v>
      </c>
      <c r="H549" s="19">
        <v>157.84</v>
      </c>
      <c r="I549" s="20">
        <v>157.84</v>
      </c>
      <c r="J549" s="19">
        <f t="shared" si="65"/>
        <v>0</v>
      </c>
      <c r="K549" s="19">
        <f t="shared" si="66"/>
        <v>0</v>
      </c>
      <c r="L549" s="19">
        <v>-3.0300000000000001E-3</v>
      </c>
      <c r="M549" s="19">
        <v>-3.0400000000000002E-3</v>
      </c>
      <c r="N549" s="19">
        <v>-4.15E-3</v>
      </c>
      <c r="O549" s="19">
        <v>-4.8900000000000002E-3</v>
      </c>
      <c r="P549" s="19">
        <v>-5.1000000000000004E-3</v>
      </c>
      <c r="Q549" s="19">
        <v>-4.8500000000000001E-3</v>
      </c>
      <c r="R549" s="19"/>
      <c r="S549" s="19">
        <f t="shared" si="67"/>
        <v>0</v>
      </c>
      <c r="T549" s="19">
        <f t="shared" si="68"/>
        <v>0</v>
      </c>
      <c r="U549" s="19">
        <f t="shared" si="69"/>
        <v>0</v>
      </c>
      <c r="V549" s="19">
        <f t="shared" si="70"/>
        <v>0</v>
      </c>
      <c r="W549" s="19">
        <f t="shared" si="71"/>
        <v>0</v>
      </c>
      <c r="X549" s="21">
        <f t="shared" si="72"/>
        <v>0</v>
      </c>
    </row>
    <row r="550" spans="1:24" ht="13.5" x14ac:dyDescent="0.35">
      <c r="A550" s="18">
        <v>103061</v>
      </c>
      <c r="B550" s="19" t="s">
        <v>143</v>
      </c>
      <c r="C550" s="19">
        <v>18</v>
      </c>
      <c r="D550" s="19">
        <v>101</v>
      </c>
      <c r="E550" s="19">
        <v>353</v>
      </c>
      <c r="F550" s="19">
        <v>157.84</v>
      </c>
      <c r="G550" s="19">
        <v>0</v>
      </c>
      <c r="H550" s="19">
        <v>157.84</v>
      </c>
      <c r="I550" s="20">
        <v>157.84</v>
      </c>
      <c r="J550" s="19">
        <f t="shared" si="65"/>
        <v>0</v>
      </c>
      <c r="K550" s="19">
        <f t="shared" si="66"/>
        <v>0</v>
      </c>
      <c r="L550" s="19">
        <v>-3.0300000000000001E-3</v>
      </c>
      <c r="M550" s="19">
        <v>-3.0400000000000002E-3</v>
      </c>
      <c r="N550" s="19">
        <v>-4.15E-3</v>
      </c>
      <c r="O550" s="19">
        <v>-4.8900000000000002E-3</v>
      </c>
      <c r="P550" s="19">
        <v>-5.1000000000000004E-3</v>
      </c>
      <c r="Q550" s="19">
        <v>-4.8500000000000001E-3</v>
      </c>
      <c r="R550" s="19"/>
      <c r="S550" s="19">
        <f t="shared" si="67"/>
        <v>0</v>
      </c>
      <c r="T550" s="19">
        <f t="shared" si="68"/>
        <v>0</v>
      </c>
      <c r="U550" s="19">
        <f t="shared" si="69"/>
        <v>0</v>
      </c>
      <c r="V550" s="19">
        <f t="shared" si="70"/>
        <v>0</v>
      </c>
      <c r="W550" s="19">
        <f t="shared" si="71"/>
        <v>0</v>
      </c>
      <c r="X550" s="21">
        <f t="shared" si="72"/>
        <v>0</v>
      </c>
    </row>
    <row r="551" spans="1:24" ht="13.5" x14ac:dyDescent="0.35">
      <c r="A551" s="18">
        <v>103062</v>
      </c>
      <c r="B551" s="19" t="s">
        <v>144</v>
      </c>
      <c r="C551" s="19">
        <v>18</v>
      </c>
      <c r="D551" s="19">
        <v>101</v>
      </c>
      <c r="E551" s="19">
        <v>353</v>
      </c>
      <c r="F551" s="19">
        <v>176.98</v>
      </c>
      <c r="G551" s="19">
        <v>0</v>
      </c>
      <c r="H551" s="19">
        <v>176.98</v>
      </c>
      <c r="I551" s="20">
        <v>176.98</v>
      </c>
      <c r="J551" s="19">
        <f t="shared" si="65"/>
        <v>0</v>
      </c>
      <c r="K551" s="19">
        <f t="shared" si="66"/>
        <v>0</v>
      </c>
      <c r="L551" s="19">
        <v>-3.0300000000000001E-3</v>
      </c>
      <c r="M551" s="19">
        <v>-3.0400000000000002E-3</v>
      </c>
      <c r="N551" s="19">
        <v>-4.15E-3</v>
      </c>
      <c r="O551" s="19">
        <v>-4.8900000000000002E-3</v>
      </c>
      <c r="P551" s="19">
        <v>-5.1000000000000004E-3</v>
      </c>
      <c r="Q551" s="19">
        <v>-4.8500000000000001E-3</v>
      </c>
      <c r="R551" s="19"/>
      <c r="S551" s="19">
        <f t="shared" si="67"/>
        <v>0</v>
      </c>
      <c r="T551" s="19">
        <f t="shared" si="68"/>
        <v>0</v>
      </c>
      <c r="U551" s="19">
        <f t="shared" si="69"/>
        <v>0</v>
      </c>
      <c r="V551" s="19">
        <f t="shared" si="70"/>
        <v>0</v>
      </c>
      <c r="W551" s="19">
        <f t="shared" si="71"/>
        <v>0</v>
      </c>
      <c r="X551" s="21">
        <f t="shared" si="72"/>
        <v>0</v>
      </c>
    </row>
    <row r="552" spans="1:24" ht="13.5" x14ac:dyDescent="0.35">
      <c r="A552" s="18">
        <v>103066</v>
      </c>
      <c r="B552" s="19" t="s">
        <v>145</v>
      </c>
      <c r="C552" s="19">
        <v>13.8</v>
      </c>
      <c r="D552" s="19">
        <v>101</v>
      </c>
      <c r="E552" s="19">
        <v>353</v>
      </c>
      <c r="F552" s="19">
        <v>21.76</v>
      </c>
      <c r="G552" s="19">
        <v>0</v>
      </c>
      <c r="H552" s="19">
        <v>21.76</v>
      </c>
      <c r="I552" s="20">
        <v>21.76</v>
      </c>
      <c r="J552" s="19">
        <f t="shared" si="65"/>
        <v>0</v>
      </c>
      <c r="K552" s="19">
        <f t="shared" si="66"/>
        <v>0</v>
      </c>
      <c r="L552" s="19">
        <v>-3.0300000000000001E-3</v>
      </c>
      <c r="M552" s="19">
        <v>-3.0400000000000002E-3</v>
      </c>
      <c r="N552" s="19">
        <v>-4.15E-3</v>
      </c>
      <c r="O552" s="19">
        <v>-4.8900000000000002E-3</v>
      </c>
      <c r="P552" s="19">
        <v>-5.1000000000000004E-3</v>
      </c>
      <c r="Q552" s="19">
        <v>-4.8500000000000001E-3</v>
      </c>
      <c r="R552" s="19"/>
      <c r="S552" s="19">
        <f t="shared" si="67"/>
        <v>0</v>
      </c>
      <c r="T552" s="19">
        <f t="shared" si="68"/>
        <v>0</v>
      </c>
      <c r="U552" s="19">
        <f t="shared" si="69"/>
        <v>0</v>
      </c>
      <c r="V552" s="19">
        <f t="shared" si="70"/>
        <v>0</v>
      </c>
      <c r="W552" s="19">
        <f t="shared" si="71"/>
        <v>0</v>
      </c>
      <c r="X552" s="21">
        <f t="shared" si="72"/>
        <v>0</v>
      </c>
    </row>
    <row r="553" spans="1:24" ht="13.5" x14ac:dyDescent="0.35">
      <c r="A553" s="18">
        <v>103067</v>
      </c>
      <c r="B553" s="19" t="s">
        <v>146</v>
      </c>
      <c r="C553" s="19">
        <v>12.5</v>
      </c>
      <c r="D553" s="19">
        <v>101</v>
      </c>
      <c r="E553" s="19">
        <v>353</v>
      </c>
      <c r="F553" s="19">
        <v>24.5</v>
      </c>
      <c r="G553" s="19">
        <v>0</v>
      </c>
      <c r="H553" s="19">
        <v>24.5</v>
      </c>
      <c r="I553" s="20">
        <v>24.5</v>
      </c>
      <c r="J553" s="19">
        <f t="shared" si="65"/>
        <v>0</v>
      </c>
      <c r="K553" s="19">
        <f t="shared" si="66"/>
        <v>0</v>
      </c>
      <c r="L553" s="19">
        <v>-3.0300000000000001E-3</v>
      </c>
      <c r="M553" s="19">
        <v>-3.0400000000000002E-3</v>
      </c>
      <c r="N553" s="19">
        <v>-4.15E-3</v>
      </c>
      <c r="O553" s="19">
        <v>-4.8900000000000002E-3</v>
      </c>
      <c r="P553" s="19">
        <v>-5.1000000000000004E-3</v>
      </c>
      <c r="Q553" s="19">
        <v>-4.8500000000000001E-3</v>
      </c>
      <c r="R553" s="19"/>
      <c r="S553" s="19">
        <f t="shared" si="67"/>
        <v>0</v>
      </c>
      <c r="T553" s="19">
        <f t="shared" si="68"/>
        <v>0</v>
      </c>
      <c r="U553" s="19">
        <f t="shared" si="69"/>
        <v>0</v>
      </c>
      <c r="V553" s="19">
        <f t="shared" si="70"/>
        <v>0</v>
      </c>
      <c r="W553" s="19">
        <f t="shared" si="71"/>
        <v>0</v>
      </c>
      <c r="X553" s="21">
        <f t="shared" si="72"/>
        <v>0</v>
      </c>
    </row>
    <row r="554" spans="1:24" ht="13.5" x14ac:dyDescent="0.35">
      <c r="A554" s="18">
        <v>103069</v>
      </c>
      <c r="B554" s="19" t="s">
        <v>147</v>
      </c>
      <c r="C554" s="19">
        <v>13.2</v>
      </c>
      <c r="D554" s="19">
        <v>101</v>
      </c>
      <c r="E554" s="19">
        <v>364</v>
      </c>
      <c r="F554" s="19">
        <v>0</v>
      </c>
      <c r="G554" s="19">
        <v>0</v>
      </c>
      <c r="H554" s="19">
        <v>0</v>
      </c>
      <c r="I554" s="20">
        <v>0</v>
      </c>
      <c r="J554" s="19">
        <f t="shared" si="65"/>
        <v>0</v>
      </c>
      <c r="K554" s="19">
        <f t="shared" si="66"/>
        <v>0</v>
      </c>
      <c r="L554" s="19">
        <v>-3.0300000000000001E-3</v>
      </c>
      <c r="M554" s="19">
        <v>-3.0400000000000002E-3</v>
      </c>
      <c r="N554" s="19">
        <v>-4.15E-3</v>
      </c>
      <c r="O554" s="19">
        <v>-4.8900000000000002E-3</v>
      </c>
      <c r="P554" s="19">
        <v>-5.1000000000000004E-3</v>
      </c>
      <c r="Q554" s="19">
        <v>-4.8500000000000001E-3</v>
      </c>
      <c r="R554" s="19"/>
      <c r="S554" s="19">
        <f t="shared" si="67"/>
        <v>0</v>
      </c>
      <c r="T554" s="19">
        <f t="shared" si="68"/>
        <v>0</v>
      </c>
      <c r="U554" s="19">
        <f t="shared" si="69"/>
        <v>0</v>
      </c>
      <c r="V554" s="19">
        <f t="shared" si="70"/>
        <v>0</v>
      </c>
      <c r="W554" s="19">
        <f t="shared" si="71"/>
        <v>0</v>
      </c>
      <c r="X554" s="21">
        <f t="shared" si="72"/>
        <v>0</v>
      </c>
    </row>
    <row r="555" spans="1:24" ht="13.5" x14ac:dyDescent="0.35">
      <c r="A555" s="18">
        <v>103070</v>
      </c>
      <c r="B555" s="19" t="s">
        <v>148</v>
      </c>
      <c r="C555" s="19">
        <v>12.5</v>
      </c>
      <c r="D555" s="19">
        <v>101</v>
      </c>
      <c r="E555" s="19">
        <v>384</v>
      </c>
      <c r="F555" s="19">
        <v>24.5</v>
      </c>
      <c r="G555" s="19">
        <v>0</v>
      </c>
      <c r="H555" s="19">
        <v>24.5</v>
      </c>
      <c r="I555" s="20">
        <v>24.5</v>
      </c>
      <c r="J555" s="19">
        <f t="shared" si="65"/>
        <v>0</v>
      </c>
      <c r="K555" s="19">
        <f t="shared" si="66"/>
        <v>0</v>
      </c>
      <c r="L555" s="19">
        <v>-3.0300000000000001E-3</v>
      </c>
      <c r="M555" s="19">
        <v>-3.0400000000000002E-3</v>
      </c>
      <c r="N555" s="19">
        <v>-4.15E-3</v>
      </c>
      <c r="O555" s="19">
        <v>-4.8900000000000002E-3</v>
      </c>
      <c r="P555" s="19">
        <v>-5.1000000000000004E-3</v>
      </c>
      <c r="Q555" s="19">
        <v>-4.8500000000000001E-3</v>
      </c>
      <c r="R555" s="19"/>
      <c r="S555" s="19">
        <f t="shared" si="67"/>
        <v>0</v>
      </c>
      <c r="T555" s="19">
        <f t="shared" si="68"/>
        <v>0</v>
      </c>
      <c r="U555" s="19">
        <f t="shared" si="69"/>
        <v>0</v>
      </c>
      <c r="V555" s="19">
        <f t="shared" si="70"/>
        <v>0</v>
      </c>
      <c r="W555" s="19">
        <f t="shared" si="71"/>
        <v>0</v>
      </c>
      <c r="X555" s="21">
        <f t="shared" si="72"/>
        <v>0</v>
      </c>
    </row>
    <row r="556" spans="1:24" ht="13.5" x14ac:dyDescent="0.35">
      <c r="A556" s="18">
        <v>103076</v>
      </c>
      <c r="B556" s="19" t="s">
        <v>149</v>
      </c>
      <c r="C556" s="19">
        <v>4.16</v>
      </c>
      <c r="D556" s="19">
        <v>101</v>
      </c>
      <c r="E556" s="19">
        <v>354</v>
      </c>
      <c r="F556" s="19">
        <v>0</v>
      </c>
      <c r="G556" s="19">
        <v>0</v>
      </c>
      <c r="H556" s="19">
        <v>0</v>
      </c>
      <c r="I556" s="20">
        <v>0</v>
      </c>
      <c r="J556" s="19">
        <f t="shared" si="65"/>
        <v>0</v>
      </c>
      <c r="K556" s="19">
        <f t="shared" si="66"/>
        <v>0</v>
      </c>
      <c r="L556" s="19">
        <v>-3.0300000000000001E-3</v>
      </c>
      <c r="M556" s="19">
        <v>-3.0400000000000002E-3</v>
      </c>
      <c r="N556" s="19">
        <v>-4.15E-3</v>
      </c>
      <c r="O556" s="19">
        <v>-4.8900000000000002E-3</v>
      </c>
      <c r="P556" s="19">
        <v>-5.1000000000000004E-3</v>
      </c>
      <c r="Q556" s="19">
        <v>-4.8500000000000001E-3</v>
      </c>
      <c r="R556" s="19"/>
      <c r="S556" s="19">
        <f t="shared" si="67"/>
        <v>0</v>
      </c>
      <c r="T556" s="19">
        <f t="shared" si="68"/>
        <v>0</v>
      </c>
      <c r="U556" s="19">
        <f t="shared" si="69"/>
        <v>0</v>
      </c>
      <c r="V556" s="19">
        <f t="shared" si="70"/>
        <v>0</v>
      </c>
      <c r="W556" s="19">
        <f t="shared" si="71"/>
        <v>0</v>
      </c>
      <c r="X556" s="21">
        <f t="shared" si="72"/>
        <v>0</v>
      </c>
    </row>
    <row r="557" spans="1:24" ht="13.5" x14ac:dyDescent="0.35">
      <c r="A557" s="18">
        <v>103077</v>
      </c>
      <c r="B557" s="19" t="s">
        <v>150</v>
      </c>
      <c r="C557" s="19">
        <v>4.16</v>
      </c>
      <c r="D557" s="19">
        <v>101</v>
      </c>
      <c r="E557" s="19">
        <v>352</v>
      </c>
      <c r="F557" s="19">
        <v>0</v>
      </c>
      <c r="G557" s="19">
        <v>0</v>
      </c>
      <c r="H557" s="19">
        <v>0</v>
      </c>
      <c r="I557" s="20">
        <v>0</v>
      </c>
      <c r="J557" s="19">
        <f t="shared" si="65"/>
        <v>0</v>
      </c>
      <c r="K557" s="19">
        <f t="shared" si="66"/>
        <v>0</v>
      </c>
      <c r="L557" s="19">
        <v>-3.0300000000000001E-3</v>
      </c>
      <c r="M557" s="19">
        <v>-3.0400000000000002E-3</v>
      </c>
      <c r="N557" s="19">
        <v>-4.15E-3</v>
      </c>
      <c r="O557" s="19">
        <v>-4.8900000000000002E-3</v>
      </c>
      <c r="P557" s="19">
        <v>-5.1000000000000004E-3</v>
      </c>
      <c r="Q557" s="19">
        <v>-4.8500000000000001E-3</v>
      </c>
      <c r="R557" s="19"/>
      <c r="S557" s="19">
        <f t="shared" si="67"/>
        <v>0</v>
      </c>
      <c r="T557" s="19">
        <f t="shared" si="68"/>
        <v>0</v>
      </c>
      <c r="U557" s="19">
        <f t="shared" si="69"/>
        <v>0</v>
      </c>
      <c r="V557" s="19">
        <f t="shared" si="70"/>
        <v>0</v>
      </c>
      <c r="W557" s="19">
        <f t="shared" si="71"/>
        <v>0</v>
      </c>
      <c r="X557" s="21">
        <f t="shared" si="72"/>
        <v>0</v>
      </c>
    </row>
    <row r="558" spans="1:24" ht="13.5" x14ac:dyDescent="0.35">
      <c r="A558" s="18">
        <v>103079</v>
      </c>
      <c r="B558" s="19" t="s">
        <v>151</v>
      </c>
      <c r="C558" s="19">
        <v>2.2999999999999998</v>
      </c>
      <c r="D558" s="19">
        <v>101</v>
      </c>
      <c r="E558" s="19">
        <v>374</v>
      </c>
      <c r="F558" s="19">
        <v>0</v>
      </c>
      <c r="G558" s="19">
        <v>0</v>
      </c>
      <c r="H558" s="19">
        <v>0</v>
      </c>
      <c r="I558" s="20">
        <v>0</v>
      </c>
      <c r="J558" s="19">
        <f t="shared" si="65"/>
        <v>0</v>
      </c>
      <c r="K558" s="19">
        <f t="shared" si="66"/>
        <v>0</v>
      </c>
      <c r="L558" s="19">
        <v>-3.0300000000000001E-3</v>
      </c>
      <c r="M558" s="19">
        <v>-3.0400000000000002E-3</v>
      </c>
      <c r="N558" s="19">
        <v>-4.15E-3</v>
      </c>
      <c r="O558" s="19">
        <v>-4.8900000000000002E-3</v>
      </c>
      <c r="P558" s="19">
        <v>-5.1000000000000004E-3</v>
      </c>
      <c r="Q558" s="19">
        <v>-4.8500000000000001E-3</v>
      </c>
      <c r="R558" s="19"/>
      <c r="S558" s="19">
        <f t="shared" si="67"/>
        <v>0</v>
      </c>
      <c r="T558" s="19">
        <f t="shared" si="68"/>
        <v>0</v>
      </c>
      <c r="U558" s="19">
        <f t="shared" si="69"/>
        <v>0</v>
      </c>
      <c r="V558" s="19">
        <f t="shared" si="70"/>
        <v>0</v>
      </c>
      <c r="W558" s="19">
        <f t="shared" si="71"/>
        <v>0</v>
      </c>
      <c r="X558" s="21">
        <f t="shared" si="72"/>
        <v>0</v>
      </c>
    </row>
    <row r="559" spans="1:24" ht="13.5" x14ac:dyDescent="0.35">
      <c r="A559" s="18">
        <v>103090</v>
      </c>
      <c r="B559" s="19" t="s">
        <v>152</v>
      </c>
      <c r="C559" s="19">
        <v>0.69</v>
      </c>
      <c r="D559" s="19">
        <v>101</v>
      </c>
      <c r="E559" s="19">
        <v>364</v>
      </c>
      <c r="F559" s="19">
        <v>0</v>
      </c>
      <c r="G559" s="19">
        <v>0</v>
      </c>
      <c r="H559" s="19">
        <v>0</v>
      </c>
      <c r="I559" s="20">
        <v>0</v>
      </c>
      <c r="J559" s="19">
        <f t="shared" si="65"/>
        <v>0</v>
      </c>
      <c r="K559" s="19">
        <f t="shared" si="66"/>
        <v>0</v>
      </c>
      <c r="L559" s="19">
        <v>-3.0300000000000001E-3</v>
      </c>
      <c r="M559" s="19">
        <v>-3.0400000000000002E-3</v>
      </c>
      <c r="N559" s="19">
        <v>-4.15E-3</v>
      </c>
      <c r="O559" s="19">
        <v>-4.8900000000000002E-3</v>
      </c>
      <c r="P559" s="19">
        <v>-5.1000000000000004E-3</v>
      </c>
      <c r="Q559" s="19">
        <v>-4.8500000000000001E-3</v>
      </c>
      <c r="R559" s="19"/>
      <c r="S559" s="19">
        <f t="shared" si="67"/>
        <v>0</v>
      </c>
      <c r="T559" s="19">
        <f t="shared" si="68"/>
        <v>0</v>
      </c>
      <c r="U559" s="19">
        <f t="shared" si="69"/>
        <v>0</v>
      </c>
      <c r="V559" s="19">
        <f t="shared" si="70"/>
        <v>0</v>
      </c>
      <c r="W559" s="19">
        <f t="shared" si="71"/>
        <v>0</v>
      </c>
      <c r="X559" s="21">
        <f t="shared" si="72"/>
        <v>0</v>
      </c>
    </row>
    <row r="560" spans="1:24" ht="13.5" x14ac:dyDescent="0.35">
      <c r="A560" s="18">
        <v>103093</v>
      </c>
      <c r="B560" s="19" t="s">
        <v>153</v>
      </c>
      <c r="C560" s="19">
        <v>0.69</v>
      </c>
      <c r="D560" s="19">
        <v>101</v>
      </c>
      <c r="E560" s="19">
        <v>364</v>
      </c>
      <c r="F560" s="19">
        <v>0</v>
      </c>
      <c r="G560" s="19">
        <v>0</v>
      </c>
      <c r="H560" s="19">
        <v>0</v>
      </c>
      <c r="I560" s="20">
        <v>0</v>
      </c>
      <c r="J560" s="19">
        <f t="shared" si="65"/>
        <v>0</v>
      </c>
      <c r="K560" s="19">
        <f t="shared" si="66"/>
        <v>0</v>
      </c>
      <c r="L560" s="19">
        <v>-3.0300000000000001E-3</v>
      </c>
      <c r="M560" s="19">
        <v>-3.0400000000000002E-3</v>
      </c>
      <c r="N560" s="19">
        <v>-4.15E-3</v>
      </c>
      <c r="O560" s="19">
        <v>-4.8900000000000002E-3</v>
      </c>
      <c r="P560" s="19">
        <v>-5.1000000000000004E-3</v>
      </c>
      <c r="Q560" s="19">
        <v>-4.8500000000000001E-3</v>
      </c>
      <c r="R560" s="19"/>
      <c r="S560" s="19">
        <f t="shared" si="67"/>
        <v>0</v>
      </c>
      <c r="T560" s="19">
        <f t="shared" si="68"/>
        <v>0</v>
      </c>
      <c r="U560" s="19">
        <f t="shared" si="69"/>
        <v>0</v>
      </c>
      <c r="V560" s="19">
        <f t="shared" si="70"/>
        <v>0</v>
      </c>
      <c r="W560" s="19">
        <f t="shared" si="71"/>
        <v>0</v>
      </c>
      <c r="X560" s="21">
        <f t="shared" si="72"/>
        <v>0</v>
      </c>
    </row>
    <row r="561" spans="1:24" ht="13.5" x14ac:dyDescent="0.35">
      <c r="A561" s="18">
        <v>103107</v>
      </c>
      <c r="B561" s="19" t="s">
        <v>154</v>
      </c>
      <c r="C561" s="19">
        <v>6.9</v>
      </c>
      <c r="D561" s="19">
        <v>101</v>
      </c>
      <c r="E561" s="19">
        <v>364</v>
      </c>
      <c r="F561" s="19">
        <v>3.01</v>
      </c>
      <c r="G561" s="19">
        <v>0</v>
      </c>
      <c r="H561" s="19">
        <v>3.01</v>
      </c>
      <c r="I561" s="20">
        <v>3.01</v>
      </c>
      <c r="J561" s="19">
        <f t="shared" si="65"/>
        <v>0</v>
      </c>
      <c r="K561" s="19">
        <f t="shared" si="66"/>
        <v>0</v>
      </c>
      <c r="L561" s="19">
        <v>-3.0300000000000001E-3</v>
      </c>
      <c r="M561" s="19">
        <v>-3.0400000000000002E-3</v>
      </c>
      <c r="N561" s="19">
        <v>-4.15E-3</v>
      </c>
      <c r="O561" s="19">
        <v>-4.8900000000000002E-3</v>
      </c>
      <c r="P561" s="19">
        <v>-5.1000000000000004E-3</v>
      </c>
      <c r="Q561" s="19">
        <v>-4.8500000000000001E-3</v>
      </c>
      <c r="R561" s="19"/>
      <c r="S561" s="19">
        <f t="shared" si="67"/>
        <v>0</v>
      </c>
      <c r="T561" s="19">
        <f t="shared" si="68"/>
        <v>0</v>
      </c>
      <c r="U561" s="19">
        <f t="shared" si="69"/>
        <v>0</v>
      </c>
      <c r="V561" s="19">
        <f t="shared" si="70"/>
        <v>0</v>
      </c>
      <c r="W561" s="19">
        <f t="shared" si="71"/>
        <v>0</v>
      </c>
      <c r="X561" s="21">
        <f t="shared" si="72"/>
        <v>0</v>
      </c>
    </row>
    <row r="562" spans="1:24" ht="13.5" x14ac:dyDescent="0.35">
      <c r="A562" s="18">
        <v>103119</v>
      </c>
      <c r="B562" s="19" t="s">
        <v>155</v>
      </c>
      <c r="C562" s="19">
        <v>6.9</v>
      </c>
      <c r="D562" s="19">
        <v>101</v>
      </c>
      <c r="E562" s="19">
        <v>364</v>
      </c>
      <c r="F562" s="19">
        <v>18.54</v>
      </c>
      <c r="G562" s="19">
        <v>0</v>
      </c>
      <c r="H562" s="19">
        <v>18.54</v>
      </c>
      <c r="I562" s="20">
        <v>18.54</v>
      </c>
      <c r="J562" s="19">
        <f t="shared" si="65"/>
        <v>0</v>
      </c>
      <c r="K562" s="19">
        <f t="shared" si="66"/>
        <v>0</v>
      </c>
      <c r="L562" s="19">
        <v>-3.0300000000000001E-3</v>
      </c>
      <c r="M562" s="19">
        <v>-3.0400000000000002E-3</v>
      </c>
      <c r="N562" s="19">
        <v>-4.15E-3</v>
      </c>
      <c r="O562" s="19">
        <v>-4.8900000000000002E-3</v>
      </c>
      <c r="P562" s="19">
        <v>-5.1000000000000004E-3</v>
      </c>
      <c r="Q562" s="19">
        <v>-4.8500000000000001E-3</v>
      </c>
      <c r="R562" s="19"/>
      <c r="S562" s="19">
        <f t="shared" si="67"/>
        <v>0</v>
      </c>
      <c r="T562" s="19">
        <f t="shared" si="68"/>
        <v>0</v>
      </c>
      <c r="U562" s="19">
        <f t="shared" si="69"/>
        <v>0</v>
      </c>
      <c r="V562" s="19">
        <f t="shared" si="70"/>
        <v>0</v>
      </c>
      <c r="W562" s="19">
        <f t="shared" si="71"/>
        <v>0</v>
      </c>
      <c r="X562" s="21">
        <f t="shared" si="72"/>
        <v>0</v>
      </c>
    </row>
    <row r="563" spans="1:24" ht="13.5" x14ac:dyDescent="0.35">
      <c r="A563" s="18">
        <v>103123</v>
      </c>
      <c r="B563" s="19" t="s">
        <v>156</v>
      </c>
      <c r="C563" s="19">
        <v>13.8</v>
      </c>
      <c r="D563" s="19">
        <v>101</v>
      </c>
      <c r="E563" s="19">
        <v>364</v>
      </c>
      <c r="F563" s="19">
        <v>15.76</v>
      </c>
      <c r="G563" s="19">
        <v>0</v>
      </c>
      <c r="H563" s="19">
        <v>15.76</v>
      </c>
      <c r="I563" s="20">
        <v>15.76</v>
      </c>
      <c r="J563" s="19">
        <f t="shared" si="65"/>
        <v>0</v>
      </c>
      <c r="K563" s="19">
        <f t="shared" si="66"/>
        <v>0</v>
      </c>
      <c r="L563" s="19">
        <v>-3.0300000000000001E-3</v>
      </c>
      <c r="M563" s="19">
        <v>-3.0400000000000002E-3</v>
      </c>
      <c r="N563" s="19">
        <v>-4.15E-3</v>
      </c>
      <c r="O563" s="19">
        <v>-4.8900000000000002E-3</v>
      </c>
      <c r="P563" s="19">
        <v>-5.1000000000000004E-3</v>
      </c>
      <c r="Q563" s="19">
        <v>-4.8500000000000001E-3</v>
      </c>
      <c r="R563" s="19"/>
      <c r="S563" s="19">
        <f t="shared" si="67"/>
        <v>0</v>
      </c>
      <c r="T563" s="19">
        <f t="shared" si="68"/>
        <v>0</v>
      </c>
      <c r="U563" s="19">
        <f t="shared" si="69"/>
        <v>0</v>
      </c>
      <c r="V563" s="19">
        <f t="shared" si="70"/>
        <v>0</v>
      </c>
      <c r="W563" s="19">
        <f t="shared" si="71"/>
        <v>0</v>
      </c>
      <c r="X563" s="21">
        <f t="shared" si="72"/>
        <v>0</v>
      </c>
    </row>
    <row r="564" spans="1:24" ht="13.5" x14ac:dyDescent="0.35">
      <c r="A564" s="18">
        <v>103124</v>
      </c>
      <c r="B564" s="19" t="s">
        <v>157</v>
      </c>
      <c r="C564" s="19">
        <v>6.9</v>
      </c>
      <c r="D564" s="19">
        <v>101</v>
      </c>
      <c r="E564" s="19">
        <v>364</v>
      </c>
      <c r="F564" s="19">
        <v>23.33</v>
      </c>
      <c r="G564" s="19">
        <v>0</v>
      </c>
      <c r="H564" s="19">
        <v>23.33</v>
      </c>
      <c r="I564" s="20">
        <v>23.33</v>
      </c>
      <c r="J564" s="19">
        <f t="shared" si="65"/>
        <v>0</v>
      </c>
      <c r="K564" s="19">
        <f t="shared" si="66"/>
        <v>0</v>
      </c>
      <c r="L564" s="19">
        <v>-3.0300000000000001E-3</v>
      </c>
      <c r="M564" s="19">
        <v>-3.0400000000000002E-3</v>
      </c>
      <c r="N564" s="19">
        <v>-4.15E-3</v>
      </c>
      <c r="O564" s="19">
        <v>-4.8900000000000002E-3</v>
      </c>
      <c r="P564" s="19">
        <v>-5.1000000000000004E-3</v>
      </c>
      <c r="Q564" s="19">
        <v>-4.8500000000000001E-3</v>
      </c>
      <c r="R564" s="19"/>
      <c r="S564" s="19">
        <f t="shared" si="67"/>
        <v>0</v>
      </c>
      <c r="T564" s="19">
        <f t="shared" si="68"/>
        <v>0</v>
      </c>
      <c r="U564" s="19">
        <f t="shared" si="69"/>
        <v>0</v>
      </c>
      <c r="V564" s="19">
        <f t="shared" si="70"/>
        <v>0</v>
      </c>
      <c r="W564" s="19">
        <f t="shared" si="71"/>
        <v>0</v>
      </c>
      <c r="X564" s="21">
        <f t="shared" si="72"/>
        <v>0</v>
      </c>
    </row>
    <row r="565" spans="1:24" ht="13.5" x14ac:dyDescent="0.35">
      <c r="A565" s="18">
        <v>103129</v>
      </c>
      <c r="B565" s="19" t="s">
        <v>158</v>
      </c>
      <c r="C565" s="19">
        <v>0.48</v>
      </c>
      <c r="D565" s="19">
        <v>101</v>
      </c>
      <c r="E565" s="19">
        <v>381</v>
      </c>
      <c r="F565" s="19">
        <v>0</v>
      </c>
      <c r="G565" s="19">
        <v>0</v>
      </c>
      <c r="H565" s="19">
        <v>0</v>
      </c>
      <c r="I565" s="20">
        <v>0</v>
      </c>
      <c r="J565" s="19">
        <f t="shared" si="65"/>
        <v>0</v>
      </c>
      <c r="K565" s="19">
        <f t="shared" si="66"/>
        <v>0</v>
      </c>
      <c r="L565" s="19">
        <v>-3.0300000000000001E-3</v>
      </c>
      <c r="M565" s="19">
        <v>-3.0400000000000002E-3</v>
      </c>
      <c r="N565" s="19">
        <v>-4.15E-3</v>
      </c>
      <c r="O565" s="19">
        <v>-4.8900000000000002E-3</v>
      </c>
      <c r="P565" s="19">
        <v>-5.1000000000000004E-3</v>
      </c>
      <c r="Q565" s="19">
        <v>-4.8500000000000001E-3</v>
      </c>
      <c r="R565" s="19"/>
      <c r="S565" s="19">
        <f t="shared" si="67"/>
        <v>0</v>
      </c>
      <c r="T565" s="19">
        <f t="shared" si="68"/>
        <v>0</v>
      </c>
      <c r="U565" s="19">
        <f t="shared" si="69"/>
        <v>0</v>
      </c>
      <c r="V565" s="19">
        <f t="shared" si="70"/>
        <v>0</v>
      </c>
      <c r="W565" s="19">
        <f t="shared" si="71"/>
        <v>0</v>
      </c>
      <c r="X565" s="21">
        <f t="shared" si="72"/>
        <v>0</v>
      </c>
    </row>
    <row r="566" spans="1:24" ht="13.5" x14ac:dyDescent="0.35">
      <c r="A566" s="18">
        <v>103131</v>
      </c>
      <c r="B566" s="19" t="s">
        <v>159</v>
      </c>
      <c r="C566" s="19">
        <v>6.9</v>
      </c>
      <c r="D566" s="19">
        <v>101</v>
      </c>
      <c r="E566" s="19">
        <v>364</v>
      </c>
      <c r="F566" s="19">
        <v>6.18</v>
      </c>
      <c r="G566" s="19">
        <v>0</v>
      </c>
      <c r="H566" s="19">
        <v>6.18</v>
      </c>
      <c r="I566" s="20">
        <v>6.18</v>
      </c>
      <c r="J566" s="19">
        <f t="shared" si="65"/>
        <v>0</v>
      </c>
      <c r="K566" s="19">
        <f t="shared" si="66"/>
        <v>0</v>
      </c>
      <c r="L566" s="19">
        <v>-3.0300000000000001E-3</v>
      </c>
      <c r="M566" s="19">
        <v>-3.0400000000000002E-3</v>
      </c>
      <c r="N566" s="19">
        <v>-4.15E-3</v>
      </c>
      <c r="O566" s="19">
        <v>-4.8900000000000002E-3</v>
      </c>
      <c r="P566" s="19">
        <v>-5.1000000000000004E-3</v>
      </c>
      <c r="Q566" s="19">
        <v>-4.8500000000000001E-3</v>
      </c>
      <c r="R566" s="19"/>
      <c r="S566" s="19">
        <f t="shared" si="67"/>
        <v>0</v>
      </c>
      <c r="T566" s="19">
        <f t="shared" si="68"/>
        <v>0</v>
      </c>
      <c r="U566" s="19">
        <f t="shared" si="69"/>
        <v>0</v>
      </c>
      <c r="V566" s="19">
        <f t="shared" si="70"/>
        <v>0</v>
      </c>
      <c r="W566" s="19">
        <f t="shared" si="71"/>
        <v>0</v>
      </c>
      <c r="X566" s="21">
        <f t="shared" si="72"/>
        <v>0</v>
      </c>
    </row>
    <row r="567" spans="1:24" ht="13.5" x14ac:dyDescent="0.35">
      <c r="A567" s="18">
        <v>103132</v>
      </c>
      <c r="B567" s="19" t="s">
        <v>160</v>
      </c>
      <c r="C567" s="19">
        <v>6.9</v>
      </c>
      <c r="D567" s="19">
        <v>101</v>
      </c>
      <c r="E567" s="19">
        <v>364</v>
      </c>
      <c r="F567" s="19">
        <v>6.33</v>
      </c>
      <c r="G567" s="19">
        <v>0</v>
      </c>
      <c r="H567" s="19">
        <v>6.33</v>
      </c>
      <c r="I567" s="20">
        <v>6.33</v>
      </c>
      <c r="J567" s="19">
        <f t="shared" si="65"/>
        <v>0</v>
      </c>
      <c r="K567" s="19">
        <f t="shared" si="66"/>
        <v>0</v>
      </c>
      <c r="L567" s="19">
        <v>-3.0300000000000001E-3</v>
      </c>
      <c r="M567" s="19">
        <v>-3.0400000000000002E-3</v>
      </c>
      <c r="N567" s="19">
        <v>-4.15E-3</v>
      </c>
      <c r="O567" s="19">
        <v>-4.8900000000000002E-3</v>
      </c>
      <c r="P567" s="19">
        <v>-5.1000000000000004E-3</v>
      </c>
      <c r="Q567" s="19">
        <v>-4.8500000000000001E-3</v>
      </c>
      <c r="R567" s="19"/>
      <c r="S567" s="19">
        <f t="shared" si="67"/>
        <v>0</v>
      </c>
      <c r="T567" s="19">
        <f t="shared" si="68"/>
        <v>0</v>
      </c>
      <c r="U567" s="19">
        <f t="shared" si="69"/>
        <v>0</v>
      </c>
      <c r="V567" s="19">
        <f t="shared" si="70"/>
        <v>0</v>
      </c>
      <c r="W567" s="19">
        <f t="shared" si="71"/>
        <v>0</v>
      </c>
      <c r="X567" s="21">
        <f t="shared" si="72"/>
        <v>0</v>
      </c>
    </row>
    <row r="568" spans="1:24" ht="13.5" x14ac:dyDescent="0.35">
      <c r="A568" s="18">
        <v>103133</v>
      </c>
      <c r="B568" s="19" t="s">
        <v>161</v>
      </c>
      <c r="C568" s="19">
        <v>6.9</v>
      </c>
      <c r="D568" s="19">
        <v>101</v>
      </c>
      <c r="E568" s="19">
        <v>363</v>
      </c>
      <c r="F568" s="19">
        <v>10.43</v>
      </c>
      <c r="G568" s="19">
        <v>0</v>
      </c>
      <c r="H568" s="19">
        <v>10.43</v>
      </c>
      <c r="I568" s="20">
        <v>10.43</v>
      </c>
      <c r="J568" s="19">
        <f t="shared" si="65"/>
        <v>0</v>
      </c>
      <c r="K568" s="19">
        <f t="shared" si="66"/>
        <v>0</v>
      </c>
      <c r="L568" s="19">
        <v>-3.0300000000000001E-3</v>
      </c>
      <c r="M568" s="19">
        <v>-3.0400000000000002E-3</v>
      </c>
      <c r="N568" s="19">
        <v>-4.15E-3</v>
      </c>
      <c r="O568" s="19">
        <v>-4.8900000000000002E-3</v>
      </c>
      <c r="P568" s="19">
        <v>-5.1000000000000004E-3</v>
      </c>
      <c r="Q568" s="19">
        <v>-4.8500000000000001E-3</v>
      </c>
      <c r="R568" s="19"/>
      <c r="S568" s="19">
        <f t="shared" si="67"/>
        <v>0</v>
      </c>
      <c r="T568" s="19">
        <f t="shared" si="68"/>
        <v>0</v>
      </c>
      <c r="U568" s="19">
        <f t="shared" si="69"/>
        <v>0</v>
      </c>
      <c r="V568" s="19">
        <f t="shared" si="70"/>
        <v>0</v>
      </c>
      <c r="W568" s="19">
        <f t="shared" si="71"/>
        <v>0</v>
      </c>
      <c r="X568" s="21">
        <f t="shared" si="72"/>
        <v>0</v>
      </c>
    </row>
    <row r="569" spans="1:24" ht="13.5" x14ac:dyDescent="0.35">
      <c r="A569" s="18">
        <v>103134</v>
      </c>
      <c r="B569" s="19" t="s">
        <v>162</v>
      </c>
      <c r="C569" s="19">
        <v>6.9</v>
      </c>
      <c r="D569" s="19">
        <v>101</v>
      </c>
      <c r="E569" s="19">
        <v>363</v>
      </c>
      <c r="F569" s="19">
        <v>10.43</v>
      </c>
      <c r="G569" s="19">
        <v>0</v>
      </c>
      <c r="H569" s="19">
        <v>10.43</v>
      </c>
      <c r="I569" s="20">
        <v>10.43</v>
      </c>
      <c r="J569" s="19">
        <f t="shared" si="65"/>
        <v>0</v>
      </c>
      <c r="K569" s="19">
        <f t="shared" si="66"/>
        <v>0</v>
      </c>
      <c r="L569" s="19">
        <v>-3.0300000000000001E-3</v>
      </c>
      <c r="M569" s="19">
        <v>-3.0400000000000002E-3</v>
      </c>
      <c r="N569" s="19">
        <v>-4.15E-3</v>
      </c>
      <c r="O569" s="19">
        <v>-4.8900000000000002E-3</v>
      </c>
      <c r="P569" s="19">
        <v>-5.1000000000000004E-3</v>
      </c>
      <c r="Q569" s="19">
        <v>-4.8500000000000001E-3</v>
      </c>
      <c r="R569" s="19"/>
      <c r="S569" s="19">
        <f t="shared" si="67"/>
        <v>0</v>
      </c>
      <c r="T569" s="19">
        <f t="shared" si="68"/>
        <v>0</v>
      </c>
      <c r="U569" s="19">
        <f t="shared" si="69"/>
        <v>0</v>
      </c>
      <c r="V569" s="19">
        <f t="shared" si="70"/>
        <v>0</v>
      </c>
      <c r="W569" s="19">
        <f t="shared" si="71"/>
        <v>0</v>
      </c>
      <c r="X569" s="21">
        <f t="shared" si="72"/>
        <v>0</v>
      </c>
    </row>
    <row r="570" spans="1:24" ht="13.5" x14ac:dyDescent="0.35">
      <c r="A570" s="18">
        <v>103135</v>
      </c>
      <c r="B570" s="19" t="s">
        <v>163</v>
      </c>
      <c r="C570" s="19">
        <v>6.9</v>
      </c>
      <c r="D570" s="19">
        <v>101</v>
      </c>
      <c r="E570" s="19">
        <v>363</v>
      </c>
      <c r="F570" s="19">
        <v>11.36</v>
      </c>
      <c r="G570" s="19">
        <v>0</v>
      </c>
      <c r="H570" s="19">
        <v>11.36</v>
      </c>
      <c r="I570" s="20">
        <v>11.36</v>
      </c>
      <c r="J570" s="19">
        <f t="shared" si="65"/>
        <v>0</v>
      </c>
      <c r="K570" s="19">
        <f t="shared" si="66"/>
        <v>0</v>
      </c>
      <c r="L570" s="19">
        <v>-3.0300000000000001E-3</v>
      </c>
      <c r="M570" s="19">
        <v>-3.0400000000000002E-3</v>
      </c>
      <c r="N570" s="19">
        <v>-4.15E-3</v>
      </c>
      <c r="O570" s="19">
        <v>-4.8900000000000002E-3</v>
      </c>
      <c r="P570" s="19">
        <v>-5.1000000000000004E-3</v>
      </c>
      <c r="Q570" s="19">
        <v>-4.8500000000000001E-3</v>
      </c>
      <c r="R570" s="19"/>
      <c r="S570" s="19">
        <f t="shared" si="67"/>
        <v>0</v>
      </c>
      <c r="T570" s="19">
        <f t="shared" si="68"/>
        <v>0</v>
      </c>
      <c r="U570" s="19">
        <f t="shared" si="69"/>
        <v>0</v>
      </c>
      <c r="V570" s="19">
        <f t="shared" si="70"/>
        <v>0</v>
      </c>
      <c r="W570" s="19">
        <f t="shared" si="71"/>
        <v>0</v>
      </c>
      <c r="X570" s="21">
        <f t="shared" si="72"/>
        <v>0</v>
      </c>
    </row>
    <row r="571" spans="1:24" ht="13.5" x14ac:dyDescent="0.35">
      <c r="A571" s="18">
        <v>103140</v>
      </c>
      <c r="B571" s="19" t="s">
        <v>164</v>
      </c>
      <c r="C571" s="19">
        <v>0.65</v>
      </c>
      <c r="D571" s="19">
        <v>101</v>
      </c>
      <c r="E571" s="19">
        <v>384</v>
      </c>
      <c r="F571" s="19">
        <v>0</v>
      </c>
      <c r="G571" s="19">
        <v>0</v>
      </c>
      <c r="H571" s="19">
        <v>0</v>
      </c>
      <c r="I571" s="20">
        <v>0</v>
      </c>
      <c r="J571" s="19">
        <f t="shared" si="65"/>
        <v>0</v>
      </c>
      <c r="K571" s="19">
        <f t="shared" si="66"/>
        <v>0</v>
      </c>
      <c r="L571" s="19">
        <v>-3.0300000000000001E-3</v>
      </c>
      <c r="M571" s="19">
        <v>-3.0400000000000002E-3</v>
      </c>
      <c r="N571" s="19">
        <v>-4.15E-3</v>
      </c>
      <c r="O571" s="19">
        <v>-4.8900000000000002E-3</v>
      </c>
      <c r="P571" s="19">
        <v>-5.1000000000000004E-3</v>
      </c>
      <c r="Q571" s="19">
        <v>-4.8500000000000001E-3</v>
      </c>
      <c r="R571" s="19"/>
      <c r="S571" s="19">
        <f t="shared" si="67"/>
        <v>0</v>
      </c>
      <c r="T571" s="19">
        <f t="shared" si="68"/>
        <v>0</v>
      </c>
      <c r="U571" s="19">
        <f t="shared" si="69"/>
        <v>0</v>
      </c>
      <c r="V571" s="19">
        <f t="shared" si="70"/>
        <v>0</v>
      </c>
      <c r="W571" s="19">
        <f t="shared" si="71"/>
        <v>0</v>
      </c>
      <c r="X571" s="21">
        <f t="shared" si="72"/>
        <v>0</v>
      </c>
    </row>
    <row r="572" spans="1:24" ht="13.5" x14ac:dyDescent="0.35">
      <c r="A572" s="18">
        <v>103141</v>
      </c>
      <c r="B572" s="19" t="s">
        <v>165</v>
      </c>
      <c r="C572" s="19">
        <v>2.2999999999999998</v>
      </c>
      <c r="D572" s="19">
        <v>101</v>
      </c>
      <c r="E572" s="19">
        <v>364</v>
      </c>
      <c r="F572" s="19">
        <v>9.5</v>
      </c>
      <c r="G572" s="19">
        <v>0</v>
      </c>
      <c r="H572" s="19">
        <v>9.5</v>
      </c>
      <c r="I572" s="20">
        <v>9.5</v>
      </c>
      <c r="J572" s="19">
        <f t="shared" si="65"/>
        <v>0</v>
      </c>
      <c r="K572" s="19">
        <f t="shared" si="66"/>
        <v>0</v>
      </c>
      <c r="L572" s="19">
        <v>-3.0300000000000001E-3</v>
      </c>
      <c r="M572" s="19">
        <v>-3.0400000000000002E-3</v>
      </c>
      <c r="N572" s="19">
        <v>-4.15E-3</v>
      </c>
      <c r="O572" s="19">
        <v>-4.8900000000000002E-3</v>
      </c>
      <c r="P572" s="19">
        <v>-5.1000000000000004E-3</v>
      </c>
      <c r="Q572" s="19">
        <v>-4.8500000000000001E-3</v>
      </c>
      <c r="R572" s="19"/>
      <c r="S572" s="19">
        <f t="shared" si="67"/>
        <v>0</v>
      </c>
      <c r="T572" s="19">
        <f t="shared" si="68"/>
        <v>0</v>
      </c>
      <c r="U572" s="19">
        <f t="shared" si="69"/>
        <v>0</v>
      </c>
      <c r="V572" s="19">
        <f t="shared" si="70"/>
        <v>0</v>
      </c>
      <c r="W572" s="19">
        <f t="shared" si="71"/>
        <v>0</v>
      </c>
      <c r="X572" s="21">
        <f t="shared" si="72"/>
        <v>0</v>
      </c>
    </row>
    <row r="573" spans="1:24" ht="13.5" x14ac:dyDescent="0.35">
      <c r="A573" s="18">
        <v>103143</v>
      </c>
      <c r="B573" s="19" t="s">
        <v>166</v>
      </c>
      <c r="C573" s="19">
        <v>12.5</v>
      </c>
      <c r="D573" s="19">
        <v>101</v>
      </c>
      <c r="E573" s="19">
        <v>364</v>
      </c>
      <c r="F573" s="19">
        <v>0</v>
      </c>
      <c r="G573" s="19">
        <v>0</v>
      </c>
      <c r="H573" s="19">
        <v>0</v>
      </c>
      <c r="I573" s="20">
        <v>0</v>
      </c>
      <c r="J573" s="19">
        <f t="shared" si="65"/>
        <v>0</v>
      </c>
      <c r="K573" s="19">
        <f t="shared" si="66"/>
        <v>0</v>
      </c>
      <c r="L573" s="19">
        <v>-3.0300000000000001E-3</v>
      </c>
      <c r="M573" s="19">
        <v>-3.0400000000000002E-3</v>
      </c>
      <c r="N573" s="19">
        <v>-4.15E-3</v>
      </c>
      <c r="O573" s="19">
        <v>-4.8900000000000002E-3</v>
      </c>
      <c r="P573" s="19">
        <v>-5.1000000000000004E-3</v>
      </c>
      <c r="Q573" s="19">
        <v>-4.8500000000000001E-3</v>
      </c>
      <c r="R573" s="19"/>
      <c r="S573" s="19">
        <f t="shared" si="67"/>
        <v>0</v>
      </c>
      <c r="T573" s="19">
        <f t="shared" si="68"/>
        <v>0</v>
      </c>
      <c r="U573" s="19">
        <f t="shared" si="69"/>
        <v>0</v>
      </c>
      <c r="V573" s="19">
        <f t="shared" si="70"/>
        <v>0</v>
      </c>
      <c r="W573" s="19">
        <f t="shared" si="71"/>
        <v>0</v>
      </c>
      <c r="X573" s="21">
        <f t="shared" si="72"/>
        <v>0</v>
      </c>
    </row>
    <row r="574" spans="1:24" ht="13.5" x14ac:dyDescent="0.35">
      <c r="A574" s="18">
        <v>103147</v>
      </c>
      <c r="B574" s="19" t="s">
        <v>167</v>
      </c>
      <c r="C574" s="19">
        <v>0.65</v>
      </c>
      <c r="D574" s="19">
        <v>101</v>
      </c>
      <c r="E574" s="19">
        <v>364</v>
      </c>
      <c r="F574" s="19">
        <v>0</v>
      </c>
      <c r="G574" s="19">
        <v>0</v>
      </c>
      <c r="H574" s="19">
        <v>0</v>
      </c>
      <c r="I574" s="20">
        <v>0</v>
      </c>
      <c r="J574" s="19">
        <f t="shared" si="65"/>
        <v>0</v>
      </c>
      <c r="K574" s="19">
        <f t="shared" si="66"/>
        <v>0</v>
      </c>
      <c r="L574" s="19">
        <v>-3.0300000000000001E-3</v>
      </c>
      <c r="M574" s="19">
        <v>-3.0400000000000002E-3</v>
      </c>
      <c r="N574" s="19">
        <v>-4.15E-3</v>
      </c>
      <c r="O574" s="19">
        <v>-4.8900000000000002E-3</v>
      </c>
      <c r="P574" s="19">
        <v>-5.1000000000000004E-3</v>
      </c>
      <c r="Q574" s="19">
        <v>-4.8500000000000001E-3</v>
      </c>
      <c r="R574" s="19"/>
      <c r="S574" s="19">
        <f t="shared" si="67"/>
        <v>0</v>
      </c>
      <c r="T574" s="19">
        <f t="shared" si="68"/>
        <v>0</v>
      </c>
      <c r="U574" s="19">
        <f t="shared" si="69"/>
        <v>0</v>
      </c>
      <c r="V574" s="19">
        <f t="shared" si="70"/>
        <v>0</v>
      </c>
      <c r="W574" s="19">
        <f t="shared" si="71"/>
        <v>0</v>
      </c>
      <c r="X574" s="21">
        <f t="shared" si="72"/>
        <v>0</v>
      </c>
    </row>
    <row r="575" spans="1:24" ht="13.5" x14ac:dyDescent="0.35">
      <c r="A575" s="18">
        <v>103152</v>
      </c>
      <c r="B575" s="19" t="s">
        <v>168</v>
      </c>
      <c r="C575" s="19">
        <v>0.69</v>
      </c>
      <c r="D575" s="19">
        <v>101</v>
      </c>
      <c r="E575" s="19">
        <v>353</v>
      </c>
      <c r="F575" s="19">
        <v>0</v>
      </c>
      <c r="G575" s="19">
        <v>0</v>
      </c>
      <c r="H575" s="19">
        <v>0</v>
      </c>
      <c r="I575" s="20">
        <v>0</v>
      </c>
      <c r="J575" s="19">
        <f t="shared" si="65"/>
        <v>0</v>
      </c>
      <c r="K575" s="19">
        <f t="shared" si="66"/>
        <v>0</v>
      </c>
      <c r="L575" s="19">
        <v>-3.0300000000000001E-3</v>
      </c>
      <c r="M575" s="19">
        <v>-3.0400000000000002E-3</v>
      </c>
      <c r="N575" s="19">
        <v>-4.15E-3</v>
      </c>
      <c r="O575" s="19">
        <v>-4.8900000000000002E-3</v>
      </c>
      <c r="P575" s="19">
        <v>-5.1000000000000004E-3</v>
      </c>
      <c r="Q575" s="19">
        <v>-4.8500000000000001E-3</v>
      </c>
      <c r="R575" s="19"/>
      <c r="S575" s="19">
        <f t="shared" si="67"/>
        <v>0</v>
      </c>
      <c r="T575" s="19">
        <f t="shared" si="68"/>
        <v>0</v>
      </c>
      <c r="U575" s="19">
        <f t="shared" si="69"/>
        <v>0</v>
      </c>
      <c r="V575" s="19">
        <f t="shared" si="70"/>
        <v>0</v>
      </c>
      <c r="W575" s="19">
        <f t="shared" si="71"/>
        <v>0</v>
      </c>
      <c r="X575" s="21">
        <f t="shared" si="72"/>
        <v>0</v>
      </c>
    </row>
    <row r="576" spans="1:24" ht="13.5" x14ac:dyDescent="0.35">
      <c r="A576" s="18">
        <v>103166</v>
      </c>
      <c r="B576" s="19" t="s">
        <v>169</v>
      </c>
      <c r="C576" s="19">
        <v>0.65</v>
      </c>
      <c r="D576" s="19">
        <v>101</v>
      </c>
      <c r="E576" s="19">
        <v>353</v>
      </c>
      <c r="F576" s="19">
        <v>0</v>
      </c>
      <c r="G576" s="19">
        <v>0</v>
      </c>
      <c r="H576" s="19">
        <v>0</v>
      </c>
      <c r="I576" s="20">
        <v>0</v>
      </c>
      <c r="J576" s="19">
        <f t="shared" si="65"/>
        <v>0</v>
      </c>
      <c r="K576" s="19">
        <f t="shared" si="66"/>
        <v>0</v>
      </c>
      <c r="L576" s="19">
        <v>-3.0300000000000001E-3</v>
      </c>
      <c r="M576" s="19">
        <v>-3.0400000000000002E-3</v>
      </c>
      <c r="N576" s="19">
        <v>-4.15E-3</v>
      </c>
      <c r="O576" s="19">
        <v>-4.8900000000000002E-3</v>
      </c>
      <c r="P576" s="19">
        <v>-5.1000000000000004E-3</v>
      </c>
      <c r="Q576" s="19">
        <v>-4.8500000000000001E-3</v>
      </c>
      <c r="R576" s="19"/>
      <c r="S576" s="19">
        <f t="shared" si="67"/>
        <v>0</v>
      </c>
      <c r="T576" s="19">
        <f t="shared" si="68"/>
        <v>0</v>
      </c>
      <c r="U576" s="19">
        <f t="shared" si="69"/>
        <v>0</v>
      </c>
      <c r="V576" s="19">
        <f t="shared" si="70"/>
        <v>0</v>
      </c>
      <c r="W576" s="19">
        <f t="shared" si="71"/>
        <v>0</v>
      </c>
      <c r="X576" s="21">
        <f t="shared" si="72"/>
        <v>0</v>
      </c>
    </row>
    <row r="577" spans="1:24" ht="13.5" x14ac:dyDescent="0.35">
      <c r="A577" s="18">
        <v>103169</v>
      </c>
      <c r="B577" s="19" t="s">
        <v>170</v>
      </c>
      <c r="C577" s="19">
        <v>0.65</v>
      </c>
      <c r="D577" s="19">
        <v>101</v>
      </c>
      <c r="E577" s="19">
        <v>353</v>
      </c>
      <c r="F577" s="19">
        <v>0</v>
      </c>
      <c r="G577" s="19">
        <v>0</v>
      </c>
      <c r="H577" s="19">
        <v>0</v>
      </c>
      <c r="I577" s="20">
        <v>0</v>
      </c>
      <c r="J577" s="19">
        <f t="shared" si="65"/>
        <v>0</v>
      </c>
      <c r="K577" s="19">
        <f t="shared" si="66"/>
        <v>0</v>
      </c>
      <c r="L577" s="19">
        <v>-3.0300000000000001E-3</v>
      </c>
      <c r="M577" s="19">
        <v>-3.0400000000000002E-3</v>
      </c>
      <c r="N577" s="19">
        <v>-4.15E-3</v>
      </c>
      <c r="O577" s="19">
        <v>-4.8900000000000002E-3</v>
      </c>
      <c r="P577" s="19">
        <v>-5.1000000000000004E-3</v>
      </c>
      <c r="Q577" s="19">
        <v>-4.8500000000000001E-3</v>
      </c>
      <c r="R577" s="19"/>
      <c r="S577" s="19">
        <f t="shared" si="67"/>
        <v>0</v>
      </c>
      <c r="T577" s="19">
        <f t="shared" si="68"/>
        <v>0</v>
      </c>
      <c r="U577" s="19">
        <f t="shared" si="69"/>
        <v>0</v>
      </c>
      <c r="V577" s="19">
        <f t="shared" si="70"/>
        <v>0</v>
      </c>
      <c r="W577" s="19">
        <f t="shared" si="71"/>
        <v>0</v>
      </c>
      <c r="X577" s="21">
        <f t="shared" si="72"/>
        <v>0</v>
      </c>
    </row>
    <row r="578" spans="1:24" ht="13.5" x14ac:dyDescent="0.35">
      <c r="A578" s="18">
        <v>103170</v>
      </c>
      <c r="B578" s="19" t="s">
        <v>171</v>
      </c>
      <c r="C578" s="19">
        <v>0.48</v>
      </c>
      <c r="D578" s="19">
        <v>101</v>
      </c>
      <c r="E578" s="19">
        <v>353</v>
      </c>
      <c r="F578" s="19">
        <v>0</v>
      </c>
      <c r="G578" s="19">
        <v>0</v>
      </c>
      <c r="H578" s="19">
        <v>0</v>
      </c>
      <c r="I578" s="20">
        <v>0</v>
      </c>
      <c r="J578" s="19">
        <f t="shared" si="65"/>
        <v>0</v>
      </c>
      <c r="K578" s="19">
        <f t="shared" si="66"/>
        <v>0</v>
      </c>
      <c r="L578" s="19">
        <v>-3.0300000000000001E-3</v>
      </c>
      <c r="M578" s="19">
        <v>-3.0400000000000002E-3</v>
      </c>
      <c r="N578" s="19">
        <v>-4.15E-3</v>
      </c>
      <c r="O578" s="19">
        <v>-4.8900000000000002E-3</v>
      </c>
      <c r="P578" s="19">
        <v>-5.1000000000000004E-3</v>
      </c>
      <c r="Q578" s="19">
        <v>-4.8500000000000001E-3</v>
      </c>
      <c r="R578" s="19"/>
      <c r="S578" s="19">
        <f t="shared" si="67"/>
        <v>0</v>
      </c>
      <c r="T578" s="19">
        <f t="shared" si="68"/>
        <v>0</v>
      </c>
      <c r="U578" s="19">
        <f t="shared" si="69"/>
        <v>0</v>
      </c>
      <c r="V578" s="19">
        <f t="shared" si="70"/>
        <v>0</v>
      </c>
      <c r="W578" s="19">
        <f t="shared" si="71"/>
        <v>0</v>
      </c>
      <c r="X578" s="21">
        <f t="shared" si="72"/>
        <v>0</v>
      </c>
    </row>
    <row r="579" spans="1:24" ht="13.5" x14ac:dyDescent="0.35">
      <c r="A579" s="18">
        <v>103173</v>
      </c>
      <c r="B579" s="19" t="s">
        <v>172</v>
      </c>
      <c r="C579" s="19">
        <v>0.6</v>
      </c>
      <c r="D579" s="19">
        <v>101</v>
      </c>
      <c r="E579" s="19">
        <v>384</v>
      </c>
      <c r="F579" s="19">
        <v>0</v>
      </c>
      <c r="G579" s="19">
        <v>0</v>
      </c>
      <c r="H579" s="19">
        <v>0</v>
      </c>
      <c r="I579" s="20">
        <v>0</v>
      </c>
      <c r="J579" s="19">
        <f t="shared" si="65"/>
        <v>0</v>
      </c>
      <c r="K579" s="19">
        <f t="shared" si="66"/>
        <v>0</v>
      </c>
      <c r="L579" s="19">
        <v>-3.0300000000000001E-3</v>
      </c>
      <c r="M579" s="19">
        <v>-3.0400000000000002E-3</v>
      </c>
      <c r="N579" s="19">
        <v>-4.15E-3</v>
      </c>
      <c r="O579" s="19">
        <v>-4.8900000000000002E-3</v>
      </c>
      <c r="P579" s="19">
        <v>-5.1000000000000004E-3</v>
      </c>
      <c r="Q579" s="19">
        <v>-4.8500000000000001E-3</v>
      </c>
      <c r="R579" s="19"/>
      <c r="S579" s="19">
        <f t="shared" si="67"/>
        <v>0</v>
      </c>
      <c r="T579" s="19">
        <f t="shared" si="68"/>
        <v>0</v>
      </c>
      <c r="U579" s="19">
        <f t="shared" si="69"/>
        <v>0</v>
      </c>
      <c r="V579" s="19">
        <f t="shared" si="70"/>
        <v>0</v>
      </c>
      <c r="W579" s="19">
        <f t="shared" si="71"/>
        <v>0</v>
      </c>
      <c r="X579" s="21">
        <f t="shared" si="72"/>
        <v>0</v>
      </c>
    </row>
    <row r="580" spans="1:24" ht="13.5" x14ac:dyDescent="0.35">
      <c r="A580" s="18">
        <v>103174</v>
      </c>
      <c r="B580" s="19" t="s">
        <v>173</v>
      </c>
      <c r="C580" s="19">
        <v>0.6</v>
      </c>
      <c r="D580" s="19">
        <v>101</v>
      </c>
      <c r="E580" s="19">
        <v>384</v>
      </c>
      <c r="F580" s="19">
        <v>0</v>
      </c>
      <c r="G580" s="19">
        <v>0</v>
      </c>
      <c r="H580" s="19">
        <v>0</v>
      </c>
      <c r="I580" s="20">
        <v>0</v>
      </c>
      <c r="J580" s="19">
        <f t="shared" si="65"/>
        <v>0</v>
      </c>
      <c r="K580" s="19">
        <f t="shared" si="66"/>
        <v>0</v>
      </c>
      <c r="L580" s="19">
        <v>-3.0300000000000001E-3</v>
      </c>
      <c r="M580" s="19">
        <v>-3.0400000000000002E-3</v>
      </c>
      <c r="N580" s="19">
        <v>-4.15E-3</v>
      </c>
      <c r="O580" s="19">
        <v>-4.8900000000000002E-3</v>
      </c>
      <c r="P580" s="19">
        <v>-5.1000000000000004E-3</v>
      </c>
      <c r="Q580" s="19">
        <v>-4.8500000000000001E-3</v>
      </c>
      <c r="R580" s="19"/>
      <c r="S580" s="19">
        <f t="shared" si="67"/>
        <v>0</v>
      </c>
      <c r="T580" s="19">
        <f t="shared" si="68"/>
        <v>0</v>
      </c>
      <c r="U580" s="19">
        <f t="shared" si="69"/>
        <v>0</v>
      </c>
      <c r="V580" s="19">
        <f t="shared" si="70"/>
        <v>0</v>
      </c>
      <c r="W580" s="19">
        <f t="shared" si="71"/>
        <v>0</v>
      </c>
      <c r="X580" s="21">
        <f t="shared" si="72"/>
        <v>0</v>
      </c>
    </row>
    <row r="581" spans="1:24" ht="13.5" x14ac:dyDescent="0.35">
      <c r="A581" s="18">
        <v>105257</v>
      </c>
      <c r="B581" s="19" t="s">
        <v>199</v>
      </c>
      <c r="C581" s="19">
        <v>12.5</v>
      </c>
      <c r="D581" s="19">
        <v>101</v>
      </c>
      <c r="E581" s="19">
        <v>563</v>
      </c>
      <c r="F581" s="19">
        <v>0</v>
      </c>
      <c r="G581" s="19">
        <v>0</v>
      </c>
      <c r="H581" s="19">
        <v>0</v>
      </c>
      <c r="I581" s="20">
        <v>0</v>
      </c>
      <c r="J581" s="19">
        <f t="shared" si="65"/>
        <v>0</v>
      </c>
      <c r="K581" s="19">
        <f t="shared" si="66"/>
        <v>0</v>
      </c>
      <c r="L581" s="19">
        <v>-3.0300000000000001E-3</v>
      </c>
      <c r="M581" s="19">
        <v>-3.0400000000000002E-3</v>
      </c>
      <c r="N581" s="19">
        <v>-4.15E-3</v>
      </c>
      <c r="O581" s="19">
        <v>-4.8900000000000002E-3</v>
      </c>
      <c r="P581" s="19">
        <v>-5.1000000000000004E-3</v>
      </c>
      <c r="Q581" s="19">
        <v>-4.8500000000000001E-3</v>
      </c>
      <c r="R581" s="19"/>
      <c r="S581" s="19">
        <f t="shared" si="67"/>
        <v>0</v>
      </c>
      <c r="T581" s="19">
        <f t="shared" si="68"/>
        <v>0</v>
      </c>
      <c r="U581" s="19">
        <f t="shared" si="69"/>
        <v>0</v>
      </c>
      <c r="V581" s="19">
        <f t="shared" si="70"/>
        <v>0</v>
      </c>
      <c r="W581" s="19">
        <f t="shared" si="71"/>
        <v>0</v>
      </c>
      <c r="X581" s="21">
        <f t="shared" si="72"/>
        <v>0</v>
      </c>
    </row>
    <row r="582" spans="1:24" ht="13.5" x14ac:dyDescent="0.35">
      <c r="A582" s="18">
        <v>105258</v>
      </c>
      <c r="B582" s="19" t="s">
        <v>200</v>
      </c>
      <c r="C582" s="19">
        <v>12.5</v>
      </c>
      <c r="D582" s="19">
        <v>101</v>
      </c>
      <c r="E582" s="19">
        <v>563</v>
      </c>
      <c r="F582" s="19">
        <v>0</v>
      </c>
      <c r="G582" s="19">
        <v>0</v>
      </c>
      <c r="H582" s="19">
        <v>0</v>
      </c>
      <c r="I582" s="20">
        <v>0</v>
      </c>
      <c r="J582" s="19">
        <f t="shared" si="65"/>
        <v>0</v>
      </c>
      <c r="K582" s="19">
        <f t="shared" si="66"/>
        <v>0</v>
      </c>
      <c r="L582" s="19">
        <v>-3.0300000000000001E-3</v>
      </c>
      <c r="M582" s="19">
        <v>-3.0400000000000002E-3</v>
      </c>
      <c r="N582" s="19">
        <v>-4.15E-3</v>
      </c>
      <c r="O582" s="19">
        <v>-4.8900000000000002E-3</v>
      </c>
      <c r="P582" s="19">
        <v>-5.1000000000000004E-3</v>
      </c>
      <c r="Q582" s="19">
        <v>-4.8500000000000001E-3</v>
      </c>
      <c r="R582" s="19"/>
      <c r="S582" s="19">
        <f t="shared" si="67"/>
        <v>0</v>
      </c>
      <c r="T582" s="19">
        <f t="shared" si="68"/>
        <v>0</v>
      </c>
      <c r="U582" s="19">
        <f t="shared" si="69"/>
        <v>0</v>
      </c>
      <c r="V582" s="19">
        <f t="shared" si="70"/>
        <v>0</v>
      </c>
      <c r="W582" s="19">
        <f t="shared" si="71"/>
        <v>0</v>
      </c>
      <c r="X582" s="21">
        <f t="shared" si="72"/>
        <v>0</v>
      </c>
    </row>
    <row r="583" spans="1:24" ht="13.5" x14ac:dyDescent="0.35">
      <c r="A583" s="18">
        <v>105882</v>
      </c>
      <c r="B583" s="19" t="s">
        <v>237</v>
      </c>
      <c r="C583" s="19">
        <v>34.5</v>
      </c>
      <c r="D583" s="19">
        <v>101</v>
      </c>
      <c r="E583" s="19">
        <v>644</v>
      </c>
      <c r="F583" s="19">
        <v>0</v>
      </c>
      <c r="G583" s="19">
        <v>0</v>
      </c>
      <c r="H583" s="19">
        <v>0</v>
      </c>
      <c r="I583" s="20">
        <v>0</v>
      </c>
      <c r="J583" s="19">
        <f t="shared" si="65"/>
        <v>0</v>
      </c>
      <c r="K583" s="19">
        <f t="shared" si="66"/>
        <v>0</v>
      </c>
      <c r="L583" s="19">
        <v>-3.0300000000000001E-3</v>
      </c>
      <c r="M583" s="19">
        <v>-3.0300000000000001E-3</v>
      </c>
      <c r="N583" s="19">
        <v>-4.13E-3</v>
      </c>
      <c r="O583" s="19">
        <v>-4.8500000000000001E-3</v>
      </c>
      <c r="P583" s="19">
        <v>-5.0699999999999999E-3</v>
      </c>
      <c r="Q583" s="19">
        <v>-4.8199999999999996E-3</v>
      </c>
      <c r="R583" s="19"/>
      <c r="S583" s="19">
        <f t="shared" si="67"/>
        <v>0</v>
      </c>
      <c r="T583" s="19">
        <f t="shared" si="68"/>
        <v>0</v>
      </c>
      <c r="U583" s="19">
        <f t="shared" si="69"/>
        <v>0</v>
      </c>
      <c r="V583" s="19">
        <f t="shared" si="70"/>
        <v>0</v>
      </c>
      <c r="W583" s="19">
        <f t="shared" si="71"/>
        <v>0</v>
      </c>
      <c r="X583" s="21">
        <f t="shared" si="72"/>
        <v>0</v>
      </c>
    </row>
    <row r="584" spans="1:24" ht="13.5" x14ac:dyDescent="0.35">
      <c r="A584" s="18">
        <v>900088</v>
      </c>
      <c r="B584" s="19" t="s">
        <v>603</v>
      </c>
      <c r="C584" s="19">
        <v>345</v>
      </c>
      <c r="D584" s="19">
        <v>101</v>
      </c>
      <c r="E584" s="19">
        <v>110</v>
      </c>
      <c r="F584" s="19">
        <v>2.82</v>
      </c>
      <c r="G584" s="19">
        <v>0</v>
      </c>
      <c r="H584" s="19">
        <v>2.82</v>
      </c>
      <c r="I584" s="20">
        <v>2.82</v>
      </c>
      <c r="J584" s="19">
        <f t="shared" si="65"/>
        <v>0</v>
      </c>
      <c r="K584" s="19">
        <f t="shared" si="66"/>
        <v>0</v>
      </c>
      <c r="L584" s="19">
        <v>-3.0300000000000001E-3</v>
      </c>
      <c r="M584" s="19">
        <v>-3.0400000000000002E-3</v>
      </c>
      <c r="N584" s="19">
        <v>-4.15E-3</v>
      </c>
      <c r="O584" s="19">
        <v>-4.8900000000000002E-3</v>
      </c>
      <c r="P584" s="19">
        <v>-5.1000000000000004E-3</v>
      </c>
      <c r="Q584" s="19">
        <v>-4.8599999999999997E-3</v>
      </c>
      <c r="R584" s="19"/>
      <c r="S584" s="19">
        <f t="shared" si="67"/>
        <v>0</v>
      </c>
      <c r="T584" s="19">
        <f t="shared" si="68"/>
        <v>0</v>
      </c>
      <c r="U584" s="19">
        <f t="shared" si="69"/>
        <v>0</v>
      </c>
      <c r="V584" s="19">
        <f t="shared" si="70"/>
        <v>0</v>
      </c>
      <c r="W584" s="19">
        <f t="shared" si="71"/>
        <v>0</v>
      </c>
      <c r="X584" s="21">
        <f t="shared" si="72"/>
        <v>0</v>
      </c>
    </row>
    <row r="585" spans="1:24" ht="13.5" x14ac:dyDescent="0.35">
      <c r="A585" s="18">
        <v>911597</v>
      </c>
      <c r="B585" s="19" t="s">
        <v>648</v>
      </c>
      <c r="C585" s="19">
        <v>345</v>
      </c>
      <c r="D585" s="19">
        <v>105</v>
      </c>
      <c r="E585" s="19">
        <v>15</v>
      </c>
      <c r="F585" s="19">
        <v>501</v>
      </c>
      <c r="G585" s="19">
        <v>0</v>
      </c>
      <c r="H585" s="19">
        <v>700</v>
      </c>
      <c r="I585" s="20">
        <v>501</v>
      </c>
      <c r="J585" s="19">
        <f t="shared" si="65"/>
        <v>0</v>
      </c>
      <c r="K585" s="19">
        <f t="shared" si="66"/>
        <v>199</v>
      </c>
      <c r="L585" s="19">
        <v>-3.0300000000000001E-3</v>
      </c>
      <c r="M585" s="19">
        <v>-3.0400000000000002E-3</v>
      </c>
      <c r="N585" s="19">
        <v>-4.15E-3</v>
      </c>
      <c r="O585" s="19">
        <v>-4.8900000000000002E-3</v>
      </c>
      <c r="P585" s="19">
        <v>-5.1000000000000004E-3</v>
      </c>
      <c r="Q585" s="19">
        <v>-4.8500000000000001E-3</v>
      </c>
      <c r="R585" s="19"/>
      <c r="S585" s="19">
        <f t="shared" si="67"/>
        <v>0</v>
      </c>
      <c r="T585" s="19">
        <f t="shared" si="68"/>
        <v>0</v>
      </c>
      <c r="U585" s="19">
        <f t="shared" si="69"/>
        <v>0</v>
      </c>
      <c r="V585" s="19">
        <f t="shared" si="70"/>
        <v>0</v>
      </c>
      <c r="W585" s="19">
        <f t="shared" si="71"/>
        <v>0</v>
      </c>
      <c r="X585" s="21">
        <f t="shared" si="72"/>
        <v>0</v>
      </c>
    </row>
    <row r="586" spans="1:24" ht="13.5" x14ac:dyDescent="0.35">
      <c r="A586" s="18">
        <v>911600</v>
      </c>
      <c r="B586" s="19" t="s">
        <v>649</v>
      </c>
      <c r="C586" s="19">
        <v>0.6</v>
      </c>
      <c r="D586" s="19">
        <v>101</v>
      </c>
      <c r="E586" s="19">
        <v>110</v>
      </c>
      <c r="F586" s="19">
        <v>0</v>
      </c>
      <c r="G586" s="19">
        <v>0</v>
      </c>
      <c r="H586" s="19">
        <v>0</v>
      </c>
      <c r="I586" s="20">
        <v>0</v>
      </c>
      <c r="J586" s="19">
        <f t="shared" si="65"/>
        <v>0</v>
      </c>
      <c r="K586" s="19">
        <f t="shared" si="66"/>
        <v>0</v>
      </c>
      <c r="L586" s="19">
        <v>-3.0300000000000001E-3</v>
      </c>
      <c r="M586" s="19">
        <v>-3.0400000000000002E-3</v>
      </c>
      <c r="N586" s="19">
        <v>-4.15E-3</v>
      </c>
      <c r="O586" s="19">
        <v>-4.8900000000000002E-3</v>
      </c>
      <c r="P586" s="19">
        <v>-5.1000000000000004E-3</v>
      </c>
      <c r="Q586" s="19">
        <v>-4.8500000000000001E-3</v>
      </c>
      <c r="R586" s="19"/>
      <c r="S586" s="19">
        <f t="shared" si="67"/>
        <v>0</v>
      </c>
      <c r="T586" s="19">
        <f t="shared" si="68"/>
        <v>0</v>
      </c>
      <c r="U586" s="19">
        <f t="shared" si="69"/>
        <v>0</v>
      </c>
      <c r="V586" s="19">
        <f t="shared" si="70"/>
        <v>0</v>
      </c>
      <c r="W586" s="19">
        <f t="shared" si="71"/>
        <v>0</v>
      </c>
      <c r="X586" s="21">
        <f t="shared" si="72"/>
        <v>0</v>
      </c>
    </row>
    <row r="587" spans="1:24" ht="13.5" x14ac:dyDescent="0.35">
      <c r="A587" s="18">
        <v>100367</v>
      </c>
      <c r="B587" s="19" t="s">
        <v>56</v>
      </c>
      <c r="C587" s="19">
        <v>14.4</v>
      </c>
      <c r="D587" s="19">
        <v>101</v>
      </c>
      <c r="E587" s="19">
        <v>113</v>
      </c>
      <c r="F587" s="19">
        <v>116</v>
      </c>
      <c r="G587" s="19">
        <v>0</v>
      </c>
      <c r="H587" s="19">
        <v>116</v>
      </c>
      <c r="I587" s="20">
        <v>116</v>
      </c>
      <c r="J587" s="19">
        <f t="shared" si="65"/>
        <v>0</v>
      </c>
      <c r="K587" s="19">
        <f t="shared" si="66"/>
        <v>0</v>
      </c>
      <c r="L587" s="19">
        <v>-3.0400000000000002E-3</v>
      </c>
      <c r="M587" s="19">
        <v>-3.0400000000000002E-3</v>
      </c>
      <c r="N587" s="19">
        <v>-4.1599999999999996E-3</v>
      </c>
      <c r="O587" s="19">
        <v>-4.8900000000000002E-3</v>
      </c>
      <c r="P587" s="19">
        <v>-5.11E-3</v>
      </c>
      <c r="Q587" s="19">
        <v>-4.8599999999999997E-3</v>
      </c>
      <c r="R587" s="19"/>
      <c r="S587" s="19">
        <f t="shared" si="67"/>
        <v>0</v>
      </c>
      <c r="T587" s="19">
        <f t="shared" si="68"/>
        <v>0</v>
      </c>
      <c r="U587" s="19">
        <f t="shared" si="69"/>
        <v>0</v>
      </c>
      <c r="V587" s="19">
        <f t="shared" si="70"/>
        <v>0</v>
      </c>
      <c r="W587" s="19">
        <f t="shared" si="71"/>
        <v>0</v>
      </c>
      <c r="X587" s="21">
        <f t="shared" si="72"/>
        <v>0</v>
      </c>
    </row>
    <row r="588" spans="1:24" ht="13.5" x14ac:dyDescent="0.35">
      <c r="A588" s="18">
        <v>100386</v>
      </c>
      <c r="B588" s="19" t="s">
        <v>65</v>
      </c>
      <c r="C588" s="19">
        <v>18</v>
      </c>
      <c r="D588" s="19">
        <v>101</v>
      </c>
      <c r="E588" s="19">
        <v>113</v>
      </c>
      <c r="F588" s="19">
        <v>174.71</v>
      </c>
      <c r="G588" s="19">
        <v>0</v>
      </c>
      <c r="H588" s="19">
        <v>174.71</v>
      </c>
      <c r="I588" s="20">
        <v>174.71</v>
      </c>
      <c r="J588" s="19">
        <f t="shared" si="65"/>
        <v>0</v>
      </c>
      <c r="K588" s="19">
        <f t="shared" si="66"/>
        <v>0</v>
      </c>
      <c r="L588" s="19">
        <v>-3.0400000000000002E-3</v>
      </c>
      <c r="M588" s="19">
        <v>-3.0400000000000002E-3</v>
      </c>
      <c r="N588" s="19">
        <v>-4.1599999999999996E-3</v>
      </c>
      <c r="O588" s="19">
        <v>-4.8900000000000002E-3</v>
      </c>
      <c r="P588" s="19">
        <v>-5.11E-3</v>
      </c>
      <c r="Q588" s="19">
        <v>-4.8599999999999997E-3</v>
      </c>
      <c r="R588" s="19"/>
      <c r="S588" s="19">
        <f t="shared" si="67"/>
        <v>0</v>
      </c>
      <c r="T588" s="19">
        <f t="shared" si="68"/>
        <v>0</v>
      </c>
      <c r="U588" s="19">
        <f t="shared" si="69"/>
        <v>0</v>
      </c>
      <c r="V588" s="19">
        <f t="shared" si="70"/>
        <v>0</v>
      </c>
      <c r="W588" s="19">
        <f t="shared" si="71"/>
        <v>0</v>
      </c>
      <c r="X588" s="21">
        <f t="shared" si="72"/>
        <v>0</v>
      </c>
    </row>
    <row r="589" spans="1:24" ht="13.5" x14ac:dyDescent="0.35">
      <c r="A589" s="18">
        <v>100387</v>
      </c>
      <c r="B589" s="19" t="s">
        <v>66</v>
      </c>
      <c r="C589" s="19">
        <v>18</v>
      </c>
      <c r="D589" s="19">
        <v>101</v>
      </c>
      <c r="E589" s="19">
        <v>113</v>
      </c>
      <c r="F589" s="19">
        <v>174.71</v>
      </c>
      <c r="G589" s="19">
        <v>0</v>
      </c>
      <c r="H589" s="19">
        <v>174.71</v>
      </c>
      <c r="I589" s="20">
        <v>174.71</v>
      </c>
      <c r="J589" s="19">
        <f t="shared" si="65"/>
        <v>0</v>
      </c>
      <c r="K589" s="19">
        <f t="shared" si="66"/>
        <v>0</v>
      </c>
      <c r="L589" s="19">
        <v>-3.0400000000000002E-3</v>
      </c>
      <c r="M589" s="19">
        <v>-3.0400000000000002E-3</v>
      </c>
      <c r="N589" s="19">
        <v>-4.1599999999999996E-3</v>
      </c>
      <c r="O589" s="19">
        <v>-4.8900000000000002E-3</v>
      </c>
      <c r="P589" s="19">
        <v>-5.11E-3</v>
      </c>
      <c r="Q589" s="19">
        <v>-4.8599999999999997E-3</v>
      </c>
      <c r="R589" s="19"/>
      <c r="S589" s="19">
        <f t="shared" si="67"/>
        <v>0</v>
      </c>
      <c r="T589" s="19">
        <f t="shared" si="68"/>
        <v>0</v>
      </c>
      <c r="U589" s="19">
        <f t="shared" si="69"/>
        <v>0</v>
      </c>
      <c r="V589" s="19">
        <f t="shared" si="70"/>
        <v>0</v>
      </c>
      <c r="W589" s="19">
        <f t="shared" si="71"/>
        <v>0</v>
      </c>
      <c r="X589" s="21">
        <f t="shared" si="72"/>
        <v>0</v>
      </c>
    </row>
    <row r="590" spans="1:24" ht="13.5" x14ac:dyDescent="0.35">
      <c r="A590" s="18">
        <v>100388</v>
      </c>
      <c r="B590" s="19" t="s">
        <v>67</v>
      </c>
      <c r="C590" s="19">
        <v>18</v>
      </c>
      <c r="D590" s="19">
        <v>101</v>
      </c>
      <c r="E590" s="19">
        <v>113</v>
      </c>
      <c r="F590" s="19">
        <v>180.58</v>
      </c>
      <c r="G590" s="19">
        <v>0</v>
      </c>
      <c r="H590" s="19">
        <v>180.58</v>
      </c>
      <c r="I590" s="20">
        <v>180.58</v>
      </c>
      <c r="J590" s="19">
        <f t="shared" si="65"/>
        <v>0</v>
      </c>
      <c r="K590" s="19">
        <f t="shared" si="66"/>
        <v>0</v>
      </c>
      <c r="L590" s="19">
        <v>-3.0400000000000002E-3</v>
      </c>
      <c r="M590" s="19">
        <v>-3.0400000000000002E-3</v>
      </c>
      <c r="N590" s="19">
        <v>-4.1599999999999996E-3</v>
      </c>
      <c r="O590" s="19">
        <v>-4.8900000000000002E-3</v>
      </c>
      <c r="P590" s="19">
        <v>-5.11E-3</v>
      </c>
      <c r="Q590" s="19">
        <v>-4.8599999999999997E-3</v>
      </c>
      <c r="R590" s="19"/>
      <c r="S590" s="19">
        <f t="shared" si="67"/>
        <v>0</v>
      </c>
      <c r="T590" s="19">
        <f t="shared" si="68"/>
        <v>0</v>
      </c>
      <c r="U590" s="19">
        <f t="shared" si="69"/>
        <v>0</v>
      </c>
      <c r="V590" s="19">
        <f t="shared" si="70"/>
        <v>0</v>
      </c>
      <c r="W590" s="19">
        <f t="shared" si="71"/>
        <v>0</v>
      </c>
      <c r="X590" s="21">
        <f t="shared" si="72"/>
        <v>0</v>
      </c>
    </row>
    <row r="591" spans="1:24" ht="13.5" x14ac:dyDescent="0.35">
      <c r="A591" s="18">
        <v>100418</v>
      </c>
      <c r="B591" s="19" t="s">
        <v>76</v>
      </c>
      <c r="C591" s="19">
        <v>13.8</v>
      </c>
      <c r="D591" s="19">
        <v>101</v>
      </c>
      <c r="E591" s="19">
        <v>112</v>
      </c>
      <c r="F591" s="19">
        <v>32.119999999999997</v>
      </c>
      <c r="G591" s="19">
        <v>0</v>
      </c>
      <c r="H591" s="19">
        <v>32.119999999999997</v>
      </c>
      <c r="I591" s="20">
        <v>32.119999999999997</v>
      </c>
      <c r="J591" s="19">
        <f t="shared" ref="J591:J654" si="73">I591-F591</f>
        <v>0</v>
      </c>
      <c r="K591" s="19">
        <f t="shared" ref="K591:K654" si="74">H591-I591</f>
        <v>0</v>
      </c>
      <c r="L591" s="19">
        <v>-3.0400000000000002E-3</v>
      </c>
      <c r="M591" s="19">
        <v>-3.0400000000000002E-3</v>
      </c>
      <c r="N591" s="19">
        <v>-4.15E-3</v>
      </c>
      <c r="O591" s="19">
        <v>-4.8900000000000002E-3</v>
      </c>
      <c r="P591" s="19">
        <v>-5.11E-3</v>
      </c>
      <c r="Q591" s="19">
        <v>-4.8599999999999997E-3</v>
      </c>
      <c r="R591" s="19"/>
      <c r="S591" s="19">
        <f t="shared" ref="S591:S654" si="75">L591*J591</f>
        <v>0</v>
      </c>
      <c r="T591" s="19">
        <f t="shared" ref="T591:T654" si="76">M591*J591</f>
        <v>0</v>
      </c>
      <c r="U591" s="19">
        <f t="shared" ref="U591:U654" si="77">N591*J591</f>
        <v>0</v>
      </c>
      <c r="V591" s="19">
        <f t="shared" ref="V591:V654" si="78">O591*J591</f>
        <v>0</v>
      </c>
      <c r="W591" s="19">
        <f t="shared" ref="W591:W654" si="79">P591*J591</f>
        <v>0</v>
      </c>
      <c r="X591" s="21">
        <f t="shared" ref="X591:X654" si="80">Q591*J591</f>
        <v>0</v>
      </c>
    </row>
    <row r="592" spans="1:24" ht="13.5" x14ac:dyDescent="0.35">
      <c r="A592" s="18">
        <v>100419</v>
      </c>
      <c r="B592" s="19" t="s">
        <v>77</v>
      </c>
      <c r="C592" s="19">
        <v>13.8</v>
      </c>
      <c r="D592" s="19">
        <v>101</v>
      </c>
      <c r="E592" s="19">
        <v>112</v>
      </c>
      <c r="F592" s="19">
        <v>10.95</v>
      </c>
      <c r="G592" s="19">
        <v>0</v>
      </c>
      <c r="H592" s="19">
        <v>10.95</v>
      </c>
      <c r="I592" s="20">
        <v>10.95</v>
      </c>
      <c r="J592" s="19">
        <f t="shared" si="73"/>
        <v>0</v>
      </c>
      <c r="K592" s="19">
        <f t="shared" si="74"/>
        <v>0</v>
      </c>
      <c r="L592" s="19">
        <v>-3.0400000000000002E-3</v>
      </c>
      <c r="M592" s="19">
        <v>-3.0400000000000002E-3</v>
      </c>
      <c r="N592" s="19">
        <v>-4.15E-3</v>
      </c>
      <c r="O592" s="19">
        <v>-4.8900000000000002E-3</v>
      </c>
      <c r="P592" s="19">
        <v>-5.11E-3</v>
      </c>
      <c r="Q592" s="19">
        <v>-4.8599999999999997E-3</v>
      </c>
      <c r="R592" s="19"/>
      <c r="S592" s="19">
        <f t="shared" si="75"/>
        <v>0</v>
      </c>
      <c r="T592" s="19">
        <f t="shared" si="76"/>
        <v>0</v>
      </c>
      <c r="U592" s="19">
        <f t="shared" si="77"/>
        <v>0</v>
      </c>
      <c r="V592" s="19">
        <f t="shared" si="78"/>
        <v>0</v>
      </c>
      <c r="W592" s="19">
        <f t="shared" si="79"/>
        <v>0</v>
      </c>
      <c r="X592" s="21">
        <f t="shared" si="80"/>
        <v>0</v>
      </c>
    </row>
    <row r="593" spans="1:24" ht="13.5" x14ac:dyDescent="0.35">
      <c r="A593" s="18">
        <v>100448</v>
      </c>
      <c r="B593" s="19" t="s">
        <v>87</v>
      </c>
      <c r="C593" s="19">
        <v>2.4</v>
      </c>
      <c r="D593" s="19">
        <v>101</v>
      </c>
      <c r="E593" s="19">
        <v>114</v>
      </c>
      <c r="F593" s="19">
        <v>0</v>
      </c>
      <c r="G593" s="19">
        <v>0</v>
      </c>
      <c r="H593" s="19">
        <v>0</v>
      </c>
      <c r="I593" s="20">
        <v>0</v>
      </c>
      <c r="J593" s="19">
        <f t="shared" si="73"/>
        <v>0</v>
      </c>
      <c r="K593" s="19">
        <f t="shared" si="74"/>
        <v>0</v>
      </c>
      <c r="L593" s="19">
        <v>-3.0400000000000002E-3</v>
      </c>
      <c r="M593" s="19">
        <v>-3.0500000000000002E-3</v>
      </c>
      <c r="N593" s="19">
        <v>-4.1599999999999996E-3</v>
      </c>
      <c r="O593" s="19">
        <v>-4.8900000000000002E-3</v>
      </c>
      <c r="P593" s="19">
        <v>-5.11E-3</v>
      </c>
      <c r="Q593" s="19">
        <v>-4.8599999999999997E-3</v>
      </c>
      <c r="R593" s="19"/>
      <c r="S593" s="19">
        <f t="shared" si="75"/>
        <v>0</v>
      </c>
      <c r="T593" s="19">
        <f t="shared" si="76"/>
        <v>0</v>
      </c>
      <c r="U593" s="19">
        <f t="shared" si="77"/>
        <v>0</v>
      </c>
      <c r="V593" s="19">
        <f t="shared" si="78"/>
        <v>0</v>
      </c>
      <c r="W593" s="19">
        <f t="shared" si="79"/>
        <v>0</v>
      </c>
      <c r="X593" s="21">
        <f t="shared" si="80"/>
        <v>0</v>
      </c>
    </row>
    <row r="594" spans="1:24" ht="13.5" x14ac:dyDescent="0.35">
      <c r="A594" s="18">
        <v>100449</v>
      </c>
      <c r="B594" s="19" t="s">
        <v>88</v>
      </c>
      <c r="C594" s="19">
        <v>2.4</v>
      </c>
      <c r="D594" s="19">
        <v>101</v>
      </c>
      <c r="E594" s="19">
        <v>114</v>
      </c>
      <c r="F594" s="19">
        <v>11.6</v>
      </c>
      <c r="G594" s="19">
        <v>0</v>
      </c>
      <c r="H594" s="19">
        <v>11.6</v>
      </c>
      <c r="I594" s="20">
        <v>11.6</v>
      </c>
      <c r="J594" s="19">
        <f t="shared" si="73"/>
        <v>0</v>
      </c>
      <c r="K594" s="19">
        <f t="shared" si="74"/>
        <v>0</v>
      </c>
      <c r="L594" s="19">
        <v>-3.0400000000000002E-3</v>
      </c>
      <c r="M594" s="19">
        <v>-3.0400000000000002E-3</v>
      </c>
      <c r="N594" s="19">
        <v>-4.15E-3</v>
      </c>
      <c r="O594" s="19">
        <v>-4.8900000000000002E-3</v>
      </c>
      <c r="P594" s="19">
        <v>-5.11E-3</v>
      </c>
      <c r="Q594" s="19">
        <v>-4.8599999999999997E-3</v>
      </c>
      <c r="R594" s="19"/>
      <c r="S594" s="19">
        <f t="shared" si="75"/>
        <v>0</v>
      </c>
      <c r="T594" s="19">
        <f t="shared" si="76"/>
        <v>0</v>
      </c>
      <c r="U594" s="19">
        <f t="shared" si="77"/>
        <v>0</v>
      </c>
      <c r="V594" s="19">
        <f t="shared" si="78"/>
        <v>0</v>
      </c>
      <c r="W594" s="19">
        <f t="shared" si="79"/>
        <v>0</v>
      </c>
      <c r="X594" s="21">
        <f t="shared" si="80"/>
        <v>0</v>
      </c>
    </row>
    <row r="595" spans="1:24" ht="13.5" x14ac:dyDescent="0.35">
      <c r="A595" s="18">
        <v>100463</v>
      </c>
      <c r="B595" s="19" t="s">
        <v>93</v>
      </c>
      <c r="C595" s="19">
        <v>6.9</v>
      </c>
      <c r="D595" s="19">
        <v>101</v>
      </c>
      <c r="E595" s="19">
        <v>114</v>
      </c>
      <c r="F595" s="19">
        <v>0</v>
      </c>
      <c r="G595" s="19">
        <v>0</v>
      </c>
      <c r="H595" s="19">
        <v>0</v>
      </c>
      <c r="I595" s="20">
        <v>0</v>
      </c>
      <c r="J595" s="19">
        <f t="shared" si="73"/>
        <v>0</v>
      </c>
      <c r="K595" s="19">
        <f t="shared" si="74"/>
        <v>0</v>
      </c>
      <c r="L595" s="19">
        <v>-3.0400000000000002E-3</v>
      </c>
      <c r="M595" s="19">
        <v>-3.0500000000000002E-3</v>
      </c>
      <c r="N595" s="19">
        <v>-4.1599999999999996E-3</v>
      </c>
      <c r="O595" s="19">
        <v>-4.8999999999999998E-3</v>
      </c>
      <c r="P595" s="19">
        <v>-5.11E-3</v>
      </c>
      <c r="Q595" s="19">
        <v>-4.8599999999999997E-3</v>
      </c>
      <c r="R595" s="19"/>
      <c r="S595" s="19">
        <f t="shared" si="75"/>
        <v>0</v>
      </c>
      <c r="T595" s="19">
        <f t="shared" si="76"/>
        <v>0</v>
      </c>
      <c r="U595" s="19">
        <f t="shared" si="77"/>
        <v>0</v>
      </c>
      <c r="V595" s="19">
        <f t="shared" si="78"/>
        <v>0</v>
      </c>
      <c r="W595" s="19">
        <f t="shared" si="79"/>
        <v>0</v>
      </c>
      <c r="X595" s="21">
        <f t="shared" si="80"/>
        <v>0</v>
      </c>
    </row>
    <row r="596" spans="1:24" ht="13.5" x14ac:dyDescent="0.35">
      <c r="A596" s="18">
        <v>100464</v>
      </c>
      <c r="B596" s="19" t="s">
        <v>94</v>
      </c>
      <c r="C596" s="19">
        <v>13.2</v>
      </c>
      <c r="D596" s="19">
        <v>101</v>
      </c>
      <c r="E596" s="19">
        <v>114</v>
      </c>
      <c r="F596" s="19">
        <v>0</v>
      </c>
      <c r="G596" s="19">
        <v>0</v>
      </c>
      <c r="H596" s="19">
        <v>0</v>
      </c>
      <c r="I596" s="20">
        <v>0</v>
      </c>
      <c r="J596" s="19">
        <f t="shared" si="73"/>
        <v>0</v>
      </c>
      <c r="K596" s="19">
        <f t="shared" si="74"/>
        <v>0</v>
      </c>
      <c r="L596" s="19">
        <v>-3.0400000000000002E-3</v>
      </c>
      <c r="M596" s="19">
        <v>-3.0400000000000002E-3</v>
      </c>
      <c r="N596" s="19">
        <v>-4.1599999999999996E-3</v>
      </c>
      <c r="O596" s="19">
        <v>-4.8900000000000002E-3</v>
      </c>
      <c r="P596" s="19">
        <v>-5.11E-3</v>
      </c>
      <c r="Q596" s="19">
        <v>-4.8599999999999997E-3</v>
      </c>
      <c r="R596" s="19"/>
      <c r="S596" s="19">
        <f t="shared" si="75"/>
        <v>0</v>
      </c>
      <c r="T596" s="19">
        <f t="shared" si="76"/>
        <v>0</v>
      </c>
      <c r="U596" s="19">
        <f t="shared" si="77"/>
        <v>0</v>
      </c>
      <c r="V596" s="19">
        <f t="shared" si="78"/>
        <v>0</v>
      </c>
      <c r="W596" s="19">
        <f t="shared" si="79"/>
        <v>0</v>
      </c>
      <c r="X596" s="21">
        <f t="shared" si="80"/>
        <v>0</v>
      </c>
    </row>
    <row r="597" spans="1:24" ht="13.5" x14ac:dyDescent="0.35">
      <c r="A597" s="18">
        <v>100465</v>
      </c>
      <c r="B597" s="19" t="s">
        <v>95</v>
      </c>
      <c r="C597" s="19">
        <v>13.2</v>
      </c>
      <c r="D597" s="19">
        <v>101</v>
      </c>
      <c r="E597" s="19">
        <v>113</v>
      </c>
      <c r="F597" s="19">
        <v>0</v>
      </c>
      <c r="G597" s="19">
        <v>0</v>
      </c>
      <c r="H597" s="19">
        <v>0</v>
      </c>
      <c r="I597" s="20">
        <v>0</v>
      </c>
      <c r="J597" s="19">
        <f t="shared" si="73"/>
        <v>0</v>
      </c>
      <c r="K597" s="19">
        <f t="shared" si="74"/>
        <v>0</v>
      </c>
      <c r="L597" s="19">
        <v>-3.0400000000000002E-3</v>
      </c>
      <c r="M597" s="19">
        <v>-3.0400000000000002E-3</v>
      </c>
      <c r="N597" s="19">
        <v>-4.1599999999999996E-3</v>
      </c>
      <c r="O597" s="19">
        <v>-4.8900000000000002E-3</v>
      </c>
      <c r="P597" s="19">
        <v>-5.11E-3</v>
      </c>
      <c r="Q597" s="19">
        <v>-4.8599999999999997E-3</v>
      </c>
      <c r="R597" s="19"/>
      <c r="S597" s="19">
        <f t="shared" si="75"/>
        <v>0</v>
      </c>
      <c r="T597" s="19">
        <f t="shared" si="76"/>
        <v>0</v>
      </c>
      <c r="U597" s="19">
        <f t="shared" si="77"/>
        <v>0</v>
      </c>
      <c r="V597" s="19">
        <f t="shared" si="78"/>
        <v>0</v>
      </c>
      <c r="W597" s="19">
        <f t="shared" si="79"/>
        <v>0</v>
      </c>
      <c r="X597" s="21">
        <f t="shared" si="80"/>
        <v>0</v>
      </c>
    </row>
    <row r="598" spans="1:24" ht="13.5" x14ac:dyDescent="0.35">
      <c r="A598" s="18">
        <v>100466</v>
      </c>
      <c r="B598" s="19" t="s">
        <v>96</v>
      </c>
      <c r="C598" s="19">
        <v>13.2</v>
      </c>
      <c r="D598" s="19">
        <v>101</v>
      </c>
      <c r="E598" s="19">
        <v>113</v>
      </c>
      <c r="F598" s="19">
        <v>0</v>
      </c>
      <c r="G598" s="19">
        <v>0</v>
      </c>
      <c r="H598" s="19">
        <v>0</v>
      </c>
      <c r="I598" s="20">
        <v>0</v>
      </c>
      <c r="J598" s="19">
        <f t="shared" si="73"/>
        <v>0</v>
      </c>
      <c r="K598" s="19">
        <f t="shared" si="74"/>
        <v>0</v>
      </c>
      <c r="L598" s="19">
        <v>-3.0400000000000002E-3</v>
      </c>
      <c r="M598" s="19">
        <v>-3.0400000000000002E-3</v>
      </c>
      <c r="N598" s="19">
        <v>-4.1599999999999996E-3</v>
      </c>
      <c r="O598" s="19">
        <v>-4.8900000000000002E-3</v>
      </c>
      <c r="P598" s="19">
        <v>-5.11E-3</v>
      </c>
      <c r="Q598" s="19">
        <v>-4.8599999999999997E-3</v>
      </c>
      <c r="R598" s="19"/>
      <c r="S598" s="19">
        <f t="shared" si="75"/>
        <v>0</v>
      </c>
      <c r="T598" s="19">
        <f t="shared" si="76"/>
        <v>0</v>
      </c>
      <c r="U598" s="19">
        <f t="shared" si="77"/>
        <v>0</v>
      </c>
      <c r="V598" s="19">
        <f t="shared" si="78"/>
        <v>0</v>
      </c>
      <c r="W598" s="19">
        <f t="shared" si="79"/>
        <v>0</v>
      </c>
      <c r="X598" s="21">
        <f t="shared" si="80"/>
        <v>0</v>
      </c>
    </row>
    <row r="599" spans="1:24" ht="13.5" x14ac:dyDescent="0.35">
      <c r="A599" s="18">
        <v>100473</v>
      </c>
      <c r="B599" s="19" t="s">
        <v>101</v>
      </c>
      <c r="C599" s="19">
        <v>6.9</v>
      </c>
      <c r="D599" s="19">
        <v>101</v>
      </c>
      <c r="E599" s="19">
        <v>114</v>
      </c>
      <c r="F599" s="19">
        <v>0</v>
      </c>
      <c r="G599" s="19">
        <v>0</v>
      </c>
      <c r="H599" s="19">
        <v>0</v>
      </c>
      <c r="I599" s="20">
        <v>0</v>
      </c>
      <c r="J599" s="19">
        <f t="shared" si="73"/>
        <v>0</v>
      </c>
      <c r="K599" s="19">
        <f t="shared" si="74"/>
        <v>0</v>
      </c>
      <c r="L599" s="19">
        <v>-3.0400000000000002E-3</v>
      </c>
      <c r="M599" s="19">
        <v>-3.0500000000000002E-3</v>
      </c>
      <c r="N599" s="19">
        <v>-4.1599999999999996E-3</v>
      </c>
      <c r="O599" s="19">
        <v>-4.8999999999999998E-3</v>
      </c>
      <c r="P599" s="19">
        <v>-5.11E-3</v>
      </c>
      <c r="Q599" s="19">
        <v>-4.8599999999999997E-3</v>
      </c>
      <c r="R599" s="19"/>
      <c r="S599" s="19">
        <f t="shared" si="75"/>
        <v>0</v>
      </c>
      <c r="T599" s="19">
        <f t="shared" si="76"/>
        <v>0</v>
      </c>
      <c r="U599" s="19">
        <f t="shared" si="77"/>
        <v>0</v>
      </c>
      <c r="V599" s="19">
        <f t="shared" si="78"/>
        <v>0</v>
      </c>
      <c r="W599" s="19">
        <f t="shared" si="79"/>
        <v>0</v>
      </c>
      <c r="X599" s="21">
        <f t="shared" si="80"/>
        <v>0</v>
      </c>
    </row>
    <row r="600" spans="1:24" ht="13.5" x14ac:dyDescent="0.35">
      <c r="A600" s="18">
        <v>100474</v>
      </c>
      <c r="B600" s="19" t="s">
        <v>102</v>
      </c>
      <c r="C600" s="19">
        <v>11.5</v>
      </c>
      <c r="D600" s="19">
        <v>101</v>
      </c>
      <c r="E600" s="19">
        <v>114</v>
      </c>
      <c r="F600" s="19">
        <v>8.9</v>
      </c>
      <c r="G600" s="19">
        <v>0</v>
      </c>
      <c r="H600" s="19">
        <v>8.9</v>
      </c>
      <c r="I600" s="20">
        <v>8.9</v>
      </c>
      <c r="J600" s="19">
        <f t="shared" si="73"/>
        <v>0</v>
      </c>
      <c r="K600" s="19">
        <f t="shared" si="74"/>
        <v>0</v>
      </c>
      <c r="L600" s="19">
        <v>-3.0400000000000002E-3</v>
      </c>
      <c r="M600" s="19">
        <v>-3.0500000000000002E-3</v>
      </c>
      <c r="N600" s="19">
        <v>-4.1599999999999996E-3</v>
      </c>
      <c r="O600" s="19">
        <v>-4.8999999999999998E-3</v>
      </c>
      <c r="P600" s="19">
        <v>-5.11E-3</v>
      </c>
      <c r="Q600" s="19">
        <v>-4.8599999999999997E-3</v>
      </c>
      <c r="R600" s="19"/>
      <c r="S600" s="19">
        <f t="shared" si="75"/>
        <v>0</v>
      </c>
      <c r="T600" s="19">
        <f t="shared" si="76"/>
        <v>0</v>
      </c>
      <c r="U600" s="19">
        <f t="shared" si="77"/>
        <v>0</v>
      </c>
      <c r="V600" s="19">
        <f t="shared" si="78"/>
        <v>0</v>
      </c>
      <c r="W600" s="19">
        <f t="shared" si="79"/>
        <v>0</v>
      </c>
      <c r="X600" s="21">
        <f t="shared" si="80"/>
        <v>0</v>
      </c>
    </row>
    <row r="601" spans="1:24" ht="13.5" x14ac:dyDescent="0.35">
      <c r="A601" s="18">
        <v>100475</v>
      </c>
      <c r="B601" s="19" t="s">
        <v>103</v>
      </c>
      <c r="C601" s="19">
        <v>13.2</v>
      </c>
      <c r="D601" s="19">
        <v>101</v>
      </c>
      <c r="E601" s="19">
        <v>114</v>
      </c>
      <c r="F601" s="19">
        <v>0</v>
      </c>
      <c r="G601" s="19">
        <v>0</v>
      </c>
      <c r="H601" s="19">
        <v>0</v>
      </c>
      <c r="I601" s="20">
        <v>0</v>
      </c>
      <c r="J601" s="19">
        <f t="shared" si="73"/>
        <v>0</v>
      </c>
      <c r="K601" s="19">
        <f t="shared" si="74"/>
        <v>0</v>
      </c>
      <c r="L601" s="19">
        <v>-3.0400000000000002E-3</v>
      </c>
      <c r="M601" s="19">
        <v>-3.0400000000000002E-3</v>
      </c>
      <c r="N601" s="19">
        <v>-4.15E-3</v>
      </c>
      <c r="O601" s="19">
        <v>-4.8900000000000002E-3</v>
      </c>
      <c r="P601" s="19">
        <v>-5.11E-3</v>
      </c>
      <c r="Q601" s="19">
        <v>-4.8599999999999997E-3</v>
      </c>
      <c r="R601" s="19"/>
      <c r="S601" s="19">
        <f t="shared" si="75"/>
        <v>0</v>
      </c>
      <c r="T601" s="19">
        <f t="shared" si="76"/>
        <v>0</v>
      </c>
      <c r="U601" s="19">
        <f t="shared" si="77"/>
        <v>0</v>
      </c>
      <c r="V601" s="19">
        <f t="shared" si="78"/>
        <v>0</v>
      </c>
      <c r="W601" s="19">
        <f t="shared" si="79"/>
        <v>0</v>
      </c>
      <c r="X601" s="21">
        <f t="shared" si="80"/>
        <v>0</v>
      </c>
    </row>
    <row r="602" spans="1:24" ht="13.5" x14ac:dyDescent="0.35">
      <c r="A602" s="18">
        <v>100476</v>
      </c>
      <c r="B602" s="19" t="s">
        <v>104</v>
      </c>
      <c r="C602" s="19">
        <v>2.4</v>
      </c>
      <c r="D602" s="19">
        <v>101</v>
      </c>
      <c r="E602" s="19">
        <v>114</v>
      </c>
      <c r="F602" s="19">
        <v>0</v>
      </c>
      <c r="G602" s="19">
        <v>0</v>
      </c>
      <c r="H602" s="19">
        <v>0</v>
      </c>
      <c r="I602" s="20">
        <v>0</v>
      </c>
      <c r="J602" s="19">
        <f t="shared" si="73"/>
        <v>0</v>
      </c>
      <c r="K602" s="19">
        <f t="shared" si="74"/>
        <v>0</v>
      </c>
      <c r="L602" s="19">
        <v>-3.0400000000000002E-3</v>
      </c>
      <c r="M602" s="19">
        <v>-3.0500000000000002E-3</v>
      </c>
      <c r="N602" s="19">
        <v>-4.1599999999999996E-3</v>
      </c>
      <c r="O602" s="19">
        <v>-4.8999999999999998E-3</v>
      </c>
      <c r="P602" s="19">
        <v>-5.11E-3</v>
      </c>
      <c r="Q602" s="19">
        <v>-4.8599999999999997E-3</v>
      </c>
      <c r="R602" s="19"/>
      <c r="S602" s="19">
        <f t="shared" si="75"/>
        <v>0</v>
      </c>
      <c r="T602" s="19">
        <f t="shared" si="76"/>
        <v>0</v>
      </c>
      <c r="U602" s="19">
        <f t="shared" si="77"/>
        <v>0</v>
      </c>
      <c r="V602" s="19">
        <f t="shared" si="78"/>
        <v>0</v>
      </c>
      <c r="W602" s="19">
        <f t="shared" si="79"/>
        <v>0</v>
      </c>
      <c r="X602" s="21">
        <f t="shared" si="80"/>
        <v>0</v>
      </c>
    </row>
    <row r="603" spans="1:24" ht="13.5" x14ac:dyDescent="0.35">
      <c r="A603" s="18">
        <v>100481</v>
      </c>
      <c r="B603" s="19" t="s">
        <v>109</v>
      </c>
      <c r="C603" s="19">
        <v>2.2999999999999998</v>
      </c>
      <c r="D603" s="19">
        <v>101</v>
      </c>
      <c r="E603" s="19">
        <v>114</v>
      </c>
      <c r="F603" s="19">
        <v>0</v>
      </c>
      <c r="G603" s="19">
        <v>0</v>
      </c>
      <c r="H603" s="19">
        <v>0</v>
      </c>
      <c r="I603" s="20">
        <v>0</v>
      </c>
      <c r="J603" s="19">
        <f t="shared" si="73"/>
        <v>0</v>
      </c>
      <c r="K603" s="19">
        <f t="shared" si="74"/>
        <v>0</v>
      </c>
      <c r="L603" s="19">
        <v>-3.0400000000000002E-3</v>
      </c>
      <c r="M603" s="19">
        <v>-3.0500000000000002E-3</v>
      </c>
      <c r="N603" s="19">
        <v>-4.1599999999999996E-3</v>
      </c>
      <c r="O603" s="19">
        <v>-4.8900000000000002E-3</v>
      </c>
      <c r="P603" s="19">
        <v>-5.11E-3</v>
      </c>
      <c r="Q603" s="19">
        <v>-4.8599999999999997E-3</v>
      </c>
      <c r="R603" s="19"/>
      <c r="S603" s="19">
        <f t="shared" si="75"/>
        <v>0</v>
      </c>
      <c r="T603" s="19">
        <f t="shared" si="76"/>
        <v>0</v>
      </c>
      <c r="U603" s="19">
        <f t="shared" si="77"/>
        <v>0</v>
      </c>
      <c r="V603" s="19">
        <f t="shared" si="78"/>
        <v>0</v>
      </c>
      <c r="W603" s="19">
        <f t="shared" si="79"/>
        <v>0</v>
      </c>
      <c r="X603" s="21">
        <f t="shared" si="80"/>
        <v>0</v>
      </c>
    </row>
    <row r="604" spans="1:24" ht="13.5" x14ac:dyDescent="0.35">
      <c r="A604" s="18">
        <v>100484</v>
      </c>
      <c r="B604" s="19" t="s">
        <v>111</v>
      </c>
      <c r="C604" s="19">
        <v>34.5</v>
      </c>
      <c r="D604" s="19">
        <v>101</v>
      </c>
      <c r="E604" s="19">
        <v>112</v>
      </c>
      <c r="F604" s="19">
        <v>0</v>
      </c>
      <c r="G604" s="19">
        <v>0</v>
      </c>
      <c r="H604" s="19">
        <v>0</v>
      </c>
      <c r="I604" s="20">
        <v>0</v>
      </c>
      <c r="J604" s="19">
        <f t="shared" si="73"/>
        <v>0</v>
      </c>
      <c r="K604" s="19">
        <f t="shared" si="74"/>
        <v>0</v>
      </c>
      <c r="L604" s="19">
        <v>-3.0400000000000002E-3</v>
      </c>
      <c r="M604" s="19">
        <v>-3.0500000000000002E-3</v>
      </c>
      <c r="N604" s="19">
        <v>-4.1599999999999996E-3</v>
      </c>
      <c r="O604" s="19">
        <v>-4.8900000000000002E-3</v>
      </c>
      <c r="P604" s="19">
        <v>-5.11E-3</v>
      </c>
      <c r="Q604" s="19">
        <v>-4.8599999999999997E-3</v>
      </c>
      <c r="R604" s="19"/>
      <c r="S604" s="19">
        <f t="shared" si="75"/>
        <v>0</v>
      </c>
      <c r="T604" s="19">
        <f t="shared" si="76"/>
        <v>0</v>
      </c>
      <c r="U604" s="19">
        <f t="shared" si="77"/>
        <v>0</v>
      </c>
      <c r="V604" s="19">
        <f t="shared" si="78"/>
        <v>0</v>
      </c>
      <c r="W604" s="19">
        <f t="shared" si="79"/>
        <v>0</v>
      </c>
      <c r="X604" s="21">
        <f t="shared" si="80"/>
        <v>0</v>
      </c>
    </row>
    <row r="605" spans="1:24" ht="13.5" x14ac:dyDescent="0.35">
      <c r="A605" s="18">
        <v>100492</v>
      </c>
      <c r="B605" s="19" t="s">
        <v>115</v>
      </c>
      <c r="C605" s="19">
        <v>0.53</v>
      </c>
      <c r="D605" s="19">
        <v>101</v>
      </c>
      <c r="E605" s="19">
        <v>113</v>
      </c>
      <c r="F605" s="19">
        <v>0</v>
      </c>
      <c r="G605" s="19">
        <v>0</v>
      </c>
      <c r="H605" s="19">
        <v>0</v>
      </c>
      <c r="I605" s="20">
        <v>0</v>
      </c>
      <c r="J605" s="19">
        <f t="shared" si="73"/>
        <v>0</v>
      </c>
      <c r="K605" s="19">
        <f t="shared" si="74"/>
        <v>0</v>
      </c>
      <c r="L605" s="19">
        <v>-3.0400000000000002E-3</v>
      </c>
      <c r="M605" s="19">
        <v>-3.0400000000000002E-3</v>
      </c>
      <c r="N605" s="19">
        <v>-4.1599999999999996E-3</v>
      </c>
      <c r="O605" s="19">
        <v>-4.8900000000000002E-3</v>
      </c>
      <c r="P605" s="19">
        <v>-5.11E-3</v>
      </c>
      <c r="Q605" s="19">
        <v>-4.8599999999999997E-3</v>
      </c>
      <c r="R605" s="19"/>
      <c r="S605" s="19">
        <f t="shared" si="75"/>
        <v>0</v>
      </c>
      <c r="T605" s="19">
        <f t="shared" si="76"/>
        <v>0</v>
      </c>
      <c r="U605" s="19">
        <f t="shared" si="77"/>
        <v>0</v>
      </c>
      <c r="V605" s="19">
        <f t="shared" si="78"/>
        <v>0</v>
      </c>
      <c r="W605" s="19">
        <f t="shared" si="79"/>
        <v>0</v>
      </c>
      <c r="X605" s="21">
        <f t="shared" si="80"/>
        <v>0</v>
      </c>
    </row>
    <row r="606" spans="1:24" ht="13.5" x14ac:dyDescent="0.35">
      <c r="A606" s="18">
        <v>100758</v>
      </c>
      <c r="B606" s="19" t="s">
        <v>131</v>
      </c>
      <c r="C606" s="19">
        <v>0.6</v>
      </c>
      <c r="D606" s="19">
        <v>101</v>
      </c>
      <c r="E606" s="19">
        <v>113</v>
      </c>
      <c r="F606" s="19">
        <v>0</v>
      </c>
      <c r="G606" s="19">
        <v>0</v>
      </c>
      <c r="H606" s="19">
        <v>0</v>
      </c>
      <c r="I606" s="20">
        <v>0</v>
      </c>
      <c r="J606" s="19">
        <f t="shared" si="73"/>
        <v>0</v>
      </c>
      <c r="K606" s="19">
        <f t="shared" si="74"/>
        <v>0</v>
      </c>
      <c r="L606" s="19">
        <v>-3.0500000000000002E-3</v>
      </c>
      <c r="M606" s="19">
        <v>-3.0500000000000002E-3</v>
      </c>
      <c r="N606" s="19">
        <v>-4.1599999999999996E-3</v>
      </c>
      <c r="O606" s="19">
        <v>-4.8999999999999998E-3</v>
      </c>
      <c r="P606" s="19">
        <v>-5.11E-3</v>
      </c>
      <c r="Q606" s="19">
        <v>-4.8700000000000002E-3</v>
      </c>
      <c r="R606" s="19"/>
      <c r="S606" s="19">
        <f t="shared" si="75"/>
        <v>0</v>
      </c>
      <c r="T606" s="19">
        <f t="shared" si="76"/>
        <v>0</v>
      </c>
      <c r="U606" s="19">
        <f t="shared" si="77"/>
        <v>0</v>
      </c>
      <c r="V606" s="19">
        <f t="shared" si="78"/>
        <v>0</v>
      </c>
      <c r="W606" s="19">
        <f t="shared" si="79"/>
        <v>0</v>
      </c>
      <c r="X606" s="21">
        <f t="shared" si="80"/>
        <v>0</v>
      </c>
    </row>
    <row r="607" spans="1:24" ht="13.5" x14ac:dyDescent="0.35">
      <c r="A607" s="18">
        <v>105464</v>
      </c>
      <c r="B607" s="19" t="s">
        <v>227</v>
      </c>
      <c r="C607" s="19">
        <v>24</v>
      </c>
      <c r="D607" s="19">
        <v>101</v>
      </c>
      <c r="E607" s="19">
        <v>603</v>
      </c>
      <c r="F607" s="19">
        <v>407.5</v>
      </c>
      <c r="G607" s="19">
        <v>0</v>
      </c>
      <c r="H607" s="19">
        <v>407.5</v>
      </c>
      <c r="I607" s="20">
        <v>407.5</v>
      </c>
      <c r="J607" s="19">
        <f t="shared" si="73"/>
        <v>0</v>
      </c>
      <c r="K607" s="19">
        <f t="shared" si="74"/>
        <v>0</v>
      </c>
      <c r="L607" s="19">
        <v>-3.16E-3</v>
      </c>
      <c r="M607" s="19">
        <v>-3.15E-3</v>
      </c>
      <c r="N607" s="19">
        <v>-4.2700000000000004E-3</v>
      </c>
      <c r="O607" s="19">
        <v>-5.0099999999999997E-3</v>
      </c>
      <c r="P607" s="19">
        <v>-5.2399999999999999E-3</v>
      </c>
      <c r="Q607" s="19">
        <v>-4.9800000000000001E-3</v>
      </c>
      <c r="R607" s="19"/>
      <c r="S607" s="19">
        <f t="shared" si="75"/>
        <v>0</v>
      </c>
      <c r="T607" s="19">
        <f t="shared" si="76"/>
        <v>0</v>
      </c>
      <c r="U607" s="19">
        <f t="shared" si="77"/>
        <v>0</v>
      </c>
      <c r="V607" s="19">
        <f t="shared" si="78"/>
        <v>0</v>
      </c>
      <c r="W607" s="19">
        <f t="shared" si="79"/>
        <v>0</v>
      </c>
      <c r="X607" s="21">
        <f t="shared" si="80"/>
        <v>0</v>
      </c>
    </row>
    <row r="608" spans="1:24" ht="13.5" x14ac:dyDescent="0.35">
      <c r="A608" s="18">
        <v>105476</v>
      </c>
      <c r="B608" s="19" t="s">
        <v>228</v>
      </c>
      <c r="C608" s="19">
        <v>18</v>
      </c>
      <c r="D608" s="19">
        <v>101</v>
      </c>
      <c r="E608" s="19">
        <v>603</v>
      </c>
      <c r="F608" s="19">
        <v>175.28</v>
      </c>
      <c r="G608" s="19">
        <v>0</v>
      </c>
      <c r="H608" s="19">
        <v>175.28</v>
      </c>
      <c r="I608" s="20">
        <v>175.28</v>
      </c>
      <c r="J608" s="19">
        <f t="shared" si="73"/>
        <v>0</v>
      </c>
      <c r="K608" s="19">
        <f t="shared" si="74"/>
        <v>0</v>
      </c>
      <c r="L608" s="19">
        <v>-3.16E-3</v>
      </c>
      <c r="M608" s="19">
        <v>-3.15E-3</v>
      </c>
      <c r="N608" s="19">
        <v>-4.2700000000000004E-3</v>
      </c>
      <c r="O608" s="19">
        <v>-5.0099999999999997E-3</v>
      </c>
      <c r="P608" s="19">
        <v>-5.2399999999999999E-3</v>
      </c>
      <c r="Q608" s="19">
        <v>-4.9800000000000001E-3</v>
      </c>
      <c r="R608" s="19"/>
      <c r="S608" s="19">
        <f t="shared" si="75"/>
        <v>0</v>
      </c>
      <c r="T608" s="19">
        <f t="shared" si="76"/>
        <v>0</v>
      </c>
      <c r="U608" s="19">
        <f t="shared" si="77"/>
        <v>0</v>
      </c>
      <c r="V608" s="19">
        <f t="shared" si="78"/>
        <v>0</v>
      </c>
      <c r="W608" s="19">
        <f t="shared" si="79"/>
        <v>0</v>
      </c>
      <c r="X608" s="21">
        <f t="shared" si="80"/>
        <v>0</v>
      </c>
    </row>
    <row r="609" spans="1:24" ht="13.5" x14ac:dyDescent="0.35">
      <c r="A609" s="18">
        <v>105477</v>
      </c>
      <c r="B609" s="19" t="s">
        <v>229</v>
      </c>
      <c r="C609" s="19">
        <v>18</v>
      </c>
      <c r="D609" s="19">
        <v>101</v>
      </c>
      <c r="E609" s="19">
        <v>603</v>
      </c>
      <c r="F609" s="19">
        <v>175.28</v>
      </c>
      <c r="G609" s="19">
        <v>0</v>
      </c>
      <c r="H609" s="19">
        <v>175.28</v>
      </c>
      <c r="I609" s="20">
        <v>175.28</v>
      </c>
      <c r="J609" s="19">
        <f t="shared" si="73"/>
        <v>0</v>
      </c>
      <c r="K609" s="19">
        <f t="shared" si="74"/>
        <v>0</v>
      </c>
      <c r="L609" s="19">
        <v>-3.16E-3</v>
      </c>
      <c r="M609" s="19">
        <v>-3.15E-3</v>
      </c>
      <c r="N609" s="19">
        <v>-4.2700000000000004E-3</v>
      </c>
      <c r="O609" s="19">
        <v>-5.0099999999999997E-3</v>
      </c>
      <c r="P609" s="19">
        <v>-5.2399999999999999E-3</v>
      </c>
      <c r="Q609" s="19">
        <v>-4.9800000000000001E-3</v>
      </c>
      <c r="R609" s="19"/>
      <c r="S609" s="19">
        <f t="shared" si="75"/>
        <v>0</v>
      </c>
      <c r="T609" s="19">
        <f t="shared" si="76"/>
        <v>0</v>
      </c>
      <c r="U609" s="19">
        <f t="shared" si="77"/>
        <v>0</v>
      </c>
      <c r="V609" s="19">
        <f t="shared" si="78"/>
        <v>0</v>
      </c>
      <c r="W609" s="19">
        <f t="shared" si="79"/>
        <v>0</v>
      </c>
      <c r="X609" s="21">
        <f t="shared" si="80"/>
        <v>0</v>
      </c>
    </row>
    <row r="610" spans="1:24" ht="13.5" x14ac:dyDescent="0.35">
      <c r="A610" s="18">
        <v>105478</v>
      </c>
      <c r="B610" s="19" t="s">
        <v>230</v>
      </c>
      <c r="C610" s="19">
        <v>18</v>
      </c>
      <c r="D610" s="19">
        <v>101</v>
      </c>
      <c r="E610" s="19">
        <v>603</v>
      </c>
      <c r="F610" s="19">
        <v>208.95</v>
      </c>
      <c r="G610" s="19">
        <v>0</v>
      </c>
      <c r="H610" s="19">
        <v>208.95</v>
      </c>
      <c r="I610" s="20">
        <v>208.95</v>
      </c>
      <c r="J610" s="19">
        <f t="shared" si="73"/>
        <v>0</v>
      </c>
      <c r="K610" s="19">
        <f t="shared" si="74"/>
        <v>0</v>
      </c>
      <c r="L610" s="19">
        <v>-3.16E-3</v>
      </c>
      <c r="M610" s="19">
        <v>-3.15E-3</v>
      </c>
      <c r="N610" s="19">
        <v>-4.2700000000000004E-3</v>
      </c>
      <c r="O610" s="19">
        <v>-5.0099999999999997E-3</v>
      </c>
      <c r="P610" s="19">
        <v>-5.2399999999999999E-3</v>
      </c>
      <c r="Q610" s="19">
        <v>-4.9800000000000001E-3</v>
      </c>
      <c r="R610" s="19"/>
      <c r="S610" s="19">
        <f t="shared" si="75"/>
        <v>0</v>
      </c>
      <c r="T610" s="19">
        <f t="shared" si="76"/>
        <v>0</v>
      </c>
      <c r="U610" s="19">
        <f t="shared" si="77"/>
        <v>0</v>
      </c>
      <c r="V610" s="19">
        <f t="shared" si="78"/>
        <v>0</v>
      </c>
      <c r="W610" s="19">
        <f t="shared" si="79"/>
        <v>0</v>
      </c>
      <c r="X610" s="21">
        <f t="shared" si="80"/>
        <v>0</v>
      </c>
    </row>
    <row r="611" spans="1:24" ht="13.5" x14ac:dyDescent="0.35">
      <c r="A611" s="18">
        <v>105568</v>
      </c>
      <c r="B611" s="19" t="s">
        <v>231</v>
      </c>
      <c r="C611" s="19">
        <v>25</v>
      </c>
      <c r="D611" s="19">
        <v>101</v>
      </c>
      <c r="E611" s="19">
        <v>603</v>
      </c>
      <c r="F611" s="19">
        <v>1134.47</v>
      </c>
      <c r="G611" s="19">
        <v>0</v>
      </c>
      <c r="H611" s="19">
        <v>1309.28</v>
      </c>
      <c r="I611" s="20">
        <f>1134.47</f>
        <v>1134.47</v>
      </c>
      <c r="J611" s="19">
        <f t="shared" si="73"/>
        <v>0</v>
      </c>
      <c r="K611" s="19">
        <f t="shared" si="74"/>
        <v>174.80999999999995</v>
      </c>
      <c r="L611" s="19">
        <v>-3.29E-3</v>
      </c>
      <c r="M611" s="19">
        <v>-3.2499999999999999E-3</v>
      </c>
      <c r="N611" s="19">
        <v>-4.4000000000000003E-3</v>
      </c>
      <c r="O611" s="19">
        <v>-5.13E-3</v>
      </c>
      <c r="P611" s="19">
        <v>-5.3699999999999998E-3</v>
      </c>
      <c r="Q611" s="19">
        <v>-5.1000000000000004E-3</v>
      </c>
      <c r="R611" s="19"/>
      <c r="S611" s="19">
        <f t="shared" si="75"/>
        <v>0</v>
      </c>
      <c r="T611" s="19">
        <f t="shared" si="76"/>
        <v>0</v>
      </c>
      <c r="U611" s="19">
        <f t="shared" si="77"/>
        <v>0</v>
      </c>
      <c r="V611" s="19">
        <f t="shared" si="78"/>
        <v>0</v>
      </c>
      <c r="W611" s="19">
        <f t="shared" si="79"/>
        <v>0</v>
      </c>
      <c r="X611" s="21">
        <f t="shared" si="80"/>
        <v>0</v>
      </c>
    </row>
    <row r="612" spans="1:24" ht="13.5" x14ac:dyDescent="0.35">
      <c r="A612" s="18">
        <v>106056</v>
      </c>
      <c r="B612" s="19" t="s">
        <v>248</v>
      </c>
      <c r="C612" s="19">
        <v>16</v>
      </c>
      <c r="D612" s="19">
        <v>101</v>
      </c>
      <c r="E612" s="19">
        <v>400</v>
      </c>
      <c r="F612" s="19">
        <v>223.08</v>
      </c>
      <c r="G612" s="19">
        <v>0</v>
      </c>
      <c r="H612" s="19">
        <v>223.08</v>
      </c>
      <c r="I612" s="20">
        <v>223.08</v>
      </c>
      <c r="J612" s="19">
        <f t="shared" si="73"/>
        <v>0</v>
      </c>
      <c r="K612" s="19">
        <f t="shared" si="74"/>
        <v>0</v>
      </c>
      <c r="L612" s="19">
        <v>-3.5300000000000002E-3</v>
      </c>
      <c r="M612" s="19">
        <v>-3.4299999999999999E-3</v>
      </c>
      <c r="N612" s="19">
        <v>-4.5799999999999999E-3</v>
      </c>
      <c r="O612" s="19">
        <v>-5.28E-3</v>
      </c>
      <c r="P612" s="19">
        <v>-5.5500000000000002E-3</v>
      </c>
      <c r="Q612" s="19">
        <v>-5.2599999999999999E-3</v>
      </c>
      <c r="R612" s="19"/>
      <c r="S612" s="19">
        <f t="shared" si="75"/>
        <v>0</v>
      </c>
      <c r="T612" s="19">
        <f t="shared" si="76"/>
        <v>0</v>
      </c>
      <c r="U612" s="19">
        <f t="shared" si="77"/>
        <v>0</v>
      </c>
      <c r="V612" s="19">
        <f t="shared" si="78"/>
        <v>0</v>
      </c>
      <c r="W612" s="19">
        <f t="shared" si="79"/>
        <v>0</v>
      </c>
      <c r="X612" s="21">
        <f t="shared" si="80"/>
        <v>0</v>
      </c>
    </row>
    <row r="613" spans="1:24" ht="13.5" x14ac:dyDescent="0.35">
      <c r="A613" s="18">
        <v>106057</v>
      </c>
      <c r="B613" s="19" t="s">
        <v>249</v>
      </c>
      <c r="C613" s="19">
        <v>16</v>
      </c>
      <c r="D613" s="19">
        <v>101</v>
      </c>
      <c r="E613" s="19">
        <v>400</v>
      </c>
      <c r="F613" s="19">
        <v>223.08</v>
      </c>
      <c r="G613" s="19">
        <v>0</v>
      </c>
      <c r="H613" s="19">
        <v>223.08</v>
      </c>
      <c r="I613" s="20">
        <v>223.08</v>
      </c>
      <c r="J613" s="19">
        <f t="shared" si="73"/>
        <v>0</v>
      </c>
      <c r="K613" s="19">
        <f t="shared" si="74"/>
        <v>0</v>
      </c>
      <c r="L613" s="19">
        <v>-3.7100000000000002E-3</v>
      </c>
      <c r="M613" s="19">
        <v>-3.5799999999999998E-3</v>
      </c>
      <c r="N613" s="19">
        <v>-4.7499999999999999E-3</v>
      </c>
      <c r="O613" s="19">
        <v>-5.4400000000000004E-3</v>
      </c>
      <c r="P613" s="19">
        <v>-5.7400000000000003E-3</v>
      </c>
      <c r="Q613" s="19">
        <v>-5.4299999999999999E-3</v>
      </c>
      <c r="R613" s="19"/>
      <c r="S613" s="19">
        <f t="shared" si="75"/>
        <v>0</v>
      </c>
      <c r="T613" s="19">
        <f t="shared" si="76"/>
        <v>0</v>
      </c>
      <c r="U613" s="19">
        <f t="shared" si="77"/>
        <v>0</v>
      </c>
      <c r="V613" s="19">
        <f t="shared" si="78"/>
        <v>0</v>
      </c>
      <c r="W613" s="19">
        <f t="shared" si="79"/>
        <v>0</v>
      </c>
      <c r="X613" s="21">
        <f t="shared" si="80"/>
        <v>0</v>
      </c>
    </row>
    <row r="614" spans="1:24" ht="13.5" x14ac:dyDescent="0.35">
      <c r="A614" s="18">
        <v>913968</v>
      </c>
      <c r="B614" s="19" t="s">
        <v>671</v>
      </c>
      <c r="C614" s="19">
        <v>115</v>
      </c>
      <c r="D614" s="19">
        <v>101</v>
      </c>
      <c r="E614" s="19">
        <v>1120</v>
      </c>
      <c r="F614" s="19">
        <v>0</v>
      </c>
      <c r="G614" s="19">
        <v>0</v>
      </c>
      <c r="H614" s="19">
        <v>0</v>
      </c>
      <c r="I614" s="20">
        <v>0</v>
      </c>
      <c r="J614" s="19">
        <f t="shared" si="73"/>
        <v>0</v>
      </c>
      <c r="K614" s="19">
        <f t="shared" si="74"/>
        <v>0</v>
      </c>
      <c r="L614" s="19">
        <v>-3.79E-3</v>
      </c>
      <c r="M614" s="19">
        <v>-3.65E-3</v>
      </c>
      <c r="N614" s="19">
        <v>-4.8599999999999997E-3</v>
      </c>
      <c r="O614" s="19">
        <v>-5.5599999999999998E-3</v>
      </c>
      <c r="P614" s="19">
        <v>-5.8599999999999998E-3</v>
      </c>
      <c r="Q614" s="19">
        <v>-5.5399999999999998E-3</v>
      </c>
      <c r="R614" s="19"/>
      <c r="S614" s="19">
        <f t="shared" si="75"/>
        <v>0</v>
      </c>
      <c r="T614" s="19">
        <f t="shared" si="76"/>
        <v>0</v>
      </c>
      <c r="U614" s="19">
        <f t="shared" si="77"/>
        <v>0</v>
      </c>
      <c r="V614" s="19">
        <f t="shared" si="78"/>
        <v>0</v>
      </c>
      <c r="W614" s="19">
        <f t="shared" si="79"/>
        <v>0</v>
      </c>
      <c r="X614" s="21">
        <f t="shared" si="80"/>
        <v>0</v>
      </c>
    </row>
    <row r="615" spans="1:24" ht="13.5" x14ac:dyDescent="0.35">
      <c r="A615" s="18">
        <v>114069</v>
      </c>
      <c r="B615" s="19" t="s">
        <v>422</v>
      </c>
      <c r="C615" s="19">
        <v>13.8</v>
      </c>
      <c r="D615" s="19">
        <v>101</v>
      </c>
      <c r="E615" s="19">
        <v>1120</v>
      </c>
      <c r="F615" s="19">
        <v>40</v>
      </c>
      <c r="G615" s="19">
        <v>0</v>
      </c>
      <c r="H615" s="19">
        <v>40</v>
      </c>
      <c r="I615" s="20">
        <v>40</v>
      </c>
      <c r="J615" s="19">
        <f t="shared" si="73"/>
        <v>0</v>
      </c>
      <c r="K615" s="19">
        <f t="shared" si="74"/>
        <v>0</v>
      </c>
      <c r="L615" s="19">
        <v>-3.8300000000000001E-3</v>
      </c>
      <c r="M615" s="19">
        <v>-3.6900000000000001E-3</v>
      </c>
      <c r="N615" s="19">
        <v>-4.8999999999999998E-3</v>
      </c>
      <c r="O615" s="19">
        <v>-5.62E-3</v>
      </c>
      <c r="P615" s="19">
        <v>-5.9199999999999999E-3</v>
      </c>
      <c r="Q615" s="19">
        <v>-5.5999999999999999E-3</v>
      </c>
      <c r="R615" s="19"/>
      <c r="S615" s="19">
        <f t="shared" si="75"/>
        <v>0</v>
      </c>
      <c r="T615" s="19">
        <f t="shared" si="76"/>
        <v>0</v>
      </c>
      <c r="U615" s="19">
        <f t="shared" si="77"/>
        <v>0</v>
      </c>
      <c r="V615" s="19">
        <f t="shared" si="78"/>
        <v>0</v>
      </c>
      <c r="W615" s="19">
        <f t="shared" si="79"/>
        <v>0</v>
      </c>
      <c r="X615" s="21">
        <f t="shared" si="80"/>
        <v>0</v>
      </c>
    </row>
    <row r="616" spans="1:24" ht="13.5" x14ac:dyDescent="0.35">
      <c r="A616" s="18">
        <v>114070</v>
      </c>
      <c r="B616" s="19" t="s">
        <v>423</v>
      </c>
      <c r="C616" s="19">
        <v>13.8</v>
      </c>
      <c r="D616" s="19">
        <v>101</v>
      </c>
      <c r="E616" s="19">
        <v>1120</v>
      </c>
      <c r="F616" s="19">
        <v>41.68</v>
      </c>
      <c r="G616" s="19">
        <v>0</v>
      </c>
      <c r="H616" s="19">
        <v>41.68</v>
      </c>
      <c r="I616" s="20">
        <v>41.68</v>
      </c>
      <c r="J616" s="19">
        <f t="shared" si="73"/>
        <v>0</v>
      </c>
      <c r="K616" s="19">
        <f t="shared" si="74"/>
        <v>0</v>
      </c>
      <c r="L616" s="19">
        <v>-3.8300000000000001E-3</v>
      </c>
      <c r="M616" s="19">
        <v>-3.6900000000000001E-3</v>
      </c>
      <c r="N616" s="19">
        <v>-4.8999999999999998E-3</v>
      </c>
      <c r="O616" s="19">
        <v>-5.62E-3</v>
      </c>
      <c r="P616" s="19">
        <v>-5.9199999999999999E-3</v>
      </c>
      <c r="Q616" s="19">
        <v>-5.5999999999999999E-3</v>
      </c>
      <c r="R616" s="19"/>
      <c r="S616" s="19">
        <f t="shared" si="75"/>
        <v>0</v>
      </c>
      <c r="T616" s="19">
        <f t="shared" si="76"/>
        <v>0</v>
      </c>
      <c r="U616" s="19">
        <f t="shared" si="77"/>
        <v>0</v>
      </c>
      <c r="V616" s="19">
        <f t="shared" si="78"/>
        <v>0</v>
      </c>
      <c r="W616" s="19">
        <f t="shared" si="79"/>
        <v>0</v>
      </c>
      <c r="X616" s="21">
        <f t="shared" si="80"/>
        <v>0</v>
      </c>
    </row>
    <row r="617" spans="1:24" ht="13.5" x14ac:dyDescent="0.35">
      <c r="A617" s="18">
        <v>114067</v>
      </c>
      <c r="B617" s="19" t="s">
        <v>421</v>
      </c>
      <c r="C617" s="19">
        <v>4.16</v>
      </c>
      <c r="D617" s="19">
        <v>101</v>
      </c>
      <c r="E617" s="19">
        <v>1120</v>
      </c>
      <c r="F617" s="19">
        <v>9.4</v>
      </c>
      <c r="G617" s="19">
        <v>0</v>
      </c>
      <c r="H617" s="19">
        <v>9.4</v>
      </c>
      <c r="I617" s="20">
        <v>9.4</v>
      </c>
      <c r="J617" s="19">
        <f t="shared" si="73"/>
        <v>0</v>
      </c>
      <c r="K617" s="19">
        <f t="shared" si="74"/>
        <v>0</v>
      </c>
      <c r="L617" s="19">
        <v>-3.9500000000000004E-3</v>
      </c>
      <c r="M617" s="19">
        <v>-3.79E-3</v>
      </c>
      <c r="N617" s="19">
        <v>-5.0000000000000001E-3</v>
      </c>
      <c r="O617" s="19">
        <v>-5.7099999999999998E-3</v>
      </c>
      <c r="P617" s="19">
        <v>-6.0200000000000002E-3</v>
      </c>
      <c r="Q617" s="19">
        <v>-5.6899999999999997E-3</v>
      </c>
      <c r="R617" s="19"/>
      <c r="S617" s="19">
        <f t="shared" si="75"/>
        <v>0</v>
      </c>
      <c r="T617" s="19">
        <f t="shared" si="76"/>
        <v>0</v>
      </c>
      <c r="U617" s="19">
        <f t="shared" si="77"/>
        <v>0</v>
      </c>
      <c r="V617" s="19">
        <f t="shared" si="78"/>
        <v>0</v>
      </c>
      <c r="W617" s="19">
        <f t="shared" si="79"/>
        <v>0</v>
      </c>
      <c r="X617" s="21">
        <f t="shared" si="80"/>
        <v>0</v>
      </c>
    </row>
    <row r="618" spans="1:24" ht="13.5" x14ac:dyDescent="0.35">
      <c r="A618" s="18">
        <v>114026</v>
      </c>
      <c r="B618" s="19" t="s">
        <v>417</v>
      </c>
      <c r="C618" s="19">
        <v>13.8</v>
      </c>
      <c r="D618" s="19">
        <v>101</v>
      </c>
      <c r="E618" s="19">
        <v>1120</v>
      </c>
      <c r="F618" s="19">
        <v>0</v>
      </c>
      <c r="G618" s="19">
        <v>0</v>
      </c>
      <c r="H618" s="19">
        <v>0</v>
      </c>
      <c r="I618" s="20">
        <v>0</v>
      </c>
      <c r="J618" s="19">
        <f t="shared" si="73"/>
        <v>0</v>
      </c>
      <c r="K618" s="19">
        <f t="shared" si="74"/>
        <v>0</v>
      </c>
      <c r="L618" s="19">
        <v>-4.0899999999999999E-3</v>
      </c>
      <c r="M618" s="19">
        <v>-3.8899999999999998E-3</v>
      </c>
      <c r="N618" s="19">
        <v>-5.1200000000000004E-3</v>
      </c>
      <c r="O618" s="19">
        <v>-5.8199999999999997E-3</v>
      </c>
      <c r="P618" s="19">
        <v>-6.1500000000000001E-3</v>
      </c>
      <c r="Q618" s="19">
        <v>-5.8100000000000001E-3</v>
      </c>
      <c r="R618" s="19"/>
      <c r="S618" s="19">
        <f t="shared" si="75"/>
        <v>0</v>
      </c>
      <c r="T618" s="19">
        <f t="shared" si="76"/>
        <v>0</v>
      </c>
      <c r="U618" s="19">
        <f t="shared" si="77"/>
        <v>0</v>
      </c>
      <c r="V618" s="19">
        <f t="shared" si="78"/>
        <v>0</v>
      </c>
      <c r="W618" s="19">
        <f t="shared" si="79"/>
        <v>0</v>
      </c>
      <c r="X618" s="21">
        <f t="shared" si="80"/>
        <v>0</v>
      </c>
    </row>
    <row r="619" spans="1:24" ht="13.5" x14ac:dyDescent="0.35">
      <c r="A619" s="18">
        <v>114047</v>
      </c>
      <c r="B619" s="19" t="s">
        <v>418</v>
      </c>
      <c r="C619" s="19">
        <v>13.8</v>
      </c>
      <c r="D619" s="19">
        <v>101</v>
      </c>
      <c r="E619" s="19">
        <v>1120</v>
      </c>
      <c r="F619" s="19">
        <v>50.43</v>
      </c>
      <c r="G619" s="19">
        <v>0</v>
      </c>
      <c r="H619" s="19">
        <v>50.43</v>
      </c>
      <c r="I619" s="20">
        <v>50.43</v>
      </c>
      <c r="J619" s="19">
        <f t="shared" si="73"/>
        <v>0</v>
      </c>
      <c r="K619" s="19">
        <f t="shared" si="74"/>
        <v>0</v>
      </c>
      <c r="L619" s="19">
        <v>-4.0899999999999999E-3</v>
      </c>
      <c r="M619" s="19">
        <v>-3.8899999999999998E-3</v>
      </c>
      <c r="N619" s="19">
        <v>-5.1200000000000004E-3</v>
      </c>
      <c r="O619" s="19">
        <v>-5.8199999999999997E-3</v>
      </c>
      <c r="P619" s="19">
        <v>-6.1500000000000001E-3</v>
      </c>
      <c r="Q619" s="19">
        <v>-5.8100000000000001E-3</v>
      </c>
      <c r="R619" s="19"/>
      <c r="S619" s="19">
        <f t="shared" si="75"/>
        <v>0</v>
      </c>
      <c r="T619" s="19">
        <f t="shared" si="76"/>
        <v>0</v>
      </c>
      <c r="U619" s="19">
        <f t="shared" si="77"/>
        <v>0</v>
      </c>
      <c r="V619" s="19">
        <f t="shared" si="78"/>
        <v>0</v>
      </c>
      <c r="W619" s="19">
        <f t="shared" si="79"/>
        <v>0</v>
      </c>
      <c r="X619" s="21">
        <f t="shared" si="80"/>
        <v>0</v>
      </c>
    </row>
    <row r="620" spans="1:24" ht="13.5" x14ac:dyDescent="0.35">
      <c r="A620" s="18">
        <v>114048</v>
      </c>
      <c r="B620" s="19" t="s">
        <v>419</v>
      </c>
      <c r="C620" s="19">
        <v>13.8</v>
      </c>
      <c r="D620" s="19">
        <v>101</v>
      </c>
      <c r="E620" s="19">
        <v>1120</v>
      </c>
      <c r="F620" s="19">
        <v>23.57</v>
      </c>
      <c r="G620" s="19">
        <v>0</v>
      </c>
      <c r="H620" s="19">
        <v>23.57</v>
      </c>
      <c r="I620" s="20">
        <v>23.57</v>
      </c>
      <c r="J620" s="19">
        <f t="shared" si="73"/>
        <v>0</v>
      </c>
      <c r="K620" s="19">
        <f t="shared" si="74"/>
        <v>0</v>
      </c>
      <c r="L620" s="19">
        <v>-4.0899999999999999E-3</v>
      </c>
      <c r="M620" s="19">
        <v>-3.8899999999999998E-3</v>
      </c>
      <c r="N620" s="19">
        <v>-5.1200000000000004E-3</v>
      </c>
      <c r="O620" s="19">
        <v>-5.8199999999999997E-3</v>
      </c>
      <c r="P620" s="19">
        <v>-6.1500000000000001E-3</v>
      </c>
      <c r="Q620" s="19">
        <v>-5.8100000000000001E-3</v>
      </c>
      <c r="R620" s="19"/>
      <c r="S620" s="19">
        <f t="shared" si="75"/>
        <v>0</v>
      </c>
      <c r="T620" s="19">
        <f t="shared" si="76"/>
        <v>0</v>
      </c>
      <c r="U620" s="19">
        <f t="shared" si="77"/>
        <v>0</v>
      </c>
      <c r="V620" s="19">
        <f t="shared" si="78"/>
        <v>0</v>
      </c>
      <c r="W620" s="19">
        <f t="shared" si="79"/>
        <v>0</v>
      </c>
      <c r="X620" s="21">
        <f t="shared" si="80"/>
        <v>0</v>
      </c>
    </row>
    <row r="621" spans="1:24" ht="13.5" x14ac:dyDescent="0.35">
      <c r="A621" s="18">
        <v>114085</v>
      </c>
      <c r="B621" s="19" t="s">
        <v>424</v>
      </c>
      <c r="C621" s="19">
        <v>4.16</v>
      </c>
      <c r="D621" s="19">
        <v>101</v>
      </c>
      <c r="E621" s="19">
        <v>1120</v>
      </c>
      <c r="F621" s="19">
        <v>0</v>
      </c>
      <c r="G621" s="19">
        <v>0</v>
      </c>
      <c r="H621" s="19">
        <v>0</v>
      </c>
      <c r="I621" s="20">
        <v>0</v>
      </c>
      <c r="J621" s="19">
        <f t="shared" si="73"/>
        <v>0</v>
      </c>
      <c r="K621" s="19">
        <f t="shared" si="74"/>
        <v>0</v>
      </c>
      <c r="L621" s="19">
        <v>-4.0899999999999999E-3</v>
      </c>
      <c r="M621" s="19">
        <v>-3.8899999999999998E-3</v>
      </c>
      <c r="N621" s="19">
        <v>-5.1200000000000004E-3</v>
      </c>
      <c r="O621" s="19">
        <v>-5.8199999999999997E-3</v>
      </c>
      <c r="P621" s="19">
        <v>-6.1500000000000001E-3</v>
      </c>
      <c r="Q621" s="19">
        <v>-5.8100000000000001E-3</v>
      </c>
      <c r="R621" s="19"/>
      <c r="S621" s="19">
        <f t="shared" si="75"/>
        <v>0</v>
      </c>
      <c r="T621" s="19">
        <f t="shared" si="76"/>
        <v>0</v>
      </c>
      <c r="U621" s="19">
        <f t="shared" si="77"/>
        <v>0</v>
      </c>
      <c r="V621" s="19">
        <f t="shared" si="78"/>
        <v>0</v>
      </c>
      <c r="W621" s="19">
        <f t="shared" si="79"/>
        <v>0</v>
      </c>
      <c r="X621" s="21">
        <f t="shared" si="80"/>
        <v>0</v>
      </c>
    </row>
    <row r="622" spans="1:24" ht="13.5" x14ac:dyDescent="0.35">
      <c r="A622" s="18">
        <v>114086</v>
      </c>
      <c r="B622" s="19" t="s">
        <v>425</v>
      </c>
      <c r="C622" s="19">
        <v>4.16</v>
      </c>
      <c r="D622" s="19">
        <v>101</v>
      </c>
      <c r="E622" s="19">
        <v>1120</v>
      </c>
      <c r="F622" s="19">
        <v>0</v>
      </c>
      <c r="G622" s="19">
        <v>0</v>
      </c>
      <c r="H622" s="19">
        <v>0</v>
      </c>
      <c r="I622" s="20">
        <v>0</v>
      </c>
      <c r="J622" s="19">
        <f t="shared" si="73"/>
        <v>0</v>
      </c>
      <c r="K622" s="19">
        <f t="shared" si="74"/>
        <v>0</v>
      </c>
      <c r="L622" s="19">
        <v>-4.0899999999999999E-3</v>
      </c>
      <c r="M622" s="19">
        <v>-3.8899999999999998E-3</v>
      </c>
      <c r="N622" s="19">
        <v>-5.1200000000000004E-3</v>
      </c>
      <c r="O622" s="19">
        <v>-5.8199999999999997E-3</v>
      </c>
      <c r="P622" s="19">
        <v>-6.1500000000000001E-3</v>
      </c>
      <c r="Q622" s="19">
        <v>-5.8100000000000001E-3</v>
      </c>
      <c r="R622" s="19"/>
      <c r="S622" s="19">
        <f t="shared" si="75"/>
        <v>0</v>
      </c>
      <c r="T622" s="19">
        <f t="shared" si="76"/>
        <v>0</v>
      </c>
      <c r="U622" s="19">
        <f t="shared" si="77"/>
        <v>0</v>
      </c>
      <c r="V622" s="19">
        <f t="shared" si="78"/>
        <v>0</v>
      </c>
      <c r="W622" s="19">
        <f t="shared" si="79"/>
        <v>0</v>
      </c>
      <c r="X622" s="21">
        <f t="shared" si="80"/>
        <v>0</v>
      </c>
    </row>
    <row r="623" spans="1:24" ht="13.5" x14ac:dyDescent="0.35">
      <c r="A623" s="18">
        <v>910770</v>
      </c>
      <c r="B623" s="19" t="s">
        <v>607</v>
      </c>
      <c r="C623" s="19">
        <v>345</v>
      </c>
      <c r="D623" s="19">
        <v>101</v>
      </c>
      <c r="E623" s="19">
        <v>1020</v>
      </c>
      <c r="F623" s="19">
        <v>250</v>
      </c>
      <c r="G623" s="19">
        <v>0</v>
      </c>
      <c r="H623" s="19">
        <v>250</v>
      </c>
      <c r="I623" s="20">
        <v>250</v>
      </c>
      <c r="J623" s="19">
        <f t="shared" si="73"/>
        <v>0</v>
      </c>
      <c r="K623" s="19">
        <f t="shared" si="74"/>
        <v>0</v>
      </c>
      <c r="L623" s="19">
        <v>-4.2399999999999998E-3</v>
      </c>
      <c r="M623" s="19">
        <v>-4.5799999999999999E-3</v>
      </c>
      <c r="N623" s="19">
        <v>-7.4700000000000001E-3</v>
      </c>
      <c r="O623" s="19">
        <v>-9.3299999999999998E-3</v>
      </c>
      <c r="P623" s="19">
        <v>-1.1769999999999999E-2</v>
      </c>
      <c r="Q623" s="19">
        <v>-9.2499999999999995E-3</v>
      </c>
      <c r="R623" s="19"/>
      <c r="S623" s="19">
        <f t="shared" si="75"/>
        <v>0</v>
      </c>
      <c r="T623" s="19">
        <f t="shared" si="76"/>
        <v>0</v>
      </c>
      <c r="U623" s="19">
        <f t="shared" si="77"/>
        <v>0</v>
      </c>
      <c r="V623" s="19">
        <f t="shared" si="78"/>
        <v>0</v>
      </c>
      <c r="W623" s="19">
        <f t="shared" si="79"/>
        <v>0</v>
      </c>
      <c r="X623" s="21">
        <f t="shared" si="80"/>
        <v>0</v>
      </c>
    </row>
    <row r="624" spans="1:24" ht="13.5" x14ac:dyDescent="0.35">
      <c r="A624" s="18">
        <v>111028</v>
      </c>
      <c r="B624" s="19" t="s">
        <v>336</v>
      </c>
      <c r="C624" s="19">
        <v>13.8</v>
      </c>
      <c r="D624" s="19">
        <v>101</v>
      </c>
      <c r="E624" s="19">
        <v>1002</v>
      </c>
      <c r="F624" s="19">
        <v>42.3</v>
      </c>
      <c r="G624" s="19">
        <v>0</v>
      </c>
      <c r="H624" s="19">
        <v>42.3</v>
      </c>
      <c r="I624" s="20">
        <v>42.3</v>
      </c>
      <c r="J624" s="19">
        <f t="shared" si="73"/>
        <v>0</v>
      </c>
      <c r="K624" s="19">
        <f t="shared" si="74"/>
        <v>0</v>
      </c>
      <c r="L624" s="19">
        <v>-4.5100000000000001E-3</v>
      </c>
      <c r="M624" s="19">
        <v>-4.1000000000000003E-3</v>
      </c>
      <c r="N624" s="19">
        <v>-5.94E-3</v>
      </c>
      <c r="O624" s="19">
        <v>-4.7000000000000002E-3</v>
      </c>
      <c r="P624" s="19">
        <v>-4.7000000000000002E-3</v>
      </c>
      <c r="Q624" s="19">
        <v>-5.11E-3</v>
      </c>
      <c r="R624" s="19"/>
      <c r="S624" s="19">
        <f t="shared" si="75"/>
        <v>0</v>
      </c>
      <c r="T624" s="19">
        <f t="shared" si="76"/>
        <v>0</v>
      </c>
      <c r="U624" s="19">
        <f t="shared" si="77"/>
        <v>0</v>
      </c>
      <c r="V624" s="19">
        <f t="shared" si="78"/>
        <v>0</v>
      </c>
      <c r="W624" s="19">
        <f t="shared" si="79"/>
        <v>0</v>
      </c>
      <c r="X624" s="21">
        <f t="shared" si="80"/>
        <v>0</v>
      </c>
    </row>
    <row r="625" spans="1:24" ht="13.5" x14ac:dyDescent="0.35">
      <c r="A625" s="18">
        <v>110950</v>
      </c>
      <c r="B625" s="19" t="s">
        <v>330</v>
      </c>
      <c r="C625" s="19">
        <v>13.8</v>
      </c>
      <c r="D625" s="19">
        <v>101</v>
      </c>
      <c r="E625" s="19">
        <v>1023</v>
      </c>
      <c r="F625" s="19">
        <v>0</v>
      </c>
      <c r="G625" s="19">
        <v>0</v>
      </c>
      <c r="H625" s="19">
        <v>0</v>
      </c>
      <c r="I625" s="20">
        <v>0</v>
      </c>
      <c r="J625" s="19">
        <f t="shared" si="73"/>
        <v>0</v>
      </c>
      <c r="K625" s="19">
        <f t="shared" si="74"/>
        <v>0</v>
      </c>
      <c r="L625" s="19">
        <v>-4.5599999999999998E-3</v>
      </c>
      <c r="M625" s="19">
        <v>-4.7000000000000002E-3</v>
      </c>
      <c r="N625" s="19">
        <v>-7.2899999999999996E-3</v>
      </c>
      <c r="O625" s="19">
        <v>-8.6999999999999994E-3</v>
      </c>
      <c r="P625" s="19">
        <v>-1.0659999999999999E-2</v>
      </c>
      <c r="Q625" s="19">
        <v>-8.6800000000000002E-3</v>
      </c>
      <c r="R625" s="19"/>
      <c r="S625" s="19">
        <f t="shared" si="75"/>
        <v>0</v>
      </c>
      <c r="T625" s="19">
        <f t="shared" si="76"/>
        <v>0</v>
      </c>
      <c r="U625" s="19">
        <f t="shared" si="77"/>
        <v>0</v>
      </c>
      <c r="V625" s="19">
        <f t="shared" si="78"/>
        <v>0</v>
      </c>
      <c r="W625" s="19">
        <f t="shared" si="79"/>
        <v>0</v>
      </c>
      <c r="X625" s="21">
        <f t="shared" si="80"/>
        <v>0</v>
      </c>
    </row>
    <row r="626" spans="1:24" ht="13.5" x14ac:dyDescent="0.35">
      <c r="A626" s="18">
        <v>110951</v>
      </c>
      <c r="B626" s="19" t="s">
        <v>331</v>
      </c>
      <c r="C626" s="19">
        <v>13.8</v>
      </c>
      <c r="D626" s="19">
        <v>101</v>
      </c>
      <c r="E626" s="19">
        <v>1023</v>
      </c>
      <c r="F626" s="19">
        <v>0</v>
      </c>
      <c r="G626" s="19">
        <v>0</v>
      </c>
      <c r="H626" s="19">
        <v>0</v>
      </c>
      <c r="I626" s="20">
        <v>0</v>
      </c>
      <c r="J626" s="19">
        <f t="shared" si="73"/>
        <v>0</v>
      </c>
      <c r="K626" s="19">
        <f t="shared" si="74"/>
        <v>0</v>
      </c>
      <c r="L626" s="19">
        <v>-4.5599999999999998E-3</v>
      </c>
      <c r="M626" s="19">
        <v>-4.7000000000000002E-3</v>
      </c>
      <c r="N626" s="19">
        <v>-7.2899999999999996E-3</v>
      </c>
      <c r="O626" s="19">
        <v>-8.6999999999999994E-3</v>
      </c>
      <c r="P626" s="19">
        <v>-1.0659999999999999E-2</v>
      </c>
      <c r="Q626" s="19">
        <v>-8.6800000000000002E-3</v>
      </c>
      <c r="R626" s="19"/>
      <c r="S626" s="19">
        <f t="shared" si="75"/>
        <v>0</v>
      </c>
      <c r="T626" s="19">
        <f t="shared" si="76"/>
        <v>0</v>
      </c>
      <c r="U626" s="19">
        <f t="shared" si="77"/>
        <v>0</v>
      </c>
      <c r="V626" s="19">
        <f t="shared" si="78"/>
        <v>0</v>
      </c>
      <c r="W626" s="19">
        <f t="shared" si="79"/>
        <v>0</v>
      </c>
      <c r="X626" s="21">
        <f t="shared" si="80"/>
        <v>0</v>
      </c>
    </row>
    <row r="627" spans="1:24" ht="13.5" x14ac:dyDescent="0.35">
      <c r="A627" s="18">
        <v>114713</v>
      </c>
      <c r="B627" s="19" t="s">
        <v>433</v>
      </c>
      <c r="C627" s="19">
        <v>13.8</v>
      </c>
      <c r="D627" s="19">
        <v>101</v>
      </c>
      <c r="E627" s="19">
        <v>1242</v>
      </c>
      <c r="F627" s="19">
        <v>16.440000000000001</v>
      </c>
      <c r="G627" s="19">
        <v>0</v>
      </c>
      <c r="H627" s="19">
        <v>16.440000000000001</v>
      </c>
      <c r="I627" s="20">
        <v>16.440000000000001</v>
      </c>
      <c r="J627" s="19">
        <f t="shared" si="73"/>
        <v>0</v>
      </c>
      <c r="K627" s="19">
        <f t="shared" si="74"/>
        <v>0</v>
      </c>
      <c r="L627" s="19">
        <v>-4.5599999999999998E-3</v>
      </c>
      <c r="M627" s="19">
        <v>-4.28E-3</v>
      </c>
      <c r="N627" s="19">
        <v>-5.5599999999999998E-3</v>
      </c>
      <c r="O627" s="19">
        <v>-6.2700000000000004E-3</v>
      </c>
      <c r="P627" s="19">
        <v>-6.6400000000000001E-3</v>
      </c>
      <c r="Q627" s="19">
        <v>-6.2599999999999999E-3</v>
      </c>
      <c r="R627" s="19"/>
      <c r="S627" s="19">
        <f t="shared" si="75"/>
        <v>0</v>
      </c>
      <c r="T627" s="19">
        <f t="shared" si="76"/>
        <v>0</v>
      </c>
      <c r="U627" s="19">
        <f t="shared" si="77"/>
        <v>0</v>
      </c>
      <c r="V627" s="19">
        <f t="shared" si="78"/>
        <v>0</v>
      </c>
      <c r="W627" s="19">
        <f t="shared" si="79"/>
        <v>0</v>
      </c>
      <c r="X627" s="21">
        <f t="shared" si="80"/>
        <v>0</v>
      </c>
    </row>
    <row r="628" spans="1:24" ht="13.5" x14ac:dyDescent="0.35">
      <c r="A628" s="18">
        <v>114714</v>
      </c>
      <c r="B628" s="19" t="s">
        <v>434</v>
      </c>
      <c r="C628" s="19">
        <v>13.8</v>
      </c>
      <c r="D628" s="19">
        <v>101</v>
      </c>
      <c r="E628" s="19">
        <v>1242</v>
      </c>
      <c r="F628" s="19">
        <v>30.79</v>
      </c>
      <c r="G628" s="19">
        <v>0</v>
      </c>
      <c r="H628" s="19">
        <v>30.79</v>
      </c>
      <c r="I628" s="20">
        <v>30.79</v>
      </c>
      <c r="J628" s="19">
        <f t="shared" si="73"/>
        <v>0</v>
      </c>
      <c r="K628" s="19">
        <f t="shared" si="74"/>
        <v>0</v>
      </c>
      <c r="L628" s="19">
        <v>-4.5700000000000003E-3</v>
      </c>
      <c r="M628" s="19">
        <v>-4.2900000000000004E-3</v>
      </c>
      <c r="N628" s="19">
        <v>-5.5700000000000003E-3</v>
      </c>
      <c r="O628" s="19">
        <v>-6.2700000000000004E-3</v>
      </c>
      <c r="P628" s="19">
        <v>-6.6499999999999997E-3</v>
      </c>
      <c r="Q628" s="19">
        <v>-6.2599999999999999E-3</v>
      </c>
      <c r="R628" s="19"/>
      <c r="S628" s="19">
        <f t="shared" si="75"/>
        <v>0</v>
      </c>
      <c r="T628" s="19">
        <f t="shared" si="76"/>
        <v>0</v>
      </c>
      <c r="U628" s="19">
        <f t="shared" si="77"/>
        <v>0</v>
      </c>
      <c r="V628" s="19">
        <f t="shared" si="78"/>
        <v>0</v>
      </c>
      <c r="W628" s="19">
        <f t="shared" si="79"/>
        <v>0</v>
      </c>
      <c r="X628" s="21">
        <f t="shared" si="80"/>
        <v>0</v>
      </c>
    </row>
    <row r="629" spans="1:24" ht="13.5" x14ac:dyDescent="0.35">
      <c r="A629" s="18">
        <v>114716</v>
      </c>
      <c r="B629" s="19" t="s">
        <v>435</v>
      </c>
      <c r="C629" s="19">
        <v>13.8</v>
      </c>
      <c r="D629" s="19">
        <v>101</v>
      </c>
      <c r="E629" s="19">
        <v>1242</v>
      </c>
      <c r="F629" s="19">
        <v>57.97</v>
      </c>
      <c r="G629" s="19">
        <v>0</v>
      </c>
      <c r="H629" s="19">
        <v>57.97</v>
      </c>
      <c r="I629" s="20">
        <v>57.97</v>
      </c>
      <c r="J629" s="19">
        <f t="shared" si="73"/>
        <v>0</v>
      </c>
      <c r="K629" s="19">
        <f t="shared" si="74"/>
        <v>0</v>
      </c>
      <c r="L629" s="19">
        <v>-4.5700000000000003E-3</v>
      </c>
      <c r="M629" s="19">
        <v>-4.2900000000000004E-3</v>
      </c>
      <c r="N629" s="19">
        <v>-5.5700000000000003E-3</v>
      </c>
      <c r="O629" s="19">
        <v>-6.2700000000000004E-3</v>
      </c>
      <c r="P629" s="19">
        <v>-6.6499999999999997E-3</v>
      </c>
      <c r="Q629" s="19">
        <v>-6.2599999999999999E-3</v>
      </c>
      <c r="R629" s="19"/>
      <c r="S629" s="19">
        <f t="shared" si="75"/>
        <v>0</v>
      </c>
      <c r="T629" s="19">
        <f t="shared" si="76"/>
        <v>0</v>
      </c>
      <c r="U629" s="19">
        <f t="shared" si="77"/>
        <v>0</v>
      </c>
      <c r="V629" s="19">
        <f t="shared" si="78"/>
        <v>0</v>
      </c>
      <c r="W629" s="19">
        <f t="shared" si="79"/>
        <v>0</v>
      </c>
      <c r="X629" s="21">
        <f t="shared" si="80"/>
        <v>0</v>
      </c>
    </row>
    <row r="630" spans="1:24" ht="13.5" x14ac:dyDescent="0.35">
      <c r="A630" s="18">
        <v>114484</v>
      </c>
      <c r="B630" s="19" t="s">
        <v>429</v>
      </c>
      <c r="C630" s="19">
        <v>18</v>
      </c>
      <c r="D630" s="19">
        <v>101</v>
      </c>
      <c r="E630" s="19">
        <v>1130</v>
      </c>
      <c r="F630" s="19">
        <v>203.25</v>
      </c>
      <c r="G630" s="19">
        <v>0</v>
      </c>
      <c r="H630" s="19">
        <v>203.25</v>
      </c>
      <c r="I630" s="20">
        <v>203.25</v>
      </c>
      <c r="J630" s="19">
        <f t="shared" si="73"/>
        <v>0</v>
      </c>
      <c r="K630" s="19">
        <f t="shared" si="74"/>
        <v>0</v>
      </c>
      <c r="L630" s="19">
        <v>-4.7099999999999998E-3</v>
      </c>
      <c r="M630" s="19">
        <v>-4.4000000000000003E-3</v>
      </c>
      <c r="N630" s="19">
        <v>-5.6899999999999997E-3</v>
      </c>
      <c r="O630" s="19">
        <v>-6.4000000000000003E-3</v>
      </c>
      <c r="P630" s="19">
        <v>-6.79E-3</v>
      </c>
      <c r="Q630" s="19">
        <v>-6.3899999999999998E-3</v>
      </c>
      <c r="R630" s="19"/>
      <c r="S630" s="19">
        <f t="shared" si="75"/>
        <v>0</v>
      </c>
      <c r="T630" s="19">
        <f t="shared" si="76"/>
        <v>0</v>
      </c>
      <c r="U630" s="19">
        <f t="shared" si="77"/>
        <v>0</v>
      </c>
      <c r="V630" s="19">
        <f t="shared" si="78"/>
        <v>0</v>
      </c>
      <c r="W630" s="19">
        <f t="shared" si="79"/>
        <v>0</v>
      </c>
      <c r="X630" s="21">
        <f t="shared" si="80"/>
        <v>0</v>
      </c>
    </row>
    <row r="631" spans="1:24" ht="13.5" x14ac:dyDescent="0.35">
      <c r="A631" s="18">
        <v>114485</v>
      </c>
      <c r="B631" s="19" t="s">
        <v>430</v>
      </c>
      <c r="C631" s="19">
        <v>13.8</v>
      </c>
      <c r="D631" s="19">
        <v>101</v>
      </c>
      <c r="E631" s="19">
        <v>1130</v>
      </c>
      <c r="F631" s="19">
        <v>133.75</v>
      </c>
      <c r="G631" s="19">
        <v>0</v>
      </c>
      <c r="H631" s="19">
        <v>133.75</v>
      </c>
      <c r="I631" s="20">
        <v>133.75</v>
      </c>
      <c r="J631" s="19">
        <f t="shared" si="73"/>
        <v>0</v>
      </c>
      <c r="K631" s="19">
        <f t="shared" si="74"/>
        <v>0</v>
      </c>
      <c r="L631" s="19">
        <v>-4.7099999999999998E-3</v>
      </c>
      <c r="M631" s="19">
        <v>-4.4000000000000003E-3</v>
      </c>
      <c r="N631" s="19">
        <v>-5.6899999999999997E-3</v>
      </c>
      <c r="O631" s="19">
        <v>-6.4000000000000003E-3</v>
      </c>
      <c r="P631" s="19">
        <v>-6.79E-3</v>
      </c>
      <c r="Q631" s="19">
        <v>-6.3899999999999998E-3</v>
      </c>
      <c r="R631" s="19"/>
      <c r="S631" s="19">
        <f t="shared" si="75"/>
        <v>0</v>
      </c>
      <c r="T631" s="19">
        <f t="shared" si="76"/>
        <v>0</v>
      </c>
      <c r="U631" s="19">
        <f t="shared" si="77"/>
        <v>0</v>
      </c>
      <c r="V631" s="19">
        <f t="shared" si="78"/>
        <v>0</v>
      </c>
      <c r="W631" s="19">
        <f t="shared" si="79"/>
        <v>0</v>
      </c>
      <c r="X631" s="21">
        <f t="shared" si="80"/>
        <v>0</v>
      </c>
    </row>
    <row r="632" spans="1:24" ht="13.5" x14ac:dyDescent="0.35">
      <c r="A632" s="18">
        <v>114487</v>
      </c>
      <c r="B632" s="19" t="s">
        <v>431</v>
      </c>
      <c r="C632" s="19">
        <v>18</v>
      </c>
      <c r="D632" s="19">
        <v>101</v>
      </c>
      <c r="E632" s="19">
        <v>1130</v>
      </c>
      <c r="F632" s="19">
        <v>203.25</v>
      </c>
      <c r="G632" s="19">
        <v>0</v>
      </c>
      <c r="H632" s="19">
        <v>203.25</v>
      </c>
      <c r="I632" s="20">
        <v>203.25</v>
      </c>
      <c r="J632" s="19">
        <f t="shared" si="73"/>
        <v>0</v>
      </c>
      <c r="K632" s="19">
        <f t="shared" si="74"/>
        <v>0</v>
      </c>
      <c r="L632" s="19">
        <v>-4.7099999999999998E-3</v>
      </c>
      <c r="M632" s="19">
        <v>-4.4000000000000003E-3</v>
      </c>
      <c r="N632" s="19">
        <v>-5.6899999999999997E-3</v>
      </c>
      <c r="O632" s="19">
        <v>-6.4000000000000003E-3</v>
      </c>
      <c r="P632" s="19">
        <v>-6.79E-3</v>
      </c>
      <c r="Q632" s="19">
        <v>-6.3899999999999998E-3</v>
      </c>
      <c r="R632" s="19"/>
      <c r="S632" s="19">
        <f t="shared" si="75"/>
        <v>0</v>
      </c>
      <c r="T632" s="19">
        <f t="shared" si="76"/>
        <v>0</v>
      </c>
      <c r="U632" s="19">
        <f t="shared" si="77"/>
        <v>0</v>
      </c>
      <c r="V632" s="19">
        <f t="shared" si="78"/>
        <v>0</v>
      </c>
      <c r="W632" s="19">
        <f t="shared" si="79"/>
        <v>0</v>
      </c>
      <c r="X632" s="21">
        <f t="shared" si="80"/>
        <v>0</v>
      </c>
    </row>
    <row r="633" spans="1:24" ht="13.5" x14ac:dyDescent="0.35">
      <c r="A633" s="18">
        <v>114488</v>
      </c>
      <c r="B633" s="19" t="s">
        <v>432</v>
      </c>
      <c r="C633" s="19">
        <v>13.8</v>
      </c>
      <c r="D633" s="19">
        <v>101</v>
      </c>
      <c r="E633" s="19">
        <v>1130</v>
      </c>
      <c r="F633" s="19">
        <v>133.75</v>
      </c>
      <c r="G633" s="19">
        <v>0</v>
      </c>
      <c r="H633" s="19">
        <v>133.75</v>
      </c>
      <c r="I633" s="20">
        <v>133.75</v>
      </c>
      <c r="J633" s="19">
        <f t="shared" si="73"/>
        <v>0</v>
      </c>
      <c r="K633" s="19">
        <f t="shared" si="74"/>
        <v>0</v>
      </c>
      <c r="L633" s="19">
        <v>-4.7099999999999998E-3</v>
      </c>
      <c r="M633" s="19">
        <v>-4.4000000000000003E-3</v>
      </c>
      <c r="N633" s="19">
        <v>-5.6899999999999997E-3</v>
      </c>
      <c r="O633" s="19">
        <v>-6.4000000000000003E-3</v>
      </c>
      <c r="P633" s="19">
        <v>-6.79E-3</v>
      </c>
      <c r="Q633" s="19">
        <v>-6.3899999999999998E-3</v>
      </c>
      <c r="R633" s="19"/>
      <c r="S633" s="19">
        <f t="shared" si="75"/>
        <v>0</v>
      </c>
      <c r="T633" s="19">
        <f t="shared" si="76"/>
        <v>0</v>
      </c>
      <c r="U633" s="19">
        <f t="shared" si="77"/>
        <v>0</v>
      </c>
      <c r="V633" s="19">
        <f t="shared" si="78"/>
        <v>0</v>
      </c>
      <c r="W633" s="19">
        <f t="shared" si="79"/>
        <v>0</v>
      </c>
      <c r="X633" s="21">
        <f t="shared" si="80"/>
        <v>0</v>
      </c>
    </row>
    <row r="634" spans="1:24" ht="13.5" x14ac:dyDescent="0.35">
      <c r="A634" s="18">
        <v>114728</v>
      </c>
      <c r="B634" s="19" t="s">
        <v>436</v>
      </c>
      <c r="C634" s="19">
        <v>23</v>
      </c>
      <c r="D634" s="19">
        <v>101</v>
      </c>
      <c r="E634" s="19">
        <v>1246</v>
      </c>
      <c r="F634" s="19">
        <v>2.5</v>
      </c>
      <c r="G634" s="19">
        <v>0</v>
      </c>
      <c r="H634" s="19">
        <v>2.5</v>
      </c>
      <c r="I634" s="20">
        <v>2.5</v>
      </c>
      <c r="J634" s="19">
        <f t="shared" si="73"/>
        <v>0</v>
      </c>
      <c r="K634" s="19">
        <f t="shared" si="74"/>
        <v>0</v>
      </c>
      <c r="L634" s="19">
        <v>-4.7400000000000003E-3</v>
      </c>
      <c r="M634" s="19">
        <v>-4.4299999999999999E-3</v>
      </c>
      <c r="N634" s="19">
        <v>-5.7200000000000003E-3</v>
      </c>
      <c r="O634" s="19">
        <v>-6.4200000000000004E-3</v>
      </c>
      <c r="P634" s="19">
        <v>-6.8199999999999997E-3</v>
      </c>
      <c r="Q634" s="19">
        <v>-6.4099999999999999E-3</v>
      </c>
      <c r="R634" s="19"/>
      <c r="S634" s="19">
        <f t="shared" si="75"/>
        <v>0</v>
      </c>
      <c r="T634" s="19">
        <f t="shared" si="76"/>
        <v>0</v>
      </c>
      <c r="U634" s="19">
        <f t="shared" si="77"/>
        <v>0</v>
      </c>
      <c r="V634" s="19">
        <f t="shared" si="78"/>
        <v>0</v>
      </c>
      <c r="W634" s="19">
        <f t="shared" si="79"/>
        <v>0</v>
      </c>
      <c r="X634" s="21">
        <f t="shared" si="80"/>
        <v>0</v>
      </c>
    </row>
    <row r="635" spans="1:24" ht="13.5" x14ac:dyDescent="0.35">
      <c r="A635" s="18">
        <v>114729</v>
      </c>
      <c r="B635" s="19" t="s">
        <v>437</v>
      </c>
      <c r="C635" s="19">
        <v>23</v>
      </c>
      <c r="D635" s="19">
        <v>101</v>
      </c>
      <c r="E635" s="19">
        <v>1246</v>
      </c>
      <c r="F635" s="19">
        <v>2.5</v>
      </c>
      <c r="G635" s="19">
        <v>0</v>
      </c>
      <c r="H635" s="19">
        <v>2.5</v>
      </c>
      <c r="I635" s="20">
        <v>2.5</v>
      </c>
      <c r="J635" s="19">
        <f t="shared" si="73"/>
        <v>0</v>
      </c>
      <c r="K635" s="19">
        <f t="shared" si="74"/>
        <v>0</v>
      </c>
      <c r="L635" s="19">
        <v>-4.7400000000000003E-3</v>
      </c>
      <c r="M635" s="19">
        <v>-4.4299999999999999E-3</v>
      </c>
      <c r="N635" s="19">
        <v>-5.7200000000000003E-3</v>
      </c>
      <c r="O635" s="19">
        <v>-6.4200000000000004E-3</v>
      </c>
      <c r="P635" s="19">
        <v>-6.8199999999999997E-3</v>
      </c>
      <c r="Q635" s="19">
        <v>-6.4099999999999999E-3</v>
      </c>
      <c r="R635" s="19"/>
      <c r="S635" s="19">
        <f t="shared" si="75"/>
        <v>0</v>
      </c>
      <c r="T635" s="19">
        <f t="shared" si="76"/>
        <v>0</v>
      </c>
      <c r="U635" s="19">
        <f t="shared" si="77"/>
        <v>0</v>
      </c>
      <c r="V635" s="19">
        <f t="shared" si="78"/>
        <v>0</v>
      </c>
      <c r="W635" s="19">
        <f t="shared" si="79"/>
        <v>0</v>
      </c>
      <c r="X635" s="21">
        <f t="shared" si="80"/>
        <v>0</v>
      </c>
    </row>
    <row r="636" spans="1:24" ht="13.5" x14ac:dyDescent="0.35">
      <c r="A636" s="18">
        <v>910759</v>
      </c>
      <c r="B636" s="19" t="s">
        <v>606</v>
      </c>
      <c r="C636" s="19">
        <v>345</v>
      </c>
      <c r="D636" s="19">
        <v>101</v>
      </c>
      <c r="E636" s="19">
        <v>1000</v>
      </c>
      <c r="F636" s="19">
        <v>226.84</v>
      </c>
      <c r="G636" s="19">
        <v>0</v>
      </c>
      <c r="H636" s="19">
        <v>1200</v>
      </c>
      <c r="I636" s="20">
        <v>226.84</v>
      </c>
      <c r="J636" s="19">
        <f t="shared" si="73"/>
        <v>0</v>
      </c>
      <c r="K636" s="19">
        <f t="shared" si="74"/>
        <v>973.16</v>
      </c>
      <c r="L636" s="19">
        <v>-5.1200000000000004E-3</v>
      </c>
      <c r="M636" s="19">
        <v>-4.7400000000000003E-3</v>
      </c>
      <c r="N636" s="19">
        <v>-6.0800000000000003E-3</v>
      </c>
      <c r="O636" s="19">
        <v>-6.77E-3</v>
      </c>
      <c r="P636" s="19">
        <v>-7.2100000000000003E-3</v>
      </c>
      <c r="Q636" s="19">
        <v>-6.77E-3</v>
      </c>
      <c r="R636" s="19"/>
      <c r="S636" s="19">
        <f t="shared" si="75"/>
        <v>0</v>
      </c>
      <c r="T636" s="19">
        <f t="shared" si="76"/>
        <v>0</v>
      </c>
      <c r="U636" s="19">
        <f t="shared" si="77"/>
        <v>0</v>
      </c>
      <c r="V636" s="19">
        <f t="shared" si="78"/>
        <v>0</v>
      </c>
      <c r="W636" s="19">
        <f t="shared" si="79"/>
        <v>0</v>
      </c>
      <c r="X636" s="21">
        <f t="shared" si="80"/>
        <v>0</v>
      </c>
    </row>
    <row r="637" spans="1:24" ht="13.5" x14ac:dyDescent="0.35">
      <c r="A637" s="18">
        <v>991802</v>
      </c>
      <c r="B637" s="19" t="s">
        <v>725</v>
      </c>
      <c r="C637" s="19">
        <v>345</v>
      </c>
      <c r="D637" s="19">
        <v>101</v>
      </c>
      <c r="E637" s="19">
        <v>1000</v>
      </c>
      <c r="F637" s="19">
        <v>507</v>
      </c>
      <c r="G637" s="19">
        <v>0</v>
      </c>
      <c r="H637" s="19">
        <v>507</v>
      </c>
      <c r="I637" s="20">
        <v>507</v>
      </c>
      <c r="J637" s="19">
        <f t="shared" si="73"/>
        <v>0</v>
      </c>
      <c r="K637" s="19">
        <f t="shared" si="74"/>
        <v>0</v>
      </c>
      <c r="L637" s="19">
        <v>-5.1200000000000004E-3</v>
      </c>
      <c r="M637" s="19">
        <v>-4.7400000000000003E-3</v>
      </c>
      <c r="N637" s="19">
        <v>-6.0800000000000003E-3</v>
      </c>
      <c r="O637" s="19">
        <v>-6.77E-3</v>
      </c>
      <c r="P637" s="19">
        <v>-7.2100000000000003E-3</v>
      </c>
      <c r="Q637" s="19">
        <v>-6.77E-3</v>
      </c>
      <c r="R637" s="19"/>
      <c r="S637" s="19">
        <f t="shared" si="75"/>
        <v>0</v>
      </c>
      <c r="T637" s="19">
        <f t="shared" si="76"/>
        <v>0</v>
      </c>
      <c r="U637" s="19">
        <f t="shared" si="77"/>
        <v>0</v>
      </c>
      <c r="V637" s="19">
        <f t="shared" si="78"/>
        <v>0</v>
      </c>
      <c r="W637" s="19">
        <f t="shared" si="79"/>
        <v>0</v>
      </c>
      <c r="X637" s="21">
        <f t="shared" si="80"/>
        <v>0</v>
      </c>
    </row>
    <row r="638" spans="1:24" ht="13.5" x14ac:dyDescent="0.35">
      <c r="A638" s="18">
        <v>910804</v>
      </c>
      <c r="B638" s="19" t="s">
        <v>609</v>
      </c>
      <c r="C638" s="19">
        <v>115</v>
      </c>
      <c r="D638" s="19">
        <v>101</v>
      </c>
      <c r="E638" s="19">
        <v>1000</v>
      </c>
      <c r="F638" s="19">
        <v>5.5</v>
      </c>
      <c r="G638" s="19">
        <v>0</v>
      </c>
      <c r="H638" s="19">
        <v>5.5</v>
      </c>
      <c r="I638" s="20">
        <v>5.5</v>
      </c>
      <c r="J638" s="19">
        <f t="shared" si="73"/>
        <v>0</v>
      </c>
      <c r="K638" s="19">
        <f t="shared" si="74"/>
        <v>0</v>
      </c>
      <c r="L638" s="19">
        <v>-5.7999999999999996E-3</v>
      </c>
      <c r="M638" s="19">
        <v>-5.3099999999999996E-3</v>
      </c>
      <c r="N638" s="19">
        <v>-6.8199999999999997E-3</v>
      </c>
      <c r="O638" s="19">
        <v>-7.4400000000000004E-3</v>
      </c>
      <c r="P638" s="19">
        <v>-8.0300000000000007E-3</v>
      </c>
      <c r="Q638" s="19">
        <v>-7.4700000000000001E-3</v>
      </c>
      <c r="R638" s="19"/>
      <c r="S638" s="19">
        <f t="shared" si="75"/>
        <v>0</v>
      </c>
      <c r="T638" s="19">
        <f t="shared" si="76"/>
        <v>0</v>
      </c>
      <c r="U638" s="19">
        <f t="shared" si="77"/>
        <v>0</v>
      </c>
      <c r="V638" s="19">
        <f t="shared" si="78"/>
        <v>0</v>
      </c>
      <c r="W638" s="19">
        <f t="shared" si="79"/>
        <v>0</v>
      </c>
      <c r="X638" s="21">
        <f t="shared" si="80"/>
        <v>0</v>
      </c>
    </row>
    <row r="639" spans="1:24" ht="13.5" x14ac:dyDescent="0.35">
      <c r="A639" s="18">
        <v>114465</v>
      </c>
      <c r="B639" s="19" t="s">
        <v>426</v>
      </c>
      <c r="C639" s="19">
        <v>13.8</v>
      </c>
      <c r="D639" s="19">
        <v>101</v>
      </c>
      <c r="E639" s="19">
        <v>1130</v>
      </c>
      <c r="F639" s="19">
        <v>32.79</v>
      </c>
      <c r="G639" s="19">
        <v>0</v>
      </c>
      <c r="H639" s="19">
        <v>32.79</v>
      </c>
      <c r="I639" s="20">
        <v>32.79</v>
      </c>
      <c r="J639" s="19">
        <f t="shared" si="73"/>
        <v>0</v>
      </c>
      <c r="K639" s="19">
        <f t="shared" si="74"/>
        <v>0</v>
      </c>
      <c r="L639" s="19">
        <v>-6.0400000000000002E-3</v>
      </c>
      <c r="M639" s="19">
        <v>-5.47E-3</v>
      </c>
      <c r="N639" s="19">
        <v>-6.8799999999999998E-3</v>
      </c>
      <c r="O639" s="19">
        <v>-7.5500000000000003E-3</v>
      </c>
      <c r="P639" s="19">
        <v>-8.0700000000000008E-3</v>
      </c>
      <c r="Q639" s="19">
        <v>-7.5599999999999999E-3</v>
      </c>
      <c r="R639" s="19"/>
      <c r="S639" s="19">
        <f t="shared" si="75"/>
        <v>0</v>
      </c>
      <c r="T639" s="19">
        <f t="shared" si="76"/>
        <v>0</v>
      </c>
      <c r="U639" s="19">
        <f t="shared" si="77"/>
        <v>0</v>
      </c>
      <c r="V639" s="19">
        <f t="shared" si="78"/>
        <v>0</v>
      </c>
      <c r="W639" s="19">
        <f t="shared" si="79"/>
        <v>0</v>
      </c>
      <c r="X639" s="21">
        <f t="shared" si="80"/>
        <v>0</v>
      </c>
    </row>
    <row r="640" spans="1:24" ht="13.5" x14ac:dyDescent="0.35">
      <c r="A640" s="18">
        <v>114470</v>
      </c>
      <c r="B640" s="19" t="s">
        <v>427</v>
      </c>
      <c r="C640" s="19">
        <v>13.8</v>
      </c>
      <c r="D640" s="19">
        <v>101</v>
      </c>
      <c r="E640" s="19">
        <v>1130</v>
      </c>
      <c r="F640" s="19">
        <v>1.1399999999999999</v>
      </c>
      <c r="G640" s="19">
        <v>0</v>
      </c>
      <c r="H640" s="19">
        <v>1.1399999999999999</v>
      </c>
      <c r="I640" s="20">
        <v>1.1399999999999999</v>
      </c>
      <c r="J640" s="19">
        <f t="shared" si="73"/>
        <v>0</v>
      </c>
      <c r="K640" s="19">
        <f t="shared" si="74"/>
        <v>0</v>
      </c>
      <c r="L640" s="19">
        <v>-6.45E-3</v>
      </c>
      <c r="M640" s="19">
        <v>-5.8100000000000001E-3</v>
      </c>
      <c r="N640" s="19">
        <v>-7.2500000000000004E-3</v>
      </c>
      <c r="O640" s="19">
        <v>-7.9000000000000008E-3</v>
      </c>
      <c r="P640" s="19">
        <v>-8.4600000000000005E-3</v>
      </c>
      <c r="Q640" s="19">
        <v>-7.92E-3</v>
      </c>
      <c r="R640" s="19"/>
      <c r="S640" s="19">
        <f t="shared" si="75"/>
        <v>0</v>
      </c>
      <c r="T640" s="19">
        <f t="shared" si="76"/>
        <v>0</v>
      </c>
      <c r="U640" s="19">
        <f t="shared" si="77"/>
        <v>0</v>
      </c>
      <c r="V640" s="19">
        <f t="shared" si="78"/>
        <v>0</v>
      </c>
      <c r="W640" s="19">
        <f t="shared" si="79"/>
        <v>0</v>
      </c>
      <c r="X640" s="21">
        <f t="shared" si="80"/>
        <v>0</v>
      </c>
    </row>
    <row r="641" spans="1:24" ht="13.5" x14ac:dyDescent="0.35">
      <c r="A641" s="18">
        <v>114474</v>
      </c>
      <c r="B641" s="19" t="s">
        <v>428</v>
      </c>
      <c r="C641" s="19">
        <v>13.8</v>
      </c>
      <c r="D641" s="19">
        <v>101</v>
      </c>
      <c r="E641" s="19">
        <v>1130</v>
      </c>
      <c r="F641" s="19">
        <v>1.1399999999999999</v>
      </c>
      <c r="G641" s="19">
        <v>0</v>
      </c>
      <c r="H641" s="19">
        <v>1.1399999999999999</v>
      </c>
      <c r="I641" s="20">
        <v>1.1399999999999999</v>
      </c>
      <c r="J641" s="19">
        <f t="shared" si="73"/>
        <v>0</v>
      </c>
      <c r="K641" s="19">
        <f t="shared" si="74"/>
        <v>0</v>
      </c>
      <c r="L641" s="19">
        <v>-6.45E-3</v>
      </c>
      <c r="M641" s="19">
        <v>-5.8100000000000001E-3</v>
      </c>
      <c r="N641" s="19">
        <v>-7.2500000000000004E-3</v>
      </c>
      <c r="O641" s="19">
        <v>-7.9000000000000008E-3</v>
      </c>
      <c r="P641" s="19">
        <v>-8.4600000000000005E-3</v>
      </c>
      <c r="Q641" s="19">
        <v>-7.92E-3</v>
      </c>
      <c r="R641" s="19"/>
      <c r="S641" s="19">
        <f t="shared" si="75"/>
        <v>0</v>
      </c>
      <c r="T641" s="19">
        <f t="shared" si="76"/>
        <v>0</v>
      </c>
      <c r="U641" s="19">
        <f t="shared" si="77"/>
        <v>0</v>
      </c>
      <c r="V641" s="19">
        <f t="shared" si="78"/>
        <v>0</v>
      </c>
      <c r="W641" s="19">
        <f t="shared" si="79"/>
        <v>0</v>
      </c>
      <c r="X641" s="21">
        <f t="shared" si="80"/>
        <v>0</v>
      </c>
    </row>
    <row r="642" spans="1:24" ht="13.5" x14ac:dyDescent="0.35">
      <c r="A642" s="18">
        <v>111123</v>
      </c>
      <c r="B642" s="19" t="s">
        <v>349</v>
      </c>
      <c r="C642" s="19">
        <v>13.8</v>
      </c>
      <c r="D642" s="19">
        <v>101</v>
      </c>
      <c r="E642" s="19">
        <v>1013</v>
      </c>
      <c r="F642" s="19">
        <v>27.75</v>
      </c>
      <c r="G642" s="19">
        <v>0</v>
      </c>
      <c r="H642" s="19">
        <v>27.75</v>
      </c>
      <c r="I642" s="20">
        <v>27.75</v>
      </c>
      <c r="J642" s="19">
        <f t="shared" si="73"/>
        <v>0</v>
      </c>
      <c r="K642" s="19">
        <f t="shared" si="74"/>
        <v>0</v>
      </c>
      <c r="L642" s="19">
        <v>-6.7200000000000003E-3</v>
      </c>
      <c r="M642" s="19">
        <v>-6.0200000000000002E-3</v>
      </c>
      <c r="N642" s="19">
        <v>-7.4900000000000001E-3</v>
      </c>
      <c r="O642" s="19">
        <v>-8.1300000000000001E-3</v>
      </c>
      <c r="P642" s="19">
        <v>-8.7200000000000003E-3</v>
      </c>
      <c r="Q642" s="19">
        <v>-8.1499999999999993E-3</v>
      </c>
      <c r="R642" s="19"/>
      <c r="S642" s="19">
        <f t="shared" si="75"/>
        <v>0</v>
      </c>
      <c r="T642" s="19">
        <f t="shared" si="76"/>
        <v>0</v>
      </c>
      <c r="U642" s="19">
        <f t="shared" si="77"/>
        <v>0</v>
      </c>
      <c r="V642" s="19">
        <f t="shared" si="78"/>
        <v>0</v>
      </c>
      <c r="W642" s="19">
        <f t="shared" si="79"/>
        <v>0</v>
      </c>
      <c r="X642" s="21">
        <f t="shared" si="80"/>
        <v>0</v>
      </c>
    </row>
    <row r="643" spans="1:24" ht="13.5" x14ac:dyDescent="0.35">
      <c r="A643" s="18">
        <v>111126</v>
      </c>
      <c r="B643" s="19" t="s">
        <v>352</v>
      </c>
      <c r="C643" s="19">
        <v>18</v>
      </c>
      <c r="D643" s="19">
        <v>101</v>
      </c>
      <c r="E643" s="19">
        <v>1013</v>
      </c>
      <c r="F643" s="19">
        <v>170</v>
      </c>
      <c r="G643" s="19">
        <v>0</v>
      </c>
      <c r="H643" s="19">
        <v>170</v>
      </c>
      <c r="I643" s="20">
        <v>170</v>
      </c>
      <c r="J643" s="19">
        <f t="shared" si="73"/>
        <v>0</v>
      </c>
      <c r="K643" s="19">
        <f t="shared" si="74"/>
        <v>0</v>
      </c>
      <c r="L643" s="19">
        <v>-6.7200000000000003E-3</v>
      </c>
      <c r="M643" s="19">
        <v>-6.0200000000000002E-3</v>
      </c>
      <c r="N643" s="19">
        <v>-7.4900000000000001E-3</v>
      </c>
      <c r="O643" s="19">
        <v>-8.1300000000000001E-3</v>
      </c>
      <c r="P643" s="19">
        <v>-8.7200000000000003E-3</v>
      </c>
      <c r="Q643" s="19">
        <v>-8.1499999999999993E-3</v>
      </c>
      <c r="R643" s="19"/>
      <c r="S643" s="19">
        <f t="shared" si="75"/>
        <v>0</v>
      </c>
      <c r="T643" s="19">
        <f t="shared" si="76"/>
        <v>0</v>
      </c>
      <c r="U643" s="19">
        <f t="shared" si="77"/>
        <v>0</v>
      </c>
      <c r="V643" s="19">
        <f t="shared" si="78"/>
        <v>0</v>
      </c>
      <c r="W643" s="19">
        <f t="shared" si="79"/>
        <v>0</v>
      </c>
      <c r="X643" s="21">
        <f t="shared" si="80"/>
        <v>0</v>
      </c>
    </row>
    <row r="644" spans="1:24" ht="13.5" x14ac:dyDescent="0.35">
      <c r="A644" s="18">
        <v>111127</v>
      </c>
      <c r="B644" s="19" t="s">
        <v>353</v>
      </c>
      <c r="C644" s="19">
        <v>13.8</v>
      </c>
      <c r="D644" s="19">
        <v>101</v>
      </c>
      <c r="E644" s="19">
        <v>1012</v>
      </c>
      <c r="F644" s="19">
        <v>0</v>
      </c>
      <c r="G644" s="19">
        <v>0</v>
      </c>
      <c r="H644" s="19">
        <v>0</v>
      </c>
      <c r="I644" s="20">
        <v>0</v>
      </c>
      <c r="J644" s="19">
        <f t="shared" si="73"/>
        <v>0</v>
      </c>
      <c r="K644" s="19">
        <f t="shared" si="74"/>
        <v>0</v>
      </c>
      <c r="L644" s="19">
        <v>-6.7200000000000003E-3</v>
      </c>
      <c r="M644" s="19">
        <v>-6.0200000000000002E-3</v>
      </c>
      <c r="N644" s="19">
        <v>-7.4900000000000001E-3</v>
      </c>
      <c r="O644" s="19">
        <v>-8.1300000000000001E-3</v>
      </c>
      <c r="P644" s="19">
        <v>-8.7200000000000003E-3</v>
      </c>
      <c r="Q644" s="19">
        <v>-8.1499999999999993E-3</v>
      </c>
      <c r="R644" s="19"/>
      <c r="S644" s="19">
        <f t="shared" si="75"/>
        <v>0</v>
      </c>
      <c r="T644" s="19">
        <f t="shared" si="76"/>
        <v>0</v>
      </c>
      <c r="U644" s="19">
        <f t="shared" si="77"/>
        <v>0</v>
      </c>
      <c r="V644" s="19">
        <f t="shared" si="78"/>
        <v>0</v>
      </c>
      <c r="W644" s="19">
        <f t="shared" si="79"/>
        <v>0</v>
      </c>
      <c r="X644" s="21">
        <f t="shared" si="80"/>
        <v>0</v>
      </c>
    </row>
    <row r="645" spans="1:24" ht="13.5" x14ac:dyDescent="0.35">
      <c r="A645" s="18">
        <v>111125</v>
      </c>
      <c r="B645" s="19" t="s">
        <v>351</v>
      </c>
      <c r="C645" s="19">
        <v>13.8</v>
      </c>
      <c r="D645" s="19">
        <v>101</v>
      </c>
      <c r="E645" s="19">
        <v>1012</v>
      </c>
      <c r="F645" s="19">
        <v>0</v>
      </c>
      <c r="G645" s="19">
        <v>0</v>
      </c>
      <c r="H645" s="19">
        <v>0</v>
      </c>
      <c r="I645" s="20">
        <v>0</v>
      </c>
      <c r="J645" s="19">
        <f t="shared" si="73"/>
        <v>0</v>
      </c>
      <c r="K645" s="19">
        <f t="shared" si="74"/>
        <v>0</v>
      </c>
      <c r="L645" s="19">
        <v>-6.9899999999999997E-3</v>
      </c>
      <c r="M645" s="19">
        <v>-6.2399999999999999E-3</v>
      </c>
      <c r="N645" s="19">
        <v>-7.7299999999999999E-3</v>
      </c>
      <c r="O645" s="19">
        <v>-8.3599999999999994E-3</v>
      </c>
      <c r="P645" s="19">
        <v>-8.9800000000000001E-3</v>
      </c>
      <c r="Q645" s="19">
        <v>-8.3800000000000003E-3</v>
      </c>
      <c r="R645" s="19"/>
      <c r="S645" s="19">
        <f t="shared" si="75"/>
        <v>0</v>
      </c>
      <c r="T645" s="19">
        <f t="shared" si="76"/>
        <v>0</v>
      </c>
      <c r="U645" s="19">
        <f t="shared" si="77"/>
        <v>0</v>
      </c>
      <c r="V645" s="19">
        <f t="shared" si="78"/>
        <v>0</v>
      </c>
      <c r="W645" s="19">
        <f t="shared" si="79"/>
        <v>0</v>
      </c>
      <c r="X645" s="21">
        <f t="shared" si="80"/>
        <v>0</v>
      </c>
    </row>
    <row r="646" spans="1:24" ht="13.5" x14ac:dyDescent="0.35">
      <c r="A646" s="18">
        <v>990819</v>
      </c>
      <c r="B646" s="19" t="s">
        <v>717</v>
      </c>
      <c r="C646" s="19">
        <v>115</v>
      </c>
      <c r="D646" s="19">
        <v>101</v>
      </c>
      <c r="E646" s="19">
        <v>1000</v>
      </c>
      <c r="F646" s="19">
        <v>351.9</v>
      </c>
      <c r="G646" s="19">
        <v>0</v>
      </c>
      <c r="H646" s="19">
        <v>351.9</v>
      </c>
      <c r="I646" s="20">
        <v>351.9</v>
      </c>
      <c r="J646" s="19">
        <f t="shared" si="73"/>
        <v>0</v>
      </c>
      <c r="K646" s="19">
        <f t="shared" si="74"/>
        <v>0</v>
      </c>
      <c r="L646" s="19">
        <v>-7.0499999999999998E-3</v>
      </c>
      <c r="M646" s="19">
        <v>-6.2899999999999996E-3</v>
      </c>
      <c r="N646" s="19">
        <v>-7.79E-3</v>
      </c>
      <c r="O646" s="19">
        <v>-8.4200000000000004E-3</v>
      </c>
      <c r="P646" s="19">
        <v>-9.0399999999999994E-3</v>
      </c>
      <c r="Q646" s="19">
        <v>-8.4399999999999996E-3</v>
      </c>
      <c r="R646" s="19"/>
      <c r="S646" s="19">
        <f t="shared" si="75"/>
        <v>0</v>
      </c>
      <c r="T646" s="19">
        <f t="shared" si="76"/>
        <v>0</v>
      </c>
      <c r="U646" s="19">
        <f t="shared" si="77"/>
        <v>0</v>
      </c>
      <c r="V646" s="19">
        <f t="shared" si="78"/>
        <v>0</v>
      </c>
      <c r="W646" s="19">
        <f t="shared" si="79"/>
        <v>0</v>
      </c>
      <c r="X646" s="21">
        <f t="shared" si="80"/>
        <v>0</v>
      </c>
    </row>
    <row r="647" spans="1:24" ht="13.5" x14ac:dyDescent="0.35">
      <c r="A647" s="18">
        <v>111124</v>
      </c>
      <c r="B647" s="19" t="s">
        <v>350</v>
      </c>
      <c r="C647" s="19">
        <v>13.8</v>
      </c>
      <c r="D647" s="19">
        <v>101</v>
      </c>
      <c r="E647" s="19">
        <v>1014</v>
      </c>
      <c r="F647" s="19">
        <v>18</v>
      </c>
      <c r="G647" s="19">
        <v>0</v>
      </c>
      <c r="H647" s="19">
        <v>18</v>
      </c>
      <c r="I647" s="20">
        <v>18</v>
      </c>
      <c r="J647" s="19">
        <f t="shared" si="73"/>
        <v>0</v>
      </c>
      <c r="K647" s="19">
        <f t="shared" si="74"/>
        <v>0</v>
      </c>
      <c r="L647" s="19">
        <v>-7.0699999999999999E-3</v>
      </c>
      <c r="M647" s="19">
        <v>-6.3099999999999996E-3</v>
      </c>
      <c r="N647" s="19">
        <v>-7.7999999999999996E-3</v>
      </c>
      <c r="O647" s="19">
        <v>-8.43E-3</v>
      </c>
      <c r="P647" s="19">
        <v>-9.0500000000000008E-3</v>
      </c>
      <c r="Q647" s="19">
        <v>-8.4499999999999992E-3</v>
      </c>
      <c r="R647" s="19"/>
      <c r="S647" s="19">
        <f t="shared" si="75"/>
        <v>0</v>
      </c>
      <c r="T647" s="19">
        <f t="shared" si="76"/>
        <v>0</v>
      </c>
      <c r="U647" s="19">
        <f t="shared" si="77"/>
        <v>0</v>
      </c>
      <c r="V647" s="19">
        <f t="shared" si="78"/>
        <v>0</v>
      </c>
      <c r="W647" s="19">
        <f t="shared" si="79"/>
        <v>0</v>
      </c>
      <c r="X647" s="21">
        <f t="shared" si="80"/>
        <v>0</v>
      </c>
    </row>
    <row r="648" spans="1:24" ht="13.5" x14ac:dyDescent="0.35">
      <c r="A648" s="18">
        <v>910818</v>
      </c>
      <c r="B648" s="19" t="s">
        <v>606</v>
      </c>
      <c r="C648" s="19">
        <v>115</v>
      </c>
      <c r="D648" s="19">
        <v>101</v>
      </c>
      <c r="E648" s="19">
        <v>1000</v>
      </c>
      <c r="F648" s="19">
        <v>204</v>
      </c>
      <c r="G648" s="19">
        <v>0</v>
      </c>
      <c r="H648" s="19">
        <v>204</v>
      </c>
      <c r="I648" s="20">
        <v>204</v>
      </c>
      <c r="J648" s="19">
        <f t="shared" si="73"/>
        <v>0</v>
      </c>
      <c r="K648" s="19">
        <f t="shared" si="74"/>
        <v>0</v>
      </c>
      <c r="L648" s="19">
        <v>-7.2199999999999999E-3</v>
      </c>
      <c r="M648" s="19">
        <v>-6.43E-3</v>
      </c>
      <c r="N648" s="19">
        <v>-7.9299999999999995E-3</v>
      </c>
      <c r="O648" s="19">
        <v>-8.5599999999999999E-3</v>
      </c>
      <c r="P648" s="19">
        <v>-9.1999999999999998E-3</v>
      </c>
      <c r="Q648" s="19">
        <v>-8.5900000000000004E-3</v>
      </c>
      <c r="R648" s="19"/>
      <c r="S648" s="19">
        <f t="shared" si="75"/>
        <v>0</v>
      </c>
      <c r="T648" s="19">
        <f t="shared" si="76"/>
        <v>0</v>
      </c>
      <c r="U648" s="19">
        <f t="shared" si="77"/>
        <v>0</v>
      </c>
      <c r="V648" s="19">
        <f t="shared" si="78"/>
        <v>0</v>
      </c>
      <c r="W648" s="19">
        <f t="shared" si="79"/>
        <v>0</v>
      </c>
      <c r="X648" s="21">
        <f t="shared" si="80"/>
        <v>0</v>
      </c>
    </row>
    <row r="649" spans="1:24" ht="13.5" x14ac:dyDescent="0.35">
      <c r="A649" s="18">
        <v>990926</v>
      </c>
      <c r="B649" s="19" t="s">
        <v>719</v>
      </c>
      <c r="C649" s="19">
        <v>115</v>
      </c>
      <c r="D649" s="19">
        <v>101</v>
      </c>
      <c r="E649" s="19">
        <v>1000</v>
      </c>
      <c r="F649" s="19">
        <v>269.87</v>
      </c>
      <c r="G649" s="19">
        <v>0</v>
      </c>
      <c r="H649" s="19">
        <v>326.37</v>
      </c>
      <c r="I649" s="20">
        <v>269.87</v>
      </c>
      <c r="J649" s="19">
        <f t="shared" si="73"/>
        <v>0</v>
      </c>
      <c r="K649" s="19">
        <f t="shared" si="74"/>
        <v>56.5</v>
      </c>
      <c r="L649" s="19">
        <v>-7.3000000000000001E-3</v>
      </c>
      <c r="M649" s="19">
        <v>-6.4999999999999997E-3</v>
      </c>
      <c r="N649" s="19">
        <v>-8.0199999999999994E-3</v>
      </c>
      <c r="O649" s="19">
        <v>-8.6400000000000001E-3</v>
      </c>
      <c r="P649" s="19">
        <v>-9.2899999999999996E-3</v>
      </c>
      <c r="Q649" s="19">
        <v>-8.6700000000000006E-3</v>
      </c>
      <c r="R649" s="19"/>
      <c r="S649" s="19">
        <f t="shared" si="75"/>
        <v>0</v>
      </c>
      <c r="T649" s="19">
        <f t="shared" si="76"/>
        <v>0</v>
      </c>
      <c r="U649" s="19">
        <f t="shared" si="77"/>
        <v>0</v>
      </c>
      <c r="V649" s="19">
        <f t="shared" si="78"/>
        <v>0</v>
      </c>
      <c r="W649" s="19">
        <f t="shared" si="79"/>
        <v>0</v>
      </c>
      <c r="X649" s="21">
        <f t="shared" si="80"/>
        <v>0</v>
      </c>
    </row>
    <row r="650" spans="1:24" ht="13.5" x14ac:dyDescent="0.35">
      <c r="A650" s="18">
        <v>110983</v>
      </c>
      <c r="B650" s="19" t="s">
        <v>332</v>
      </c>
      <c r="C650" s="19">
        <v>13.8</v>
      </c>
      <c r="D650" s="19">
        <v>101</v>
      </c>
      <c r="E650" s="19">
        <v>1004</v>
      </c>
      <c r="F650" s="19">
        <v>19.350000000000001</v>
      </c>
      <c r="G650" s="19">
        <v>0</v>
      </c>
      <c r="H650" s="19">
        <v>19.350000000000001</v>
      </c>
      <c r="I650" s="20">
        <v>19.350000000000001</v>
      </c>
      <c r="J650" s="19">
        <f t="shared" si="73"/>
        <v>0</v>
      </c>
      <c r="K650" s="19">
        <f t="shared" si="74"/>
        <v>0</v>
      </c>
      <c r="L650" s="19">
        <v>-7.3499999999999998E-3</v>
      </c>
      <c r="M650" s="19">
        <v>-6.5300000000000002E-3</v>
      </c>
      <c r="N650" s="19">
        <v>-8.0499999999999999E-3</v>
      </c>
      <c r="O650" s="19">
        <v>-8.6700000000000006E-3</v>
      </c>
      <c r="P650" s="19">
        <v>-9.3200000000000002E-3</v>
      </c>
      <c r="Q650" s="19">
        <v>-8.6899999999999998E-3</v>
      </c>
      <c r="R650" s="19"/>
      <c r="S650" s="19">
        <f t="shared" si="75"/>
        <v>0</v>
      </c>
      <c r="T650" s="19">
        <f t="shared" si="76"/>
        <v>0</v>
      </c>
      <c r="U650" s="19">
        <f t="shared" si="77"/>
        <v>0</v>
      </c>
      <c r="V650" s="19">
        <f t="shared" si="78"/>
        <v>0</v>
      </c>
      <c r="W650" s="19">
        <f t="shared" si="79"/>
        <v>0</v>
      </c>
      <c r="X650" s="21">
        <f t="shared" si="80"/>
        <v>0</v>
      </c>
    </row>
    <row r="651" spans="1:24" ht="13.5" x14ac:dyDescent="0.35">
      <c r="A651" s="18">
        <v>110984</v>
      </c>
      <c r="B651" s="19" t="s">
        <v>333</v>
      </c>
      <c r="C651" s="19">
        <v>13.8</v>
      </c>
      <c r="D651" s="19">
        <v>101</v>
      </c>
      <c r="E651" s="19">
        <v>1004</v>
      </c>
      <c r="F651" s="19">
        <v>57.1</v>
      </c>
      <c r="G651" s="19">
        <v>0</v>
      </c>
      <c r="H651" s="19">
        <v>57.1</v>
      </c>
      <c r="I651" s="20">
        <v>57.1</v>
      </c>
      <c r="J651" s="19">
        <f t="shared" si="73"/>
        <v>0</v>
      </c>
      <c r="K651" s="19">
        <f t="shared" si="74"/>
        <v>0</v>
      </c>
      <c r="L651" s="19">
        <v>-7.3499999999999998E-3</v>
      </c>
      <c r="M651" s="19">
        <v>-6.5300000000000002E-3</v>
      </c>
      <c r="N651" s="19">
        <v>-8.0499999999999999E-3</v>
      </c>
      <c r="O651" s="19">
        <v>-8.6700000000000006E-3</v>
      </c>
      <c r="P651" s="19">
        <v>-9.3200000000000002E-3</v>
      </c>
      <c r="Q651" s="19">
        <v>-8.6899999999999998E-3</v>
      </c>
      <c r="R651" s="19"/>
      <c r="S651" s="19">
        <f t="shared" si="75"/>
        <v>0</v>
      </c>
      <c r="T651" s="19">
        <f t="shared" si="76"/>
        <v>0</v>
      </c>
      <c r="U651" s="19">
        <f t="shared" si="77"/>
        <v>0</v>
      </c>
      <c r="V651" s="19">
        <f t="shared" si="78"/>
        <v>0</v>
      </c>
      <c r="W651" s="19">
        <f t="shared" si="79"/>
        <v>0</v>
      </c>
      <c r="X651" s="21">
        <f t="shared" si="80"/>
        <v>0</v>
      </c>
    </row>
    <row r="652" spans="1:24" ht="13.5" x14ac:dyDescent="0.35">
      <c r="A652" s="18">
        <v>910842</v>
      </c>
      <c r="B652" s="19" t="s">
        <v>611</v>
      </c>
      <c r="C652" s="19">
        <v>115</v>
      </c>
      <c r="D652" s="19">
        <v>101</v>
      </c>
      <c r="E652" s="19">
        <v>1000</v>
      </c>
      <c r="F652" s="19">
        <v>2.56</v>
      </c>
      <c r="G652" s="19">
        <v>0</v>
      </c>
      <c r="H652" s="19">
        <v>2.56</v>
      </c>
      <c r="I652" s="20">
        <v>2.56</v>
      </c>
      <c r="J652" s="19">
        <f t="shared" si="73"/>
        <v>0</v>
      </c>
      <c r="K652" s="19">
        <f t="shared" si="74"/>
        <v>0</v>
      </c>
      <c r="L652" s="19">
        <v>-7.5199999999999998E-3</v>
      </c>
      <c r="M652" s="19">
        <v>-6.6699999999999997E-3</v>
      </c>
      <c r="N652" s="19">
        <v>-8.1899999999999994E-3</v>
      </c>
      <c r="O652" s="19">
        <v>-8.8299999999999993E-3</v>
      </c>
      <c r="P652" s="19">
        <v>-9.4999999999999998E-3</v>
      </c>
      <c r="Q652" s="19">
        <v>-8.8599999999999998E-3</v>
      </c>
      <c r="R652" s="19"/>
      <c r="S652" s="19">
        <f t="shared" si="75"/>
        <v>0</v>
      </c>
      <c r="T652" s="19">
        <f t="shared" si="76"/>
        <v>0</v>
      </c>
      <c r="U652" s="19">
        <f t="shared" si="77"/>
        <v>0</v>
      </c>
      <c r="V652" s="19">
        <f t="shared" si="78"/>
        <v>0</v>
      </c>
      <c r="W652" s="19">
        <f t="shared" si="79"/>
        <v>0</v>
      </c>
      <c r="X652" s="21">
        <f t="shared" si="80"/>
        <v>0</v>
      </c>
    </row>
    <row r="653" spans="1:24" ht="13.5" x14ac:dyDescent="0.35">
      <c r="A653" s="18">
        <v>110985</v>
      </c>
      <c r="B653" s="19" t="s">
        <v>334</v>
      </c>
      <c r="C653" s="19">
        <v>13.8</v>
      </c>
      <c r="D653" s="19">
        <v>101</v>
      </c>
      <c r="E653" s="19">
        <v>1004</v>
      </c>
      <c r="F653" s="19">
        <v>19.350000000000001</v>
      </c>
      <c r="G653" s="19">
        <v>0</v>
      </c>
      <c r="H653" s="19">
        <v>19.350000000000001</v>
      </c>
      <c r="I653" s="20">
        <v>19.350000000000001</v>
      </c>
      <c r="J653" s="19">
        <f t="shared" si="73"/>
        <v>0</v>
      </c>
      <c r="K653" s="19">
        <f t="shared" si="74"/>
        <v>0</v>
      </c>
      <c r="L653" s="19">
        <v>-7.5399999999999998E-3</v>
      </c>
      <c r="M653" s="19">
        <v>-6.6800000000000002E-3</v>
      </c>
      <c r="N653" s="19">
        <v>-8.2100000000000003E-3</v>
      </c>
      <c r="O653" s="19">
        <v>-8.8199999999999997E-3</v>
      </c>
      <c r="P653" s="19">
        <v>-9.4900000000000002E-3</v>
      </c>
      <c r="Q653" s="19">
        <v>-8.8500000000000002E-3</v>
      </c>
      <c r="R653" s="19"/>
      <c r="S653" s="19">
        <f t="shared" si="75"/>
        <v>0</v>
      </c>
      <c r="T653" s="19">
        <f t="shared" si="76"/>
        <v>0</v>
      </c>
      <c r="U653" s="19">
        <f t="shared" si="77"/>
        <v>0</v>
      </c>
      <c r="V653" s="19">
        <f t="shared" si="78"/>
        <v>0</v>
      </c>
      <c r="W653" s="19">
        <f t="shared" si="79"/>
        <v>0</v>
      </c>
      <c r="X653" s="21">
        <f t="shared" si="80"/>
        <v>0</v>
      </c>
    </row>
    <row r="654" spans="1:24" ht="13.5" x14ac:dyDescent="0.35">
      <c r="A654" s="18">
        <v>910848</v>
      </c>
      <c r="B654" s="19" t="s">
        <v>612</v>
      </c>
      <c r="C654" s="19">
        <v>115</v>
      </c>
      <c r="D654" s="19">
        <v>101</v>
      </c>
      <c r="E654" s="19">
        <v>1000</v>
      </c>
      <c r="F654" s="19">
        <v>42.1</v>
      </c>
      <c r="G654" s="19">
        <v>0</v>
      </c>
      <c r="H654" s="19">
        <v>42.1</v>
      </c>
      <c r="I654" s="20">
        <v>42.1</v>
      </c>
      <c r="J654" s="19">
        <f t="shared" si="73"/>
        <v>0</v>
      </c>
      <c r="K654" s="19">
        <f t="shared" si="74"/>
        <v>0</v>
      </c>
      <c r="L654" s="19">
        <v>-7.5700000000000003E-3</v>
      </c>
      <c r="M654" s="19">
        <v>-6.7099999999999998E-3</v>
      </c>
      <c r="N654" s="19">
        <v>-8.2400000000000008E-3</v>
      </c>
      <c r="O654" s="19">
        <v>-8.8699999999999994E-3</v>
      </c>
      <c r="P654" s="19">
        <v>-9.5399999999999999E-3</v>
      </c>
      <c r="Q654" s="19">
        <v>-8.8999999999999999E-3</v>
      </c>
      <c r="R654" s="19"/>
      <c r="S654" s="19">
        <f t="shared" si="75"/>
        <v>0</v>
      </c>
      <c r="T654" s="19">
        <f t="shared" si="76"/>
        <v>0</v>
      </c>
      <c r="U654" s="19">
        <f t="shared" si="77"/>
        <v>0</v>
      </c>
      <c r="V654" s="19">
        <f t="shared" si="78"/>
        <v>0</v>
      </c>
      <c r="W654" s="19">
        <f t="shared" si="79"/>
        <v>0</v>
      </c>
      <c r="X654" s="21">
        <f t="shared" si="80"/>
        <v>0</v>
      </c>
    </row>
    <row r="655" spans="1:24" ht="13.5" x14ac:dyDescent="0.35">
      <c r="A655" s="18">
        <v>910831</v>
      </c>
      <c r="B655" s="19" t="s">
        <v>610</v>
      </c>
      <c r="C655" s="19">
        <v>115</v>
      </c>
      <c r="D655" s="19">
        <v>101</v>
      </c>
      <c r="E655" s="19">
        <v>1000</v>
      </c>
      <c r="F655" s="19">
        <v>2.76</v>
      </c>
      <c r="G655" s="19">
        <v>0</v>
      </c>
      <c r="H655" s="19">
        <v>2.76</v>
      </c>
      <c r="I655" s="20">
        <v>2.76</v>
      </c>
      <c r="J655" s="19">
        <f t="shared" ref="J655:J715" si="81">I655-F655</f>
        <v>0</v>
      </c>
      <c r="K655" s="19">
        <f t="shared" ref="K655:K715" si="82">H655-I655</f>
        <v>0</v>
      </c>
      <c r="L655" s="19">
        <v>-7.6299999999999996E-3</v>
      </c>
      <c r="M655" s="19">
        <v>-6.7499999999999999E-3</v>
      </c>
      <c r="N655" s="19">
        <v>-8.2799999999999992E-3</v>
      </c>
      <c r="O655" s="19">
        <v>-8.9200000000000008E-3</v>
      </c>
      <c r="P655" s="19">
        <v>-9.5899999999999996E-3</v>
      </c>
      <c r="Q655" s="19">
        <v>-8.9499999999999996E-3</v>
      </c>
      <c r="R655" s="19"/>
      <c r="S655" s="19">
        <f t="shared" ref="S655:S715" si="83">L655*J655</f>
        <v>0</v>
      </c>
      <c r="T655" s="19">
        <f t="shared" ref="T655:T715" si="84">M655*J655</f>
        <v>0</v>
      </c>
      <c r="U655" s="19">
        <f t="shared" ref="U655:U715" si="85">N655*J655</f>
        <v>0</v>
      </c>
      <c r="V655" s="19">
        <f t="shared" ref="V655:V715" si="86">O655*J655</f>
        <v>0</v>
      </c>
      <c r="W655" s="19">
        <f t="shared" ref="W655:W715" si="87">P655*J655</f>
        <v>0</v>
      </c>
      <c r="X655" s="21">
        <f t="shared" ref="X655:X715" si="88">Q655*J655</f>
        <v>0</v>
      </c>
    </row>
    <row r="656" spans="1:24" ht="13.5" x14ac:dyDescent="0.35">
      <c r="A656" s="18">
        <v>990831</v>
      </c>
      <c r="B656" s="19" t="s">
        <v>718</v>
      </c>
      <c r="C656" s="19">
        <v>115</v>
      </c>
      <c r="D656" s="19">
        <v>101</v>
      </c>
      <c r="E656" s="19">
        <v>1000</v>
      </c>
      <c r="F656" s="19">
        <v>6.65</v>
      </c>
      <c r="G656" s="19">
        <v>0</v>
      </c>
      <c r="H656" s="19">
        <v>6.65</v>
      </c>
      <c r="I656" s="20">
        <v>6.65</v>
      </c>
      <c r="J656" s="19">
        <f t="shared" si="81"/>
        <v>0</v>
      </c>
      <c r="K656" s="19">
        <f t="shared" si="82"/>
        <v>0</v>
      </c>
      <c r="L656" s="19">
        <v>-7.6299999999999996E-3</v>
      </c>
      <c r="M656" s="19">
        <v>-6.7499999999999999E-3</v>
      </c>
      <c r="N656" s="19">
        <v>-8.2799999999999992E-3</v>
      </c>
      <c r="O656" s="19">
        <v>-8.9200000000000008E-3</v>
      </c>
      <c r="P656" s="19">
        <v>-9.5899999999999996E-3</v>
      </c>
      <c r="Q656" s="19">
        <v>-8.9499999999999996E-3</v>
      </c>
      <c r="R656" s="19"/>
      <c r="S656" s="19">
        <f t="shared" si="83"/>
        <v>0</v>
      </c>
      <c r="T656" s="19">
        <f t="shared" si="84"/>
        <v>0</v>
      </c>
      <c r="U656" s="19">
        <f t="shared" si="85"/>
        <v>0</v>
      </c>
      <c r="V656" s="19">
        <f t="shared" si="86"/>
        <v>0</v>
      </c>
      <c r="W656" s="19">
        <f t="shared" si="87"/>
        <v>0</v>
      </c>
      <c r="X656" s="21">
        <f t="shared" si="88"/>
        <v>0</v>
      </c>
    </row>
    <row r="657" spans="1:24" ht="13.5" x14ac:dyDescent="0.35">
      <c r="A657" s="18">
        <v>111009</v>
      </c>
      <c r="B657" s="19" t="s">
        <v>335</v>
      </c>
      <c r="C657" s="19">
        <v>14.4</v>
      </c>
      <c r="D657" s="19">
        <v>101</v>
      </c>
      <c r="E657" s="19">
        <v>1002</v>
      </c>
      <c r="F657" s="19">
        <v>47</v>
      </c>
      <c r="G657" s="19">
        <v>0</v>
      </c>
      <c r="H657" s="19">
        <v>47</v>
      </c>
      <c r="I657" s="20">
        <v>47</v>
      </c>
      <c r="J657" s="19">
        <f t="shared" si="81"/>
        <v>0</v>
      </c>
      <c r="K657" s="19">
        <f t="shared" si="82"/>
        <v>0</v>
      </c>
      <c r="L657" s="19">
        <v>-7.8399999999999997E-3</v>
      </c>
      <c r="M657" s="19">
        <v>-6.9300000000000004E-3</v>
      </c>
      <c r="N657" s="19">
        <v>-8.4700000000000001E-3</v>
      </c>
      <c r="O657" s="19">
        <v>-9.1199999999999996E-3</v>
      </c>
      <c r="P657" s="19">
        <v>-9.8099999999999993E-3</v>
      </c>
      <c r="Q657" s="19">
        <v>-9.1400000000000006E-3</v>
      </c>
      <c r="R657" s="19"/>
      <c r="S657" s="19">
        <f t="shared" si="83"/>
        <v>0</v>
      </c>
      <c r="T657" s="19">
        <f t="shared" si="84"/>
        <v>0</v>
      </c>
      <c r="U657" s="19">
        <f t="shared" si="85"/>
        <v>0</v>
      </c>
      <c r="V657" s="19">
        <f t="shared" si="86"/>
        <v>0</v>
      </c>
      <c r="W657" s="19">
        <f t="shared" si="87"/>
        <v>0</v>
      </c>
      <c r="X657" s="21">
        <f t="shared" si="88"/>
        <v>0</v>
      </c>
    </row>
    <row r="658" spans="1:24" ht="13.5" x14ac:dyDescent="0.35">
      <c r="A658" s="18">
        <v>115689</v>
      </c>
      <c r="B658" s="19" t="s">
        <v>442</v>
      </c>
      <c r="C658" s="19">
        <v>13.8</v>
      </c>
      <c r="D658" s="19">
        <v>101</v>
      </c>
      <c r="E658" s="19">
        <v>1254</v>
      </c>
      <c r="F658" s="19">
        <v>46.82</v>
      </c>
      <c r="G658" s="19">
        <v>0</v>
      </c>
      <c r="H658" s="19">
        <v>46.82</v>
      </c>
      <c r="I658" s="20">
        <v>46.82</v>
      </c>
      <c r="J658" s="19">
        <f t="shared" si="81"/>
        <v>0</v>
      </c>
      <c r="K658" s="19">
        <f t="shared" si="82"/>
        <v>0</v>
      </c>
      <c r="L658" s="19">
        <v>-9.0100000000000006E-3</v>
      </c>
      <c r="M658" s="19">
        <v>1.0499999999999999E-3</v>
      </c>
      <c r="N658" s="19">
        <v>5.45E-3</v>
      </c>
      <c r="O658" s="19">
        <v>6.5799999999999999E-3</v>
      </c>
      <c r="P658" s="19">
        <v>6.7499999999999999E-3</v>
      </c>
      <c r="Q658" s="19">
        <v>6.79E-3</v>
      </c>
      <c r="R658" s="19"/>
      <c r="S658" s="19">
        <f t="shared" si="83"/>
        <v>0</v>
      </c>
      <c r="T658" s="19">
        <f t="shared" si="84"/>
        <v>0</v>
      </c>
      <c r="U658" s="19">
        <f t="shared" si="85"/>
        <v>0</v>
      </c>
      <c r="V658" s="19">
        <f t="shared" si="86"/>
        <v>0</v>
      </c>
      <c r="W658" s="19">
        <f t="shared" si="87"/>
        <v>0</v>
      </c>
      <c r="X658" s="21">
        <f t="shared" si="88"/>
        <v>0</v>
      </c>
    </row>
    <row r="659" spans="1:24" ht="13.5" x14ac:dyDescent="0.35">
      <c r="A659" s="18">
        <v>115690</v>
      </c>
      <c r="B659" s="19" t="s">
        <v>443</v>
      </c>
      <c r="C659" s="19">
        <v>13.8</v>
      </c>
      <c r="D659" s="19">
        <v>101</v>
      </c>
      <c r="E659" s="19">
        <v>1254</v>
      </c>
      <c r="F659" s="19">
        <v>84.18</v>
      </c>
      <c r="G659" s="19">
        <v>0</v>
      </c>
      <c r="H659" s="19">
        <v>84.18</v>
      </c>
      <c r="I659" s="20">
        <v>84.18</v>
      </c>
      <c r="J659" s="19">
        <f t="shared" si="81"/>
        <v>0</v>
      </c>
      <c r="K659" s="19">
        <f t="shared" si="82"/>
        <v>0</v>
      </c>
      <c r="L659" s="19">
        <v>-9.0100000000000006E-3</v>
      </c>
      <c r="M659" s="19">
        <v>1.0499999999999999E-3</v>
      </c>
      <c r="N659" s="19">
        <v>5.45E-3</v>
      </c>
      <c r="O659" s="19">
        <v>6.5799999999999999E-3</v>
      </c>
      <c r="P659" s="19">
        <v>6.7499999999999999E-3</v>
      </c>
      <c r="Q659" s="19">
        <v>6.79E-3</v>
      </c>
      <c r="R659" s="19"/>
      <c r="S659" s="19">
        <f t="shared" si="83"/>
        <v>0</v>
      </c>
      <c r="T659" s="19">
        <f t="shared" si="84"/>
        <v>0</v>
      </c>
      <c r="U659" s="19">
        <f t="shared" si="85"/>
        <v>0</v>
      </c>
      <c r="V659" s="19">
        <f t="shared" si="86"/>
        <v>0</v>
      </c>
      <c r="W659" s="19">
        <f t="shared" si="87"/>
        <v>0</v>
      </c>
      <c r="X659" s="21">
        <f t="shared" si="88"/>
        <v>0</v>
      </c>
    </row>
    <row r="660" spans="1:24" ht="13.5" x14ac:dyDescent="0.35">
      <c r="A660" s="18">
        <v>911318</v>
      </c>
      <c r="B660" s="19" t="s">
        <v>640</v>
      </c>
      <c r="C660" s="19">
        <v>115</v>
      </c>
      <c r="D660" s="19">
        <v>101</v>
      </c>
      <c r="E660" s="19">
        <v>1030</v>
      </c>
      <c r="F660" s="19">
        <v>44.17</v>
      </c>
      <c r="G660" s="19">
        <v>0</v>
      </c>
      <c r="H660" s="19">
        <v>44.17</v>
      </c>
      <c r="I660" s="20">
        <v>44.17</v>
      </c>
      <c r="J660" s="19">
        <f t="shared" si="81"/>
        <v>0</v>
      </c>
      <c r="K660" s="19">
        <f t="shared" si="82"/>
        <v>0</v>
      </c>
      <c r="L660" s="19">
        <v>-1.1209999999999999E-2</v>
      </c>
      <c r="M660" s="19">
        <v>-1.04E-2</v>
      </c>
      <c r="N660" s="19">
        <v>-1.0279999999999999E-2</v>
      </c>
      <c r="O660" s="19">
        <v>-1.0630000000000001E-2</v>
      </c>
      <c r="P660" s="19">
        <v>-1.0869999999999999E-2</v>
      </c>
      <c r="Q660" s="19">
        <v>-1.055E-2</v>
      </c>
      <c r="R660" s="19"/>
      <c r="S660" s="19">
        <f t="shared" si="83"/>
        <v>0</v>
      </c>
      <c r="T660" s="19">
        <f t="shared" si="84"/>
        <v>0</v>
      </c>
      <c r="U660" s="19">
        <f t="shared" si="85"/>
        <v>0</v>
      </c>
      <c r="V660" s="19">
        <f t="shared" si="86"/>
        <v>0</v>
      </c>
      <c r="W660" s="19">
        <f t="shared" si="87"/>
        <v>0</v>
      </c>
      <c r="X660" s="21">
        <f t="shared" si="88"/>
        <v>0</v>
      </c>
    </row>
    <row r="661" spans="1:24" ht="13.5" x14ac:dyDescent="0.35">
      <c r="A661" s="18">
        <v>111188</v>
      </c>
      <c r="B661" s="19" t="s">
        <v>357</v>
      </c>
      <c r="C661" s="19">
        <v>13.8</v>
      </c>
      <c r="D661" s="19">
        <v>101</v>
      </c>
      <c r="E661" s="19">
        <v>1033</v>
      </c>
      <c r="F661" s="19">
        <v>46.96</v>
      </c>
      <c r="G661" s="19">
        <v>0</v>
      </c>
      <c r="H661" s="19">
        <v>46.96</v>
      </c>
      <c r="I661" s="20">
        <v>46.96</v>
      </c>
      <c r="J661" s="19">
        <f t="shared" si="81"/>
        <v>0</v>
      </c>
      <c r="K661" s="19">
        <f t="shared" si="82"/>
        <v>0</v>
      </c>
      <c r="L661" s="19">
        <v>-1.2699999999999999E-2</v>
      </c>
      <c r="M661" s="19">
        <v>-1.1679999999999999E-2</v>
      </c>
      <c r="N661" s="19">
        <v>-1.166E-2</v>
      </c>
      <c r="O661" s="19">
        <v>-1.204E-2</v>
      </c>
      <c r="P661" s="19">
        <v>-1.2290000000000001E-2</v>
      </c>
      <c r="Q661" s="19">
        <v>-1.197E-2</v>
      </c>
      <c r="R661" s="19"/>
      <c r="S661" s="19">
        <f t="shared" si="83"/>
        <v>0</v>
      </c>
      <c r="T661" s="19">
        <f t="shared" si="84"/>
        <v>0</v>
      </c>
      <c r="U661" s="19">
        <f t="shared" si="85"/>
        <v>0</v>
      </c>
      <c r="V661" s="19">
        <f t="shared" si="86"/>
        <v>0</v>
      </c>
      <c r="W661" s="19">
        <f t="shared" si="87"/>
        <v>0</v>
      </c>
      <c r="X661" s="21">
        <f t="shared" si="88"/>
        <v>0</v>
      </c>
    </row>
    <row r="662" spans="1:24" ht="13.5" x14ac:dyDescent="0.35">
      <c r="A662" s="18">
        <v>111189</v>
      </c>
      <c r="B662" s="19" t="s">
        <v>358</v>
      </c>
      <c r="C662" s="19">
        <v>13.8</v>
      </c>
      <c r="D662" s="19">
        <v>101</v>
      </c>
      <c r="E662" s="19">
        <v>1033</v>
      </c>
      <c r="F662" s="19">
        <v>22.5</v>
      </c>
      <c r="G662" s="19">
        <v>0</v>
      </c>
      <c r="H662" s="19">
        <v>22.5</v>
      </c>
      <c r="I662" s="20">
        <v>22.5</v>
      </c>
      <c r="J662" s="19">
        <f t="shared" si="81"/>
        <v>0</v>
      </c>
      <c r="K662" s="19">
        <f t="shared" si="82"/>
        <v>0</v>
      </c>
      <c r="L662" s="19">
        <v>-1.2699999999999999E-2</v>
      </c>
      <c r="M662" s="19">
        <v>-1.1679999999999999E-2</v>
      </c>
      <c r="N662" s="19">
        <v>-1.166E-2</v>
      </c>
      <c r="O662" s="19">
        <v>-1.204E-2</v>
      </c>
      <c r="P662" s="19">
        <v>-1.2290000000000001E-2</v>
      </c>
      <c r="Q662" s="19">
        <v>-1.197E-2</v>
      </c>
      <c r="R662" s="19"/>
      <c r="S662" s="19">
        <f t="shared" si="83"/>
        <v>0</v>
      </c>
      <c r="T662" s="19">
        <f t="shared" si="84"/>
        <v>0</v>
      </c>
      <c r="U662" s="19">
        <f t="shared" si="85"/>
        <v>0</v>
      </c>
      <c r="V662" s="19">
        <f t="shared" si="86"/>
        <v>0</v>
      </c>
      <c r="W662" s="19">
        <f t="shared" si="87"/>
        <v>0</v>
      </c>
      <c r="X662" s="21">
        <f t="shared" si="88"/>
        <v>0</v>
      </c>
    </row>
    <row r="663" spans="1:24" ht="13.5" x14ac:dyDescent="0.35">
      <c r="A663" s="18">
        <v>910895</v>
      </c>
      <c r="B663" s="19" t="s">
        <v>613</v>
      </c>
      <c r="C663" s="19">
        <v>115</v>
      </c>
      <c r="D663" s="19">
        <v>101</v>
      </c>
      <c r="E663" s="19">
        <v>1020</v>
      </c>
      <c r="F663" s="19">
        <v>9</v>
      </c>
      <c r="G663" s="19">
        <v>0</v>
      </c>
      <c r="H663" s="19">
        <v>9</v>
      </c>
      <c r="I663" s="20">
        <v>9</v>
      </c>
      <c r="J663" s="19">
        <f t="shared" si="81"/>
        <v>0</v>
      </c>
      <c r="K663" s="19">
        <f t="shared" si="82"/>
        <v>0</v>
      </c>
      <c r="L663" s="19">
        <v>-1.2959999999999999E-2</v>
      </c>
      <c r="M663" s="19">
        <v>-1.0330000000000001E-2</v>
      </c>
      <c r="N663" s="19">
        <v>-1.2030000000000001E-2</v>
      </c>
      <c r="O663" s="19">
        <v>-0.01</v>
      </c>
      <c r="P663" s="19">
        <v>-1.0829999999999999E-2</v>
      </c>
      <c r="Q663" s="19">
        <v>-1.055E-2</v>
      </c>
      <c r="R663" s="19"/>
      <c r="S663" s="19">
        <f t="shared" si="83"/>
        <v>0</v>
      </c>
      <c r="T663" s="19">
        <f t="shared" si="84"/>
        <v>0</v>
      </c>
      <c r="U663" s="19">
        <f t="shared" si="85"/>
        <v>0</v>
      </c>
      <c r="V663" s="19">
        <f t="shared" si="86"/>
        <v>0</v>
      </c>
      <c r="W663" s="19">
        <f t="shared" si="87"/>
        <v>0</v>
      </c>
      <c r="X663" s="21">
        <f t="shared" si="88"/>
        <v>0</v>
      </c>
    </row>
    <row r="664" spans="1:24" ht="13.5" x14ac:dyDescent="0.35">
      <c r="A664" s="18">
        <v>111181</v>
      </c>
      <c r="B664" s="19" t="s">
        <v>354</v>
      </c>
      <c r="C664" s="19">
        <v>0.4</v>
      </c>
      <c r="D664" s="19">
        <v>101</v>
      </c>
      <c r="E664" s="19">
        <v>1032</v>
      </c>
      <c r="F664" s="19">
        <v>0</v>
      </c>
      <c r="G664" s="19">
        <v>0</v>
      </c>
      <c r="H664" s="19">
        <v>0</v>
      </c>
      <c r="I664" s="20">
        <v>0</v>
      </c>
      <c r="J664" s="19">
        <f t="shared" si="81"/>
        <v>0</v>
      </c>
      <c r="K664" s="19">
        <f t="shared" si="82"/>
        <v>0</v>
      </c>
      <c r="L664" s="19">
        <v>-1.417E-2</v>
      </c>
      <c r="M664" s="19">
        <v>-1.32E-2</v>
      </c>
      <c r="N664" s="19">
        <v>-1.34E-2</v>
      </c>
      <c r="O664" s="19">
        <v>-1.3860000000000001E-2</v>
      </c>
      <c r="P664" s="19">
        <v>-1.414E-2</v>
      </c>
      <c r="Q664" s="19">
        <v>-1.379E-2</v>
      </c>
      <c r="R664" s="19"/>
      <c r="S664" s="19">
        <f t="shared" si="83"/>
        <v>0</v>
      </c>
      <c r="T664" s="19">
        <f t="shared" si="84"/>
        <v>0</v>
      </c>
      <c r="U664" s="19">
        <f t="shared" si="85"/>
        <v>0</v>
      </c>
      <c r="V664" s="19">
        <f t="shared" si="86"/>
        <v>0</v>
      </c>
      <c r="W664" s="19">
        <f t="shared" si="87"/>
        <v>0</v>
      </c>
      <c r="X664" s="21">
        <f t="shared" si="88"/>
        <v>0</v>
      </c>
    </row>
    <row r="665" spans="1:24" ht="13.5" x14ac:dyDescent="0.35">
      <c r="A665" s="18">
        <v>111182</v>
      </c>
      <c r="B665" s="19" t="s">
        <v>355</v>
      </c>
      <c r="C665" s="19">
        <v>0.4</v>
      </c>
      <c r="D665" s="19">
        <v>101</v>
      </c>
      <c r="E665" s="19">
        <v>1032</v>
      </c>
      <c r="F665" s="19">
        <v>0</v>
      </c>
      <c r="G665" s="19">
        <v>0</v>
      </c>
      <c r="H665" s="19">
        <v>0</v>
      </c>
      <c r="I665" s="20">
        <v>0</v>
      </c>
      <c r="J665" s="19">
        <f t="shared" si="81"/>
        <v>0</v>
      </c>
      <c r="K665" s="19">
        <f t="shared" si="82"/>
        <v>0</v>
      </c>
      <c r="L665" s="19">
        <v>-1.417E-2</v>
      </c>
      <c r="M665" s="19">
        <v>-1.32E-2</v>
      </c>
      <c r="N665" s="19">
        <v>-1.34E-2</v>
      </c>
      <c r="O665" s="19">
        <v>-1.3860000000000001E-2</v>
      </c>
      <c r="P665" s="19">
        <v>-1.414E-2</v>
      </c>
      <c r="Q665" s="19">
        <v>-1.379E-2</v>
      </c>
      <c r="R665" s="19"/>
      <c r="S665" s="19">
        <f t="shared" si="83"/>
        <v>0</v>
      </c>
      <c r="T665" s="19">
        <f t="shared" si="84"/>
        <v>0</v>
      </c>
      <c r="U665" s="19">
        <f t="shared" si="85"/>
        <v>0</v>
      </c>
      <c r="V665" s="19">
        <f t="shared" si="86"/>
        <v>0</v>
      </c>
      <c r="W665" s="19">
        <f t="shared" si="87"/>
        <v>0</v>
      </c>
      <c r="X665" s="21">
        <f t="shared" si="88"/>
        <v>0</v>
      </c>
    </row>
    <row r="666" spans="1:24" ht="13.5" x14ac:dyDescent="0.35">
      <c r="A666" s="18">
        <v>111183</v>
      </c>
      <c r="B666" s="19" t="s">
        <v>356</v>
      </c>
      <c r="C666" s="19">
        <v>0.4</v>
      </c>
      <c r="D666" s="19">
        <v>101</v>
      </c>
      <c r="E666" s="19">
        <v>1032</v>
      </c>
      <c r="F666" s="19">
        <v>0</v>
      </c>
      <c r="G666" s="19">
        <v>0</v>
      </c>
      <c r="H666" s="19">
        <v>0</v>
      </c>
      <c r="I666" s="20">
        <v>0</v>
      </c>
      <c r="J666" s="19">
        <f t="shared" si="81"/>
        <v>0</v>
      </c>
      <c r="K666" s="19">
        <f t="shared" si="82"/>
        <v>0</v>
      </c>
      <c r="L666" s="19">
        <v>-1.417E-2</v>
      </c>
      <c r="M666" s="19">
        <v>-1.32E-2</v>
      </c>
      <c r="N666" s="19">
        <v>-1.34E-2</v>
      </c>
      <c r="O666" s="19">
        <v>-1.3860000000000001E-2</v>
      </c>
      <c r="P666" s="19">
        <v>-1.414E-2</v>
      </c>
      <c r="Q666" s="19">
        <v>-1.379E-2</v>
      </c>
      <c r="R666" s="19"/>
      <c r="S666" s="19">
        <f t="shared" si="83"/>
        <v>0</v>
      </c>
      <c r="T666" s="19">
        <f t="shared" si="84"/>
        <v>0</v>
      </c>
      <c r="U666" s="19">
        <f t="shared" si="85"/>
        <v>0</v>
      </c>
      <c r="V666" s="19">
        <f t="shared" si="86"/>
        <v>0</v>
      </c>
      <c r="W666" s="19">
        <f t="shared" si="87"/>
        <v>0</v>
      </c>
      <c r="X666" s="21">
        <f t="shared" si="88"/>
        <v>0</v>
      </c>
    </row>
    <row r="667" spans="1:24" ht="13.5" x14ac:dyDescent="0.35">
      <c r="A667" s="18">
        <v>911152</v>
      </c>
      <c r="B667" s="19" t="s">
        <v>619</v>
      </c>
      <c r="C667" s="19">
        <v>115</v>
      </c>
      <c r="D667" s="19">
        <v>101</v>
      </c>
      <c r="E667" s="19">
        <v>1030</v>
      </c>
      <c r="F667" s="19">
        <v>214.98</v>
      </c>
      <c r="G667" s="19">
        <v>0</v>
      </c>
      <c r="H667" s="19">
        <v>252</v>
      </c>
      <c r="I667" s="20">
        <v>214.98</v>
      </c>
      <c r="J667" s="19">
        <f t="shared" si="81"/>
        <v>0</v>
      </c>
      <c r="K667" s="19">
        <f t="shared" si="82"/>
        <v>37.02000000000001</v>
      </c>
      <c r="L667" s="19">
        <v>-1.417E-2</v>
      </c>
      <c r="M667" s="19">
        <v>-1.32E-2</v>
      </c>
      <c r="N667" s="19">
        <v>-1.341E-2</v>
      </c>
      <c r="O667" s="19">
        <v>-1.387E-2</v>
      </c>
      <c r="P667" s="19">
        <v>-1.414E-2</v>
      </c>
      <c r="Q667" s="19">
        <v>-1.38E-2</v>
      </c>
      <c r="R667" s="19"/>
      <c r="S667" s="19">
        <f t="shared" si="83"/>
        <v>0</v>
      </c>
      <c r="T667" s="19">
        <f t="shared" si="84"/>
        <v>0</v>
      </c>
      <c r="U667" s="19">
        <f t="shared" si="85"/>
        <v>0</v>
      </c>
      <c r="V667" s="19">
        <f t="shared" si="86"/>
        <v>0</v>
      </c>
      <c r="W667" s="19">
        <f t="shared" si="87"/>
        <v>0</v>
      </c>
      <c r="X667" s="21">
        <f t="shared" si="88"/>
        <v>0</v>
      </c>
    </row>
    <row r="668" spans="1:24" ht="13.5" x14ac:dyDescent="0.35">
      <c r="A668" s="18">
        <v>991152</v>
      </c>
      <c r="B668" s="19" t="s">
        <v>722</v>
      </c>
      <c r="C668" s="19">
        <v>115</v>
      </c>
      <c r="D668" s="19">
        <v>101</v>
      </c>
      <c r="E668" s="19">
        <v>1030</v>
      </c>
      <c r="F668" s="19">
        <v>0</v>
      </c>
      <c r="G668" s="19">
        <v>0</v>
      </c>
      <c r="H668" s="19">
        <v>0</v>
      </c>
      <c r="I668" s="20">
        <v>0</v>
      </c>
      <c r="J668" s="19">
        <f t="shared" si="81"/>
        <v>0</v>
      </c>
      <c r="K668" s="19">
        <f t="shared" si="82"/>
        <v>0</v>
      </c>
      <c r="L668" s="19">
        <v>-1.417E-2</v>
      </c>
      <c r="M668" s="19">
        <v>-1.32E-2</v>
      </c>
      <c r="N668" s="19">
        <v>-1.341E-2</v>
      </c>
      <c r="O668" s="19">
        <v>-1.387E-2</v>
      </c>
      <c r="P668" s="19">
        <v>-1.414E-2</v>
      </c>
      <c r="Q668" s="19">
        <v>-1.38E-2</v>
      </c>
      <c r="R668" s="19"/>
      <c r="S668" s="19">
        <f t="shared" si="83"/>
        <v>0</v>
      </c>
      <c r="T668" s="19">
        <f t="shared" si="84"/>
        <v>0</v>
      </c>
      <c r="U668" s="19">
        <f t="shared" si="85"/>
        <v>0</v>
      </c>
      <c r="V668" s="19">
        <f t="shared" si="86"/>
        <v>0</v>
      </c>
      <c r="W668" s="19">
        <f t="shared" si="87"/>
        <v>0</v>
      </c>
      <c r="X668" s="21">
        <f t="shared" si="88"/>
        <v>0</v>
      </c>
    </row>
    <row r="669" spans="1:24" ht="13.5" x14ac:dyDescent="0.35">
      <c r="A669" s="18">
        <v>911142</v>
      </c>
      <c r="B669" s="19" t="s">
        <v>616</v>
      </c>
      <c r="C669" s="19">
        <v>115</v>
      </c>
      <c r="D669" s="19">
        <v>101</v>
      </c>
      <c r="E669" s="19">
        <v>1030</v>
      </c>
      <c r="F669" s="19">
        <v>8.3800000000000008</v>
      </c>
      <c r="G669" s="19">
        <v>0</v>
      </c>
      <c r="H669" s="19">
        <v>10</v>
      </c>
      <c r="I669" s="20">
        <v>8.3800000000000008</v>
      </c>
      <c r="J669" s="19">
        <f t="shared" si="81"/>
        <v>0</v>
      </c>
      <c r="K669" s="19">
        <f t="shared" si="82"/>
        <v>1.6199999999999992</v>
      </c>
      <c r="L669" s="19">
        <v>-1.7780000000000001E-2</v>
      </c>
      <c r="M669" s="19">
        <v>-1.661E-2</v>
      </c>
      <c r="N669" s="19">
        <v>-1.721E-2</v>
      </c>
      <c r="O669" s="19">
        <v>-1.7809999999999999E-2</v>
      </c>
      <c r="P669" s="19">
        <v>-1.8120000000000001E-2</v>
      </c>
      <c r="Q669" s="19">
        <v>-1.7749999999999998E-2</v>
      </c>
      <c r="R669" s="19"/>
      <c r="S669" s="19">
        <f t="shared" si="83"/>
        <v>0</v>
      </c>
      <c r="T669" s="19">
        <f t="shared" si="84"/>
        <v>0</v>
      </c>
      <c r="U669" s="19">
        <f t="shared" si="85"/>
        <v>0</v>
      </c>
      <c r="V669" s="19">
        <f t="shared" si="86"/>
        <v>0</v>
      </c>
      <c r="W669" s="19">
        <f t="shared" si="87"/>
        <v>0</v>
      </c>
      <c r="X669" s="21">
        <f t="shared" si="88"/>
        <v>0</v>
      </c>
    </row>
    <row r="670" spans="1:24" ht="13.5" x14ac:dyDescent="0.35">
      <c r="A670" s="18">
        <v>910898</v>
      </c>
      <c r="B670" s="19" t="s">
        <v>614</v>
      </c>
      <c r="C670" s="19">
        <v>115</v>
      </c>
      <c r="D670" s="19">
        <v>101</v>
      </c>
      <c r="E670" s="19">
        <v>1020</v>
      </c>
      <c r="F670" s="19">
        <v>8</v>
      </c>
      <c r="G670" s="19">
        <v>0</v>
      </c>
      <c r="H670" s="19">
        <v>8</v>
      </c>
      <c r="I670" s="20">
        <v>8</v>
      </c>
      <c r="J670" s="19">
        <f t="shared" si="81"/>
        <v>0</v>
      </c>
      <c r="K670" s="19">
        <f t="shared" si="82"/>
        <v>0</v>
      </c>
      <c r="L670" s="19">
        <v>-1.934E-2</v>
      </c>
      <c r="M670" s="19">
        <v>-1.506E-2</v>
      </c>
      <c r="N670" s="19">
        <v>-1.6619999999999999E-2</v>
      </c>
      <c r="O670" s="19">
        <v>-1.5169999999999999E-2</v>
      </c>
      <c r="P670" s="19">
        <v>-1.5990000000000001E-2</v>
      </c>
      <c r="Q670" s="19">
        <v>-1.559E-2</v>
      </c>
      <c r="R670" s="19"/>
      <c r="S670" s="19">
        <f t="shared" si="83"/>
        <v>0</v>
      </c>
      <c r="T670" s="19">
        <f t="shared" si="84"/>
        <v>0</v>
      </c>
      <c r="U670" s="19">
        <f t="shared" si="85"/>
        <v>0</v>
      </c>
      <c r="V670" s="19">
        <f t="shared" si="86"/>
        <v>0</v>
      </c>
      <c r="W670" s="19">
        <f t="shared" si="87"/>
        <v>0</v>
      </c>
      <c r="X670" s="21">
        <f t="shared" si="88"/>
        <v>0</v>
      </c>
    </row>
    <row r="671" spans="1:24" ht="13.5" x14ac:dyDescent="0.35">
      <c r="A671" s="18">
        <v>911217</v>
      </c>
      <c r="B671" s="19" t="s">
        <v>627</v>
      </c>
      <c r="C671" s="19">
        <v>115</v>
      </c>
      <c r="D671" s="19">
        <v>101</v>
      </c>
      <c r="E671" s="19">
        <v>1040</v>
      </c>
      <c r="F671" s="19">
        <v>0</v>
      </c>
      <c r="G671" s="19">
        <v>0</v>
      </c>
      <c r="H671" s="19">
        <v>0</v>
      </c>
      <c r="I671" s="20">
        <v>0</v>
      </c>
      <c r="J671" s="19">
        <f t="shared" si="81"/>
        <v>0</v>
      </c>
      <c r="K671" s="19">
        <f t="shared" si="82"/>
        <v>0</v>
      </c>
      <c r="L671" s="19">
        <v>-1.9769999999999999E-2</v>
      </c>
      <c r="M671" s="19">
        <v>-1.8489999999999999E-2</v>
      </c>
      <c r="N671" s="19">
        <v>-1.9300000000000001E-2</v>
      </c>
      <c r="O671" s="19">
        <v>-1.9980000000000001E-2</v>
      </c>
      <c r="P671" s="19">
        <v>-2.0310000000000002E-2</v>
      </c>
      <c r="Q671" s="19">
        <v>-1.993E-2</v>
      </c>
      <c r="R671" s="19"/>
      <c r="S671" s="19">
        <f t="shared" si="83"/>
        <v>0</v>
      </c>
      <c r="T671" s="19">
        <f t="shared" si="84"/>
        <v>0</v>
      </c>
      <c r="U671" s="19">
        <f t="shared" si="85"/>
        <v>0</v>
      </c>
      <c r="V671" s="19">
        <f t="shared" si="86"/>
        <v>0</v>
      </c>
      <c r="W671" s="19">
        <f t="shared" si="87"/>
        <v>0</v>
      </c>
      <c r="X671" s="21">
        <f t="shared" si="88"/>
        <v>0</v>
      </c>
    </row>
    <row r="672" spans="1:24" ht="13.5" x14ac:dyDescent="0.35">
      <c r="A672" s="18">
        <v>911214</v>
      </c>
      <c r="B672" s="19" t="s">
        <v>626</v>
      </c>
      <c r="C672" s="19">
        <v>115</v>
      </c>
      <c r="D672" s="19">
        <v>101</v>
      </c>
      <c r="E672" s="19">
        <v>1040</v>
      </c>
      <c r="F672" s="19">
        <v>0</v>
      </c>
      <c r="G672" s="19">
        <v>0</v>
      </c>
      <c r="H672" s="19">
        <v>0</v>
      </c>
      <c r="I672" s="20">
        <v>0</v>
      </c>
      <c r="J672" s="19">
        <f t="shared" si="81"/>
        <v>0</v>
      </c>
      <c r="K672" s="19">
        <f t="shared" si="82"/>
        <v>0</v>
      </c>
      <c r="L672" s="19">
        <v>-1.9970000000000002E-2</v>
      </c>
      <c r="M672" s="19">
        <v>-1.8710000000000001E-2</v>
      </c>
      <c r="N672" s="19">
        <v>-1.9550000000000001E-2</v>
      </c>
      <c r="O672" s="19">
        <v>-2.0240000000000001E-2</v>
      </c>
      <c r="P672" s="19">
        <v>-2.0570000000000001E-2</v>
      </c>
      <c r="Q672" s="19">
        <v>-2.019E-2</v>
      </c>
      <c r="R672" s="19"/>
      <c r="S672" s="19">
        <f t="shared" si="83"/>
        <v>0</v>
      </c>
      <c r="T672" s="19">
        <f t="shared" si="84"/>
        <v>0</v>
      </c>
      <c r="U672" s="19">
        <f t="shared" si="85"/>
        <v>0</v>
      </c>
      <c r="V672" s="19">
        <f t="shared" si="86"/>
        <v>0</v>
      </c>
      <c r="W672" s="19">
        <f t="shared" si="87"/>
        <v>0</v>
      </c>
      <c r="X672" s="21">
        <f t="shared" si="88"/>
        <v>0</v>
      </c>
    </row>
    <row r="673" spans="1:24" ht="13.5" x14ac:dyDescent="0.35">
      <c r="A673" s="18">
        <v>911245</v>
      </c>
      <c r="B673" s="19" t="s">
        <v>628</v>
      </c>
      <c r="C673" s="19">
        <v>115</v>
      </c>
      <c r="D673" s="19">
        <v>101</v>
      </c>
      <c r="E673" s="19">
        <v>1040</v>
      </c>
      <c r="F673" s="19">
        <v>0</v>
      </c>
      <c r="G673" s="19">
        <v>0</v>
      </c>
      <c r="H673" s="19">
        <v>0</v>
      </c>
      <c r="I673" s="20">
        <v>0</v>
      </c>
      <c r="J673" s="19">
        <f t="shared" si="81"/>
        <v>0</v>
      </c>
      <c r="K673" s="19">
        <f t="shared" si="82"/>
        <v>0</v>
      </c>
      <c r="L673" s="19">
        <v>-2.0320000000000001E-2</v>
      </c>
      <c r="M673" s="19">
        <v>-1.9099999999999999E-2</v>
      </c>
      <c r="N673" s="19">
        <v>-1.9980000000000001E-2</v>
      </c>
      <c r="O673" s="19">
        <v>-2.069E-2</v>
      </c>
      <c r="P673" s="19">
        <v>-2.1010000000000001E-2</v>
      </c>
      <c r="Q673" s="19">
        <v>-2.0639999999999999E-2</v>
      </c>
      <c r="R673" s="19"/>
      <c r="S673" s="19">
        <f t="shared" si="83"/>
        <v>0</v>
      </c>
      <c r="T673" s="19">
        <f t="shared" si="84"/>
        <v>0</v>
      </c>
      <c r="U673" s="19">
        <f t="shared" si="85"/>
        <v>0</v>
      </c>
      <c r="V673" s="19">
        <f t="shared" si="86"/>
        <v>0</v>
      </c>
      <c r="W673" s="19">
        <f t="shared" si="87"/>
        <v>0</v>
      </c>
      <c r="X673" s="21">
        <f t="shared" si="88"/>
        <v>0</v>
      </c>
    </row>
    <row r="674" spans="1:24" ht="13.5" x14ac:dyDescent="0.35">
      <c r="A674" s="18">
        <v>111248</v>
      </c>
      <c r="B674" s="19" t="s">
        <v>360</v>
      </c>
      <c r="C674" s="19">
        <v>14.4</v>
      </c>
      <c r="D674" s="19">
        <v>101</v>
      </c>
      <c r="E674" s="19">
        <v>1044</v>
      </c>
      <c r="F674" s="19">
        <v>0</v>
      </c>
      <c r="G674" s="19">
        <v>0</v>
      </c>
      <c r="H674" s="19">
        <v>0</v>
      </c>
      <c r="I674" s="20">
        <v>0</v>
      </c>
      <c r="J674" s="19">
        <f t="shared" si="81"/>
        <v>0</v>
      </c>
      <c r="K674" s="19">
        <f t="shared" si="82"/>
        <v>0</v>
      </c>
      <c r="L674" s="19">
        <v>-2.0369999999999999E-2</v>
      </c>
      <c r="M674" s="19">
        <v>-1.916E-2</v>
      </c>
      <c r="N674" s="19">
        <v>-2.0049999999999998E-2</v>
      </c>
      <c r="O674" s="19">
        <v>-2.0750000000000001E-2</v>
      </c>
      <c r="P674" s="19">
        <v>-2.1069999999999998E-2</v>
      </c>
      <c r="Q674" s="19">
        <v>-2.07E-2</v>
      </c>
      <c r="R674" s="19"/>
      <c r="S674" s="19">
        <f t="shared" si="83"/>
        <v>0</v>
      </c>
      <c r="T674" s="19">
        <f t="shared" si="84"/>
        <v>0</v>
      </c>
      <c r="U674" s="19">
        <f t="shared" si="85"/>
        <v>0</v>
      </c>
      <c r="V674" s="19">
        <f t="shared" si="86"/>
        <v>0</v>
      </c>
      <c r="W674" s="19">
        <f t="shared" si="87"/>
        <v>0</v>
      </c>
      <c r="X674" s="21">
        <f t="shared" si="88"/>
        <v>0</v>
      </c>
    </row>
    <row r="675" spans="1:24" ht="13.5" x14ac:dyDescent="0.35">
      <c r="A675" s="18">
        <v>111253</v>
      </c>
      <c r="B675" s="19" t="s">
        <v>363</v>
      </c>
      <c r="C675" s="19">
        <v>23</v>
      </c>
      <c r="D675" s="19">
        <v>101</v>
      </c>
      <c r="E675" s="19">
        <v>1043</v>
      </c>
      <c r="F675" s="19">
        <v>0</v>
      </c>
      <c r="G675" s="19">
        <v>0</v>
      </c>
      <c r="H675" s="19">
        <v>0</v>
      </c>
      <c r="I675" s="20">
        <v>0</v>
      </c>
      <c r="J675" s="19">
        <f t="shared" si="81"/>
        <v>0</v>
      </c>
      <c r="K675" s="19">
        <f t="shared" si="82"/>
        <v>0</v>
      </c>
      <c r="L675" s="19">
        <v>-2.0369999999999999E-2</v>
      </c>
      <c r="M675" s="19">
        <v>-1.916E-2</v>
      </c>
      <c r="N675" s="19">
        <v>-2.0049999999999998E-2</v>
      </c>
      <c r="O675" s="19">
        <v>-2.0750000000000001E-2</v>
      </c>
      <c r="P675" s="19">
        <v>-2.1069999999999998E-2</v>
      </c>
      <c r="Q675" s="19">
        <v>-2.07E-2</v>
      </c>
      <c r="R675" s="19"/>
      <c r="S675" s="19">
        <f t="shared" si="83"/>
        <v>0</v>
      </c>
      <c r="T675" s="19">
        <f t="shared" si="84"/>
        <v>0</v>
      </c>
      <c r="U675" s="19">
        <f t="shared" si="85"/>
        <v>0</v>
      </c>
      <c r="V675" s="19">
        <f t="shared" si="86"/>
        <v>0</v>
      </c>
      <c r="W675" s="19">
        <f t="shared" si="87"/>
        <v>0</v>
      </c>
      <c r="X675" s="21">
        <f t="shared" si="88"/>
        <v>0</v>
      </c>
    </row>
    <row r="676" spans="1:24" ht="13.5" x14ac:dyDescent="0.35">
      <c r="A676" s="18">
        <v>911204</v>
      </c>
      <c r="B676" s="19" t="s">
        <v>622</v>
      </c>
      <c r="C676" s="19">
        <v>115</v>
      </c>
      <c r="D676" s="19">
        <v>101</v>
      </c>
      <c r="E676" s="19">
        <v>1040</v>
      </c>
      <c r="F676" s="19">
        <v>0</v>
      </c>
      <c r="G676" s="19">
        <v>0</v>
      </c>
      <c r="H676" s="19">
        <v>0</v>
      </c>
      <c r="I676" s="20">
        <v>0</v>
      </c>
      <c r="J676" s="19">
        <f t="shared" si="81"/>
        <v>0</v>
      </c>
      <c r="K676" s="19">
        <f t="shared" si="82"/>
        <v>0</v>
      </c>
      <c r="L676" s="19">
        <v>-2.0369999999999999E-2</v>
      </c>
      <c r="M676" s="19">
        <v>-1.916E-2</v>
      </c>
      <c r="N676" s="19">
        <v>-2.0049999999999998E-2</v>
      </c>
      <c r="O676" s="19">
        <v>-2.0750000000000001E-2</v>
      </c>
      <c r="P676" s="19">
        <v>-2.1069999999999998E-2</v>
      </c>
      <c r="Q676" s="19">
        <v>-2.07E-2</v>
      </c>
      <c r="R676" s="19"/>
      <c r="S676" s="19">
        <f t="shared" si="83"/>
        <v>0</v>
      </c>
      <c r="T676" s="19">
        <f t="shared" si="84"/>
        <v>0</v>
      </c>
      <c r="U676" s="19">
        <f t="shared" si="85"/>
        <v>0</v>
      </c>
      <c r="V676" s="19">
        <f t="shared" si="86"/>
        <v>0</v>
      </c>
      <c r="W676" s="19">
        <f t="shared" si="87"/>
        <v>0</v>
      </c>
      <c r="X676" s="21">
        <f t="shared" si="88"/>
        <v>0</v>
      </c>
    </row>
    <row r="677" spans="1:24" ht="13.5" x14ac:dyDescent="0.35">
      <c r="A677" s="18">
        <v>911205</v>
      </c>
      <c r="B677" s="19" t="s">
        <v>623</v>
      </c>
      <c r="C677" s="19">
        <v>115</v>
      </c>
      <c r="D677" s="19">
        <v>101</v>
      </c>
      <c r="E677" s="19">
        <v>1040</v>
      </c>
      <c r="F677" s="19">
        <v>0</v>
      </c>
      <c r="G677" s="19">
        <v>0</v>
      </c>
      <c r="H677" s="19">
        <v>0</v>
      </c>
      <c r="I677" s="20">
        <v>0</v>
      </c>
      <c r="J677" s="19">
        <f t="shared" si="81"/>
        <v>0</v>
      </c>
      <c r="K677" s="19">
        <f t="shared" si="82"/>
        <v>0</v>
      </c>
      <c r="L677" s="19">
        <v>-2.0369999999999999E-2</v>
      </c>
      <c r="M677" s="19">
        <v>-1.916E-2</v>
      </c>
      <c r="N677" s="19">
        <v>-2.0039999999999999E-2</v>
      </c>
      <c r="O677" s="19">
        <v>-2.0750000000000001E-2</v>
      </c>
      <c r="P677" s="19">
        <v>-2.1069999999999998E-2</v>
      </c>
      <c r="Q677" s="19">
        <v>-2.07E-2</v>
      </c>
      <c r="R677" s="19"/>
      <c r="S677" s="19">
        <f t="shared" si="83"/>
        <v>0</v>
      </c>
      <c r="T677" s="19">
        <f t="shared" si="84"/>
        <v>0</v>
      </c>
      <c r="U677" s="19">
        <f t="shared" si="85"/>
        <v>0</v>
      </c>
      <c r="V677" s="19">
        <f t="shared" si="86"/>
        <v>0</v>
      </c>
      <c r="W677" s="19">
        <f t="shared" si="87"/>
        <v>0</v>
      </c>
      <c r="X677" s="21">
        <f t="shared" si="88"/>
        <v>0</v>
      </c>
    </row>
    <row r="678" spans="1:24" ht="13.5" x14ac:dyDescent="0.35">
      <c r="A678" s="18">
        <v>991204</v>
      </c>
      <c r="B678" s="19" t="s">
        <v>723</v>
      </c>
      <c r="C678" s="19">
        <v>115</v>
      </c>
      <c r="D678" s="19">
        <v>101</v>
      </c>
      <c r="E678" s="19">
        <v>1040</v>
      </c>
      <c r="F678" s="19">
        <v>0</v>
      </c>
      <c r="G678" s="19">
        <v>0</v>
      </c>
      <c r="H678" s="19">
        <v>0</v>
      </c>
      <c r="I678" s="20">
        <v>0</v>
      </c>
      <c r="J678" s="19">
        <f t="shared" si="81"/>
        <v>0</v>
      </c>
      <c r="K678" s="19">
        <f t="shared" si="82"/>
        <v>0</v>
      </c>
      <c r="L678" s="19">
        <v>-2.0369999999999999E-2</v>
      </c>
      <c r="M678" s="19">
        <v>-1.916E-2</v>
      </c>
      <c r="N678" s="19">
        <v>-2.0049999999999998E-2</v>
      </c>
      <c r="O678" s="19">
        <v>-2.0750000000000001E-2</v>
      </c>
      <c r="P678" s="19">
        <v>-2.1069999999999998E-2</v>
      </c>
      <c r="Q678" s="19">
        <v>-2.07E-2</v>
      </c>
      <c r="R678" s="19"/>
      <c r="S678" s="19">
        <f t="shared" si="83"/>
        <v>0</v>
      </c>
      <c r="T678" s="19">
        <f t="shared" si="84"/>
        <v>0</v>
      </c>
      <c r="U678" s="19">
        <f t="shared" si="85"/>
        <v>0</v>
      </c>
      <c r="V678" s="19">
        <f t="shared" si="86"/>
        <v>0</v>
      </c>
      <c r="W678" s="19">
        <f t="shared" si="87"/>
        <v>0</v>
      </c>
      <c r="X678" s="21">
        <f t="shared" si="88"/>
        <v>0</v>
      </c>
    </row>
    <row r="679" spans="1:24" ht="13.5" x14ac:dyDescent="0.35">
      <c r="A679" s="18">
        <v>911209</v>
      </c>
      <c r="B679" s="19" t="s">
        <v>624</v>
      </c>
      <c r="C679" s="19">
        <v>115</v>
      </c>
      <c r="D679" s="19">
        <v>101</v>
      </c>
      <c r="E679" s="19">
        <v>1040</v>
      </c>
      <c r="F679" s="19">
        <v>0</v>
      </c>
      <c r="G679" s="19">
        <v>0</v>
      </c>
      <c r="H679" s="19">
        <v>0</v>
      </c>
      <c r="I679" s="20">
        <v>0</v>
      </c>
      <c r="J679" s="19">
        <f t="shared" si="81"/>
        <v>0</v>
      </c>
      <c r="K679" s="19">
        <f t="shared" si="82"/>
        <v>0</v>
      </c>
      <c r="L679" s="19">
        <v>-2.0549999999999999E-2</v>
      </c>
      <c r="M679" s="19">
        <v>-1.9359999999999999E-2</v>
      </c>
      <c r="N679" s="19">
        <v>-2.027E-2</v>
      </c>
      <c r="O679" s="19">
        <v>-2.0979999999999999E-2</v>
      </c>
      <c r="P679" s="19">
        <v>-2.1299999999999999E-2</v>
      </c>
      <c r="Q679" s="19">
        <v>-2.0930000000000001E-2</v>
      </c>
      <c r="R679" s="19"/>
      <c r="S679" s="19">
        <f t="shared" si="83"/>
        <v>0</v>
      </c>
      <c r="T679" s="19">
        <f t="shared" si="84"/>
        <v>0</v>
      </c>
      <c r="U679" s="19">
        <f t="shared" si="85"/>
        <v>0</v>
      </c>
      <c r="V679" s="19">
        <f t="shared" si="86"/>
        <v>0</v>
      </c>
      <c r="W679" s="19">
        <f t="shared" si="87"/>
        <v>0</v>
      </c>
      <c r="X679" s="21">
        <f t="shared" si="88"/>
        <v>0</v>
      </c>
    </row>
    <row r="680" spans="1:24" ht="13.5" x14ac:dyDescent="0.35">
      <c r="A680" s="18">
        <v>911403</v>
      </c>
      <c r="B680" s="19" t="s">
        <v>641</v>
      </c>
      <c r="C680" s="19">
        <v>115</v>
      </c>
      <c r="D680" s="19">
        <v>101</v>
      </c>
      <c r="E680" s="19">
        <v>1040</v>
      </c>
      <c r="F680" s="19">
        <v>0</v>
      </c>
      <c r="G680" s="19">
        <v>0</v>
      </c>
      <c r="H680" s="19">
        <v>0</v>
      </c>
      <c r="I680" s="20">
        <v>0</v>
      </c>
      <c r="J680" s="19">
        <f t="shared" si="81"/>
        <v>0</v>
      </c>
      <c r="K680" s="19">
        <f t="shared" si="82"/>
        <v>0</v>
      </c>
      <c r="L680" s="19">
        <v>-2.087E-2</v>
      </c>
      <c r="M680" s="19">
        <v>-1.9720000000000001E-2</v>
      </c>
      <c r="N680" s="19">
        <v>-2.0660000000000001E-2</v>
      </c>
      <c r="O680" s="19">
        <v>-2.1389999999999999E-2</v>
      </c>
      <c r="P680" s="19">
        <v>-2.171E-2</v>
      </c>
      <c r="Q680" s="19">
        <v>-2.1340000000000001E-2</v>
      </c>
      <c r="R680" s="19"/>
      <c r="S680" s="19">
        <f t="shared" si="83"/>
        <v>0</v>
      </c>
      <c r="T680" s="19">
        <f t="shared" si="84"/>
        <v>0</v>
      </c>
      <c r="U680" s="19">
        <f t="shared" si="85"/>
        <v>0</v>
      </c>
      <c r="V680" s="19">
        <f t="shared" si="86"/>
        <v>0</v>
      </c>
      <c r="W680" s="19">
        <f t="shared" si="87"/>
        <v>0</v>
      </c>
      <c r="X680" s="21">
        <f t="shared" si="88"/>
        <v>0</v>
      </c>
    </row>
    <row r="681" spans="1:24" ht="13.5" x14ac:dyDescent="0.35">
      <c r="A681" s="18">
        <v>911246</v>
      </c>
      <c r="B681" s="19" t="s">
        <v>629</v>
      </c>
      <c r="C681" s="19">
        <v>115</v>
      </c>
      <c r="D681" s="19">
        <v>101</v>
      </c>
      <c r="E681" s="19">
        <v>1040</v>
      </c>
      <c r="F681" s="19">
        <v>0</v>
      </c>
      <c r="G681" s="19">
        <v>0</v>
      </c>
      <c r="H681" s="19">
        <v>0</v>
      </c>
      <c r="I681" s="20">
        <v>0</v>
      </c>
      <c r="J681" s="19">
        <f t="shared" si="81"/>
        <v>0</v>
      </c>
      <c r="K681" s="19">
        <f t="shared" si="82"/>
        <v>0</v>
      </c>
      <c r="L681" s="19">
        <v>-2.0899999999999998E-2</v>
      </c>
      <c r="M681" s="19">
        <v>-1.976E-2</v>
      </c>
      <c r="N681" s="19">
        <v>-2.0709999999999999E-2</v>
      </c>
      <c r="O681" s="19">
        <v>-2.1440000000000001E-2</v>
      </c>
      <c r="P681" s="19">
        <v>-2.1749999999999999E-2</v>
      </c>
      <c r="Q681" s="19">
        <v>-2.1389999999999999E-2</v>
      </c>
      <c r="R681" s="19"/>
      <c r="S681" s="19">
        <f t="shared" si="83"/>
        <v>0</v>
      </c>
      <c r="T681" s="19">
        <f t="shared" si="84"/>
        <v>0</v>
      </c>
      <c r="U681" s="19">
        <f t="shared" si="85"/>
        <v>0</v>
      </c>
      <c r="V681" s="19">
        <f t="shared" si="86"/>
        <v>0</v>
      </c>
      <c r="W681" s="19">
        <f t="shared" si="87"/>
        <v>0</v>
      </c>
      <c r="X681" s="21">
        <f t="shared" si="88"/>
        <v>0</v>
      </c>
    </row>
    <row r="682" spans="1:24" ht="13.5" x14ac:dyDescent="0.35">
      <c r="A682" s="18">
        <v>111202</v>
      </c>
      <c r="B682" s="19" t="s">
        <v>359</v>
      </c>
      <c r="C682" s="19">
        <v>115</v>
      </c>
      <c r="D682" s="19">
        <v>101</v>
      </c>
      <c r="E682" s="19">
        <v>1040</v>
      </c>
      <c r="F682" s="19">
        <v>0</v>
      </c>
      <c r="G682" s="19">
        <v>0</v>
      </c>
      <c r="H682" s="19">
        <v>0</v>
      </c>
      <c r="I682" s="20">
        <v>0</v>
      </c>
      <c r="J682" s="19">
        <f t="shared" si="81"/>
        <v>0</v>
      </c>
      <c r="K682" s="19">
        <f t="shared" si="82"/>
        <v>0</v>
      </c>
      <c r="L682" s="19">
        <v>-2.1250000000000002E-2</v>
      </c>
      <c r="M682" s="19">
        <v>-2.0150000000000001E-2</v>
      </c>
      <c r="N682" s="19">
        <v>-2.1139999999999999E-2</v>
      </c>
      <c r="O682" s="19">
        <v>-2.188E-2</v>
      </c>
      <c r="P682" s="19">
        <v>-2.2190000000000001E-2</v>
      </c>
      <c r="Q682" s="19">
        <v>-2.1839999999999998E-2</v>
      </c>
      <c r="R682" s="19"/>
      <c r="S682" s="19">
        <f t="shared" si="83"/>
        <v>0</v>
      </c>
      <c r="T682" s="19">
        <f t="shared" si="84"/>
        <v>0</v>
      </c>
      <c r="U682" s="19">
        <f t="shared" si="85"/>
        <v>0</v>
      </c>
      <c r="V682" s="19">
        <f t="shared" si="86"/>
        <v>0</v>
      </c>
      <c r="W682" s="19">
        <f t="shared" si="87"/>
        <v>0</v>
      </c>
      <c r="X682" s="21">
        <f t="shared" si="88"/>
        <v>0</v>
      </c>
    </row>
    <row r="683" spans="1:24" ht="13.5" x14ac:dyDescent="0.35">
      <c r="A683" s="18">
        <v>111346</v>
      </c>
      <c r="B683" s="19" t="s">
        <v>367</v>
      </c>
      <c r="C683" s="19">
        <v>33</v>
      </c>
      <c r="D683" s="19">
        <v>101</v>
      </c>
      <c r="E683" s="19">
        <v>1040</v>
      </c>
      <c r="F683" s="19">
        <v>0</v>
      </c>
      <c r="G683" s="19">
        <v>0</v>
      </c>
      <c r="H683" s="19">
        <v>0</v>
      </c>
      <c r="I683" s="20">
        <v>0</v>
      </c>
      <c r="J683" s="19">
        <f t="shared" si="81"/>
        <v>0</v>
      </c>
      <c r="K683" s="19">
        <f t="shared" si="82"/>
        <v>0</v>
      </c>
      <c r="L683" s="19">
        <v>-2.1250000000000002E-2</v>
      </c>
      <c r="M683" s="19">
        <v>-2.0150000000000001E-2</v>
      </c>
      <c r="N683" s="19">
        <v>-2.1139999999999999E-2</v>
      </c>
      <c r="O683" s="19">
        <v>-2.188E-2</v>
      </c>
      <c r="P683" s="19">
        <v>-2.2190000000000001E-2</v>
      </c>
      <c r="Q683" s="19">
        <v>-2.1839999999999998E-2</v>
      </c>
      <c r="R683" s="19"/>
      <c r="S683" s="19">
        <f t="shared" si="83"/>
        <v>0</v>
      </c>
      <c r="T683" s="19">
        <f t="shared" si="84"/>
        <v>0</v>
      </c>
      <c r="U683" s="19">
        <f t="shared" si="85"/>
        <v>0</v>
      </c>
      <c r="V683" s="19">
        <f t="shared" si="86"/>
        <v>0</v>
      </c>
      <c r="W683" s="19">
        <f t="shared" si="87"/>
        <v>0</v>
      </c>
      <c r="X683" s="21">
        <f t="shared" si="88"/>
        <v>0</v>
      </c>
    </row>
    <row r="684" spans="1:24" ht="13.5" x14ac:dyDescent="0.35">
      <c r="A684" s="18">
        <v>111347</v>
      </c>
      <c r="B684" s="19" t="s">
        <v>368</v>
      </c>
      <c r="C684" s="19">
        <v>33</v>
      </c>
      <c r="D684" s="19">
        <v>101</v>
      </c>
      <c r="E684" s="19">
        <v>1040</v>
      </c>
      <c r="F684" s="19">
        <v>0</v>
      </c>
      <c r="G684" s="19">
        <v>0</v>
      </c>
      <c r="H684" s="19">
        <v>0</v>
      </c>
      <c r="I684" s="20">
        <v>0</v>
      </c>
      <c r="J684" s="19">
        <f t="shared" si="81"/>
        <v>0</v>
      </c>
      <c r="K684" s="19">
        <f t="shared" si="82"/>
        <v>0</v>
      </c>
      <c r="L684" s="19">
        <v>-2.1250000000000002E-2</v>
      </c>
      <c r="M684" s="19">
        <v>-2.0150000000000001E-2</v>
      </c>
      <c r="N684" s="19">
        <v>-2.1139999999999999E-2</v>
      </c>
      <c r="O684" s="19">
        <v>-2.188E-2</v>
      </c>
      <c r="P684" s="19">
        <v>-2.2190000000000001E-2</v>
      </c>
      <c r="Q684" s="19">
        <v>-2.1839999999999998E-2</v>
      </c>
      <c r="R684" s="19"/>
      <c r="S684" s="19">
        <f t="shared" si="83"/>
        <v>0</v>
      </c>
      <c r="T684" s="19">
        <f t="shared" si="84"/>
        <v>0</v>
      </c>
      <c r="U684" s="19">
        <f t="shared" si="85"/>
        <v>0</v>
      </c>
      <c r="V684" s="19">
        <f t="shared" si="86"/>
        <v>0</v>
      </c>
      <c r="W684" s="19">
        <f t="shared" si="87"/>
        <v>0</v>
      </c>
      <c r="X684" s="21">
        <f t="shared" si="88"/>
        <v>0</v>
      </c>
    </row>
    <row r="685" spans="1:24" ht="13.5" x14ac:dyDescent="0.35">
      <c r="A685" s="18">
        <v>111365</v>
      </c>
      <c r="B685" s="19" t="s">
        <v>369</v>
      </c>
      <c r="C685" s="19">
        <v>0.69</v>
      </c>
      <c r="D685" s="19">
        <v>101</v>
      </c>
      <c r="E685" s="19">
        <v>1043</v>
      </c>
      <c r="F685" s="19">
        <v>0</v>
      </c>
      <c r="G685" s="19">
        <v>0</v>
      </c>
      <c r="H685" s="19">
        <v>0</v>
      </c>
      <c r="I685" s="20">
        <v>0</v>
      </c>
      <c r="J685" s="19">
        <f t="shared" si="81"/>
        <v>0</v>
      </c>
      <c r="K685" s="19">
        <f t="shared" si="82"/>
        <v>0</v>
      </c>
      <c r="L685" s="19">
        <v>-2.1250000000000002E-2</v>
      </c>
      <c r="M685" s="19">
        <v>-2.0150000000000001E-2</v>
      </c>
      <c r="N685" s="19">
        <v>-2.1139999999999999E-2</v>
      </c>
      <c r="O685" s="19">
        <v>-2.188E-2</v>
      </c>
      <c r="P685" s="19">
        <v>-2.2190000000000001E-2</v>
      </c>
      <c r="Q685" s="19">
        <v>-2.1839999999999998E-2</v>
      </c>
      <c r="R685" s="19"/>
      <c r="S685" s="19">
        <f t="shared" si="83"/>
        <v>0</v>
      </c>
      <c r="T685" s="19">
        <f t="shared" si="84"/>
        <v>0</v>
      </c>
      <c r="U685" s="19">
        <f t="shared" si="85"/>
        <v>0</v>
      </c>
      <c r="V685" s="19">
        <f t="shared" si="86"/>
        <v>0</v>
      </c>
      <c r="W685" s="19">
        <f t="shared" si="87"/>
        <v>0</v>
      </c>
      <c r="X685" s="21">
        <f t="shared" si="88"/>
        <v>0</v>
      </c>
    </row>
    <row r="686" spans="1:24" ht="13.5" x14ac:dyDescent="0.35">
      <c r="A686" s="18">
        <v>111366</v>
      </c>
      <c r="B686" s="19" t="s">
        <v>370</v>
      </c>
      <c r="C686" s="19">
        <v>0.69</v>
      </c>
      <c r="D686" s="19">
        <v>101</v>
      </c>
      <c r="E686" s="19">
        <v>1043</v>
      </c>
      <c r="F686" s="19">
        <v>0</v>
      </c>
      <c r="G686" s="19">
        <v>0</v>
      </c>
      <c r="H686" s="19">
        <v>0</v>
      </c>
      <c r="I686" s="20">
        <v>0</v>
      </c>
      <c r="J686" s="19">
        <f t="shared" si="81"/>
        <v>0</v>
      </c>
      <c r="K686" s="19">
        <f t="shared" si="82"/>
        <v>0</v>
      </c>
      <c r="L686" s="19">
        <v>-2.1250000000000002E-2</v>
      </c>
      <c r="M686" s="19">
        <v>-2.0150000000000001E-2</v>
      </c>
      <c r="N686" s="19">
        <v>-2.1139999999999999E-2</v>
      </c>
      <c r="O686" s="19">
        <v>-2.188E-2</v>
      </c>
      <c r="P686" s="19">
        <v>-2.2190000000000001E-2</v>
      </c>
      <c r="Q686" s="19">
        <v>-2.1839999999999998E-2</v>
      </c>
      <c r="R686" s="19"/>
      <c r="S686" s="19">
        <f t="shared" si="83"/>
        <v>0</v>
      </c>
      <c r="T686" s="19">
        <f t="shared" si="84"/>
        <v>0</v>
      </c>
      <c r="U686" s="19">
        <f t="shared" si="85"/>
        <v>0</v>
      </c>
      <c r="V686" s="19">
        <f t="shared" si="86"/>
        <v>0</v>
      </c>
      <c r="W686" s="19">
        <f t="shared" si="87"/>
        <v>0</v>
      </c>
      <c r="X686" s="21">
        <f t="shared" si="88"/>
        <v>0</v>
      </c>
    </row>
    <row r="687" spans="1:24" ht="13.5" x14ac:dyDescent="0.35">
      <c r="A687" s="18">
        <v>111367</v>
      </c>
      <c r="B687" s="19" t="s">
        <v>371</v>
      </c>
      <c r="C687" s="19">
        <v>0.69</v>
      </c>
      <c r="D687" s="19">
        <v>101</v>
      </c>
      <c r="E687" s="19">
        <v>1043</v>
      </c>
      <c r="F687" s="19">
        <v>0</v>
      </c>
      <c r="G687" s="19">
        <v>0</v>
      </c>
      <c r="H687" s="19">
        <v>0</v>
      </c>
      <c r="I687" s="20">
        <v>0</v>
      </c>
      <c r="J687" s="19">
        <f t="shared" si="81"/>
        <v>0</v>
      </c>
      <c r="K687" s="19">
        <f t="shared" si="82"/>
        <v>0</v>
      </c>
      <c r="L687" s="19">
        <v>-2.1250000000000002E-2</v>
      </c>
      <c r="M687" s="19">
        <v>-2.0150000000000001E-2</v>
      </c>
      <c r="N687" s="19">
        <v>-2.1139999999999999E-2</v>
      </c>
      <c r="O687" s="19">
        <v>-2.188E-2</v>
      </c>
      <c r="P687" s="19">
        <v>-2.2190000000000001E-2</v>
      </c>
      <c r="Q687" s="19">
        <v>-2.1839999999999998E-2</v>
      </c>
      <c r="R687" s="19"/>
      <c r="S687" s="19">
        <f t="shared" si="83"/>
        <v>0</v>
      </c>
      <c r="T687" s="19">
        <f t="shared" si="84"/>
        <v>0</v>
      </c>
      <c r="U687" s="19">
        <f t="shared" si="85"/>
        <v>0</v>
      </c>
      <c r="V687" s="19">
        <f t="shared" si="86"/>
        <v>0</v>
      </c>
      <c r="W687" s="19">
        <f t="shared" si="87"/>
        <v>0</v>
      </c>
      <c r="X687" s="21">
        <f t="shared" si="88"/>
        <v>0</v>
      </c>
    </row>
    <row r="688" spans="1:24" ht="13.5" x14ac:dyDescent="0.35">
      <c r="A688" s="18">
        <v>111368</v>
      </c>
      <c r="B688" s="19" t="s">
        <v>372</v>
      </c>
      <c r="C688" s="19">
        <v>0.69</v>
      </c>
      <c r="D688" s="19">
        <v>101</v>
      </c>
      <c r="E688" s="19">
        <v>1043</v>
      </c>
      <c r="F688" s="19">
        <v>0</v>
      </c>
      <c r="G688" s="19">
        <v>0</v>
      </c>
      <c r="H688" s="19">
        <v>0</v>
      </c>
      <c r="I688" s="20">
        <v>0</v>
      </c>
      <c r="J688" s="19">
        <f t="shared" si="81"/>
        <v>0</v>
      </c>
      <c r="K688" s="19">
        <f t="shared" si="82"/>
        <v>0</v>
      </c>
      <c r="L688" s="19">
        <v>-2.1250000000000002E-2</v>
      </c>
      <c r="M688" s="19">
        <v>-2.0150000000000001E-2</v>
      </c>
      <c r="N688" s="19">
        <v>-2.1139999999999999E-2</v>
      </c>
      <c r="O688" s="19">
        <v>-2.188E-2</v>
      </c>
      <c r="P688" s="19">
        <v>-2.2190000000000001E-2</v>
      </c>
      <c r="Q688" s="19">
        <v>-2.1839999999999998E-2</v>
      </c>
      <c r="R688" s="19"/>
      <c r="S688" s="19">
        <f t="shared" si="83"/>
        <v>0</v>
      </c>
      <c r="T688" s="19">
        <f t="shared" si="84"/>
        <v>0</v>
      </c>
      <c r="U688" s="19">
        <f t="shared" si="85"/>
        <v>0</v>
      </c>
      <c r="V688" s="19">
        <f t="shared" si="86"/>
        <v>0</v>
      </c>
      <c r="W688" s="19">
        <f t="shared" si="87"/>
        <v>0</v>
      </c>
      <c r="X688" s="21">
        <f t="shared" si="88"/>
        <v>0</v>
      </c>
    </row>
    <row r="689" spans="1:24" ht="13.5" x14ac:dyDescent="0.35">
      <c r="A689" s="18">
        <v>115978</v>
      </c>
      <c r="B689" s="19" t="s">
        <v>444</v>
      </c>
      <c r="C689" s="19">
        <v>13.2</v>
      </c>
      <c r="D689" s="19">
        <v>101</v>
      </c>
      <c r="E689" s="19">
        <v>1170</v>
      </c>
      <c r="F689" s="19">
        <v>0</v>
      </c>
      <c r="G689" s="19">
        <v>0</v>
      </c>
      <c r="H689" s="19">
        <v>0</v>
      </c>
      <c r="I689" s="20">
        <v>0</v>
      </c>
      <c r="J689" s="19">
        <f t="shared" si="81"/>
        <v>0</v>
      </c>
      <c r="K689" s="19">
        <f t="shared" si="82"/>
        <v>0</v>
      </c>
      <c r="L689" s="19">
        <v>-2.1250000000000002E-2</v>
      </c>
      <c r="M689" s="19">
        <v>-2.0150000000000001E-2</v>
      </c>
      <c r="N689" s="19">
        <v>-2.1139999999999999E-2</v>
      </c>
      <c r="O689" s="19">
        <v>-2.188E-2</v>
      </c>
      <c r="P689" s="19">
        <v>-2.2190000000000001E-2</v>
      </c>
      <c r="Q689" s="19">
        <v>-2.1839999999999998E-2</v>
      </c>
      <c r="R689" s="19"/>
      <c r="S689" s="19">
        <f t="shared" si="83"/>
        <v>0</v>
      </c>
      <c r="T689" s="19">
        <f t="shared" si="84"/>
        <v>0</v>
      </c>
      <c r="U689" s="19">
        <f t="shared" si="85"/>
        <v>0</v>
      </c>
      <c r="V689" s="19">
        <f t="shared" si="86"/>
        <v>0</v>
      </c>
      <c r="W689" s="19">
        <f t="shared" si="87"/>
        <v>0</v>
      </c>
      <c r="X689" s="21">
        <f t="shared" si="88"/>
        <v>0</v>
      </c>
    </row>
    <row r="690" spans="1:24" ht="13.5" x14ac:dyDescent="0.35">
      <c r="A690" s="18">
        <v>115979</v>
      </c>
      <c r="B690" s="19" t="s">
        <v>445</v>
      </c>
      <c r="C690" s="19">
        <v>0.4</v>
      </c>
      <c r="D690" s="19">
        <v>101</v>
      </c>
      <c r="E690" s="19">
        <v>1170</v>
      </c>
      <c r="F690" s="19">
        <v>0</v>
      </c>
      <c r="G690" s="19">
        <v>0</v>
      </c>
      <c r="H690" s="19">
        <v>0</v>
      </c>
      <c r="I690" s="20">
        <v>0</v>
      </c>
      <c r="J690" s="19">
        <f t="shared" si="81"/>
        <v>0</v>
      </c>
      <c r="K690" s="19">
        <f t="shared" si="82"/>
        <v>0</v>
      </c>
      <c r="L690" s="19">
        <v>-2.1250000000000002E-2</v>
      </c>
      <c r="M690" s="19">
        <v>-2.0150000000000001E-2</v>
      </c>
      <c r="N690" s="19">
        <v>-2.1139999999999999E-2</v>
      </c>
      <c r="O690" s="19">
        <v>-2.188E-2</v>
      </c>
      <c r="P690" s="19">
        <v>-2.2190000000000001E-2</v>
      </c>
      <c r="Q690" s="19">
        <v>-2.1839999999999998E-2</v>
      </c>
      <c r="R690" s="19"/>
      <c r="S690" s="19">
        <f t="shared" si="83"/>
        <v>0</v>
      </c>
      <c r="T690" s="19">
        <f t="shared" si="84"/>
        <v>0</v>
      </c>
      <c r="U690" s="19">
        <f t="shared" si="85"/>
        <v>0</v>
      </c>
      <c r="V690" s="19">
        <f t="shared" si="86"/>
        <v>0</v>
      </c>
      <c r="W690" s="19">
        <f t="shared" si="87"/>
        <v>0</v>
      </c>
      <c r="X690" s="21">
        <f t="shared" si="88"/>
        <v>0</v>
      </c>
    </row>
    <row r="691" spans="1:24" ht="13.5" x14ac:dyDescent="0.35">
      <c r="A691" s="18">
        <v>911202</v>
      </c>
      <c r="B691" s="19" t="s">
        <v>620</v>
      </c>
      <c r="C691" s="19">
        <v>115</v>
      </c>
      <c r="D691" s="19">
        <v>101</v>
      </c>
      <c r="E691" s="19">
        <v>1040</v>
      </c>
      <c r="F691" s="19">
        <v>0</v>
      </c>
      <c r="G691" s="19">
        <v>0</v>
      </c>
      <c r="H691" s="19">
        <v>0</v>
      </c>
      <c r="I691" s="20">
        <v>0</v>
      </c>
      <c r="J691" s="19">
        <f t="shared" si="81"/>
        <v>0</v>
      </c>
      <c r="K691" s="19">
        <f t="shared" si="82"/>
        <v>0</v>
      </c>
      <c r="L691" s="19">
        <v>-2.1250000000000002E-2</v>
      </c>
      <c r="M691" s="19">
        <v>-2.0150000000000001E-2</v>
      </c>
      <c r="N691" s="19">
        <v>-2.1139999999999999E-2</v>
      </c>
      <c r="O691" s="19">
        <v>-2.188E-2</v>
      </c>
      <c r="P691" s="19">
        <v>-2.2190000000000001E-2</v>
      </c>
      <c r="Q691" s="19">
        <v>-2.1839999999999998E-2</v>
      </c>
      <c r="R691" s="19"/>
      <c r="S691" s="19">
        <f t="shared" si="83"/>
        <v>0</v>
      </c>
      <c r="T691" s="19">
        <f t="shared" si="84"/>
        <v>0</v>
      </c>
      <c r="U691" s="19">
        <f t="shared" si="85"/>
        <v>0</v>
      </c>
      <c r="V691" s="19">
        <f t="shared" si="86"/>
        <v>0</v>
      </c>
      <c r="W691" s="19">
        <f t="shared" si="87"/>
        <v>0</v>
      </c>
      <c r="X691" s="21">
        <f t="shared" si="88"/>
        <v>0</v>
      </c>
    </row>
    <row r="692" spans="1:24" ht="13.5" x14ac:dyDescent="0.35">
      <c r="A692" s="18">
        <v>911203</v>
      </c>
      <c r="B692" s="19" t="s">
        <v>621</v>
      </c>
      <c r="C692" s="19">
        <v>115</v>
      </c>
      <c r="D692" s="19">
        <v>101</v>
      </c>
      <c r="E692" s="19">
        <v>1040</v>
      </c>
      <c r="F692" s="19">
        <v>0</v>
      </c>
      <c r="G692" s="19">
        <v>0</v>
      </c>
      <c r="H692" s="19">
        <v>0</v>
      </c>
      <c r="I692" s="20">
        <v>0</v>
      </c>
      <c r="J692" s="19">
        <f t="shared" si="81"/>
        <v>0</v>
      </c>
      <c r="K692" s="19">
        <f t="shared" si="82"/>
        <v>0</v>
      </c>
      <c r="L692" s="19">
        <v>-2.1250000000000002E-2</v>
      </c>
      <c r="M692" s="19">
        <v>-2.0150000000000001E-2</v>
      </c>
      <c r="N692" s="19">
        <v>-2.1139999999999999E-2</v>
      </c>
      <c r="O692" s="19">
        <v>-2.188E-2</v>
      </c>
      <c r="P692" s="19">
        <v>-2.2190000000000001E-2</v>
      </c>
      <c r="Q692" s="19">
        <v>-2.1839999999999998E-2</v>
      </c>
      <c r="R692" s="19"/>
      <c r="S692" s="19">
        <f t="shared" si="83"/>
        <v>0</v>
      </c>
      <c r="T692" s="19">
        <f t="shared" si="84"/>
        <v>0</v>
      </c>
      <c r="U692" s="19">
        <f t="shared" si="85"/>
        <v>0</v>
      </c>
      <c r="V692" s="19">
        <f t="shared" si="86"/>
        <v>0</v>
      </c>
      <c r="W692" s="19">
        <f t="shared" si="87"/>
        <v>0</v>
      </c>
      <c r="X692" s="21">
        <f t="shared" si="88"/>
        <v>0</v>
      </c>
    </row>
    <row r="693" spans="1:24" ht="13.5" x14ac:dyDescent="0.35">
      <c r="A693" s="18">
        <v>911213</v>
      </c>
      <c r="B693" s="19" t="s">
        <v>625</v>
      </c>
      <c r="C693" s="19">
        <v>115</v>
      </c>
      <c r="D693" s="19">
        <v>101</v>
      </c>
      <c r="E693" s="19">
        <v>1040</v>
      </c>
      <c r="F693" s="19">
        <v>0</v>
      </c>
      <c r="G693" s="19">
        <v>0</v>
      </c>
      <c r="H693" s="19">
        <v>0</v>
      </c>
      <c r="I693" s="20">
        <v>0</v>
      </c>
      <c r="J693" s="19">
        <f t="shared" si="81"/>
        <v>0</v>
      </c>
      <c r="K693" s="19">
        <f t="shared" si="82"/>
        <v>0</v>
      </c>
      <c r="L693" s="19">
        <v>-2.1250000000000002E-2</v>
      </c>
      <c r="M693" s="19">
        <v>-2.0150000000000001E-2</v>
      </c>
      <c r="N693" s="19">
        <v>-2.1139999999999999E-2</v>
      </c>
      <c r="O693" s="19">
        <v>-2.188E-2</v>
      </c>
      <c r="P693" s="19">
        <v>-2.2190000000000001E-2</v>
      </c>
      <c r="Q693" s="19">
        <v>-2.1839999999999998E-2</v>
      </c>
      <c r="R693" s="19"/>
      <c r="S693" s="19">
        <f t="shared" si="83"/>
        <v>0</v>
      </c>
      <c r="T693" s="19">
        <f t="shared" si="84"/>
        <v>0</v>
      </c>
      <c r="U693" s="19">
        <f t="shared" si="85"/>
        <v>0</v>
      </c>
      <c r="V693" s="19">
        <f t="shared" si="86"/>
        <v>0</v>
      </c>
      <c r="W693" s="19">
        <f t="shared" si="87"/>
        <v>0</v>
      </c>
      <c r="X693" s="21">
        <f t="shared" si="88"/>
        <v>0</v>
      </c>
    </row>
    <row r="694" spans="1:24" ht="13.5" x14ac:dyDescent="0.35">
      <c r="A694" s="18">
        <v>911282</v>
      </c>
      <c r="B694" s="19" t="s">
        <v>638</v>
      </c>
      <c r="C694" s="19">
        <v>115</v>
      </c>
      <c r="D694" s="19">
        <v>101</v>
      </c>
      <c r="E694" s="19">
        <v>1040</v>
      </c>
      <c r="F694" s="19">
        <v>0</v>
      </c>
      <c r="G694" s="19">
        <v>0</v>
      </c>
      <c r="H694" s="19">
        <v>0</v>
      </c>
      <c r="I694" s="20">
        <v>0</v>
      </c>
      <c r="J694" s="19">
        <f t="shared" si="81"/>
        <v>0</v>
      </c>
      <c r="K694" s="19">
        <f t="shared" si="82"/>
        <v>0</v>
      </c>
      <c r="L694" s="19">
        <v>-2.1250000000000002E-2</v>
      </c>
      <c r="M694" s="19">
        <v>-2.0150000000000001E-2</v>
      </c>
      <c r="N694" s="19">
        <v>-2.1139999999999999E-2</v>
      </c>
      <c r="O694" s="19">
        <v>-2.188E-2</v>
      </c>
      <c r="P694" s="19">
        <v>-2.2190000000000001E-2</v>
      </c>
      <c r="Q694" s="19">
        <v>-2.1839999999999998E-2</v>
      </c>
      <c r="R694" s="19"/>
      <c r="S694" s="19">
        <f t="shared" si="83"/>
        <v>0</v>
      </c>
      <c r="T694" s="19">
        <f t="shared" si="84"/>
        <v>0</v>
      </c>
      <c r="U694" s="19">
        <f t="shared" si="85"/>
        <v>0</v>
      </c>
      <c r="V694" s="19">
        <f t="shared" si="86"/>
        <v>0</v>
      </c>
      <c r="W694" s="19">
        <f t="shared" si="87"/>
        <v>0</v>
      </c>
      <c r="X694" s="21">
        <f t="shared" si="88"/>
        <v>0</v>
      </c>
    </row>
    <row r="695" spans="1:24" ht="13.5" x14ac:dyDescent="0.35">
      <c r="A695" s="18">
        <v>911283</v>
      </c>
      <c r="B695" s="19" t="s">
        <v>639</v>
      </c>
      <c r="C695" s="19">
        <v>115</v>
      </c>
      <c r="D695" s="19">
        <v>101</v>
      </c>
      <c r="E695" s="19">
        <v>1040</v>
      </c>
      <c r="F695" s="19">
        <v>0</v>
      </c>
      <c r="G695" s="19">
        <v>0</v>
      </c>
      <c r="H695" s="19">
        <v>0</v>
      </c>
      <c r="I695" s="20">
        <v>0</v>
      </c>
      <c r="J695" s="19">
        <f t="shared" si="81"/>
        <v>0</v>
      </c>
      <c r="K695" s="19">
        <f t="shared" si="82"/>
        <v>0</v>
      </c>
      <c r="L695" s="19">
        <v>-2.1250000000000002E-2</v>
      </c>
      <c r="M695" s="19">
        <v>-2.0150000000000001E-2</v>
      </c>
      <c r="N695" s="19">
        <v>-2.1139999999999999E-2</v>
      </c>
      <c r="O695" s="19">
        <v>-2.188E-2</v>
      </c>
      <c r="P695" s="19">
        <v>-2.2190000000000001E-2</v>
      </c>
      <c r="Q695" s="19">
        <v>-2.1839999999999998E-2</v>
      </c>
      <c r="R695" s="19"/>
      <c r="S695" s="19">
        <f t="shared" si="83"/>
        <v>0</v>
      </c>
      <c r="T695" s="19">
        <f t="shared" si="84"/>
        <v>0</v>
      </c>
      <c r="U695" s="19">
        <f t="shared" si="85"/>
        <v>0</v>
      </c>
      <c r="V695" s="19">
        <f t="shared" si="86"/>
        <v>0</v>
      </c>
      <c r="W695" s="19">
        <f t="shared" si="87"/>
        <v>0</v>
      </c>
      <c r="X695" s="21">
        <f t="shared" si="88"/>
        <v>0</v>
      </c>
    </row>
    <row r="696" spans="1:24" ht="13.5" x14ac:dyDescent="0.35">
      <c r="A696" s="18">
        <v>991134</v>
      </c>
      <c r="B696" s="19" t="s">
        <v>720</v>
      </c>
      <c r="C696" s="19">
        <v>345</v>
      </c>
      <c r="D696" s="19">
        <v>101</v>
      </c>
      <c r="E696" s="19">
        <v>1030</v>
      </c>
      <c r="F696" s="19">
        <v>82.02</v>
      </c>
      <c r="G696" s="19">
        <v>0</v>
      </c>
      <c r="H696" s="19">
        <v>413</v>
      </c>
      <c r="I696" s="20">
        <v>82.02</v>
      </c>
      <c r="J696" s="19">
        <f t="shared" si="81"/>
        <v>0</v>
      </c>
      <c r="K696" s="19">
        <f t="shared" si="82"/>
        <v>330.98</v>
      </c>
      <c r="L696" s="19">
        <v>-2.2950000000000002E-2</v>
      </c>
      <c r="M696" s="19">
        <v>-2.206E-2</v>
      </c>
      <c r="N696" s="19">
        <v>-2.324E-2</v>
      </c>
      <c r="O696" s="19">
        <v>-2.4080000000000001E-2</v>
      </c>
      <c r="P696" s="19">
        <v>-2.436E-2</v>
      </c>
      <c r="Q696" s="19">
        <v>-2.4029999999999999E-2</v>
      </c>
      <c r="R696" s="19"/>
      <c r="S696" s="19">
        <f t="shared" si="83"/>
        <v>0</v>
      </c>
      <c r="T696" s="19">
        <f t="shared" si="84"/>
        <v>0</v>
      </c>
      <c r="U696" s="19">
        <f t="shared" si="85"/>
        <v>0</v>
      </c>
      <c r="V696" s="19">
        <f t="shared" si="86"/>
        <v>0</v>
      </c>
      <c r="W696" s="19">
        <f t="shared" si="87"/>
        <v>0</v>
      </c>
      <c r="X696" s="21">
        <f t="shared" si="88"/>
        <v>0</v>
      </c>
    </row>
    <row r="697" spans="1:24" ht="13.5" x14ac:dyDescent="0.35">
      <c r="A697" s="18">
        <v>111251</v>
      </c>
      <c r="B697" s="19" t="s">
        <v>361</v>
      </c>
      <c r="C697" s="19">
        <v>18</v>
      </c>
      <c r="D697" s="19">
        <v>101</v>
      </c>
      <c r="E697" s="19">
        <v>1043</v>
      </c>
      <c r="F697" s="19">
        <v>0</v>
      </c>
      <c r="G697" s="19">
        <v>0</v>
      </c>
      <c r="H697" s="19">
        <v>0</v>
      </c>
      <c r="I697" s="20">
        <v>0</v>
      </c>
      <c r="J697" s="19">
        <f t="shared" si="81"/>
        <v>0</v>
      </c>
      <c r="K697" s="19">
        <f t="shared" si="82"/>
        <v>0</v>
      </c>
      <c r="L697" s="19">
        <v>-2.3040000000000001E-2</v>
      </c>
      <c r="M697" s="19">
        <v>-2.1430000000000001E-2</v>
      </c>
      <c r="N697" s="19">
        <v>-2.2599999999999999E-2</v>
      </c>
      <c r="O697" s="19">
        <v>-2.3390000000000001E-2</v>
      </c>
      <c r="P697" s="19">
        <v>-2.3779999999999999E-2</v>
      </c>
      <c r="Q697" s="19">
        <v>-2.3349999999999999E-2</v>
      </c>
      <c r="R697" s="19"/>
      <c r="S697" s="19">
        <f t="shared" si="83"/>
        <v>0</v>
      </c>
      <c r="T697" s="19">
        <f t="shared" si="84"/>
        <v>0</v>
      </c>
      <c r="U697" s="19">
        <f t="shared" si="85"/>
        <v>0</v>
      </c>
      <c r="V697" s="19">
        <f t="shared" si="86"/>
        <v>0</v>
      </c>
      <c r="W697" s="19">
        <f t="shared" si="87"/>
        <v>0</v>
      </c>
      <c r="X697" s="21">
        <f t="shared" si="88"/>
        <v>0</v>
      </c>
    </row>
    <row r="698" spans="1:24" ht="13.5" x14ac:dyDescent="0.35">
      <c r="A698" s="18">
        <v>111252</v>
      </c>
      <c r="B698" s="19" t="s">
        <v>362</v>
      </c>
      <c r="C698" s="19">
        <v>18</v>
      </c>
      <c r="D698" s="19">
        <v>101</v>
      </c>
      <c r="E698" s="19">
        <v>1043</v>
      </c>
      <c r="F698" s="19">
        <v>0</v>
      </c>
      <c r="G698" s="19">
        <v>0</v>
      </c>
      <c r="H698" s="19">
        <v>0</v>
      </c>
      <c r="I698" s="20">
        <v>0</v>
      </c>
      <c r="J698" s="19">
        <f t="shared" si="81"/>
        <v>0</v>
      </c>
      <c r="K698" s="19">
        <f t="shared" si="82"/>
        <v>0</v>
      </c>
      <c r="L698" s="19">
        <v>-2.3040000000000001E-2</v>
      </c>
      <c r="M698" s="19">
        <v>-2.1430000000000001E-2</v>
      </c>
      <c r="N698" s="19">
        <v>-2.2599999999999999E-2</v>
      </c>
      <c r="O698" s="19">
        <v>-2.3390000000000001E-2</v>
      </c>
      <c r="P698" s="19">
        <v>-2.3779999999999999E-2</v>
      </c>
      <c r="Q698" s="19">
        <v>-2.3349999999999999E-2</v>
      </c>
      <c r="R698" s="19"/>
      <c r="S698" s="19">
        <f t="shared" si="83"/>
        <v>0</v>
      </c>
      <c r="T698" s="19">
        <f t="shared" si="84"/>
        <v>0</v>
      </c>
      <c r="U698" s="19">
        <f t="shared" si="85"/>
        <v>0</v>
      </c>
      <c r="V698" s="19">
        <f t="shared" si="86"/>
        <v>0</v>
      </c>
      <c r="W698" s="19">
        <f t="shared" si="87"/>
        <v>0</v>
      </c>
      <c r="X698" s="21">
        <f t="shared" si="88"/>
        <v>0</v>
      </c>
    </row>
    <row r="699" spans="1:24" ht="13.5" x14ac:dyDescent="0.35">
      <c r="A699" s="18">
        <v>111256</v>
      </c>
      <c r="B699" s="19" t="s">
        <v>364</v>
      </c>
      <c r="C699" s="19">
        <v>25</v>
      </c>
      <c r="D699" s="19">
        <v>101</v>
      </c>
      <c r="E699" s="19">
        <v>1043</v>
      </c>
      <c r="F699" s="19">
        <v>0</v>
      </c>
      <c r="G699" s="19">
        <v>0</v>
      </c>
      <c r="H699" s="19">
        <v>0</v>
      </c>
      <c r="I699" s="20">
        <v>0</v>
      </c>
      <c r="J699" s="19">
        <f t="shared" si="81"/>
        <v>0</v>
      </c>
      <c r="K699" s="19">
        <f t="shared" si="82"/>
        <v>0</v>
      </c>
      <c r="L699" s="19">
        <v>-2.3040000000000001E-2</v>
      </c>
      <c r="M699" s="19">
        <v>-2.1430000000000001E-2</v>
      </c>
      <c r="N699" s="19">
        <v>-2.2599999999999999E-2</v>
      </c>
      <c r="O699" s="19">
        <v>-2.3390000000000001E-2</v>
      </c>
      <c r="P699" s="19">
        <v>-2.3779999999999999E-2</v>
      </c>
      <c r="Q699" s="19">
        <v>-2.3349999999999999E-2</v>
      </c>
      <c r="R699" s="19"/>
      <c r="S699" s="19">
        <f t="shared" si="83"/>
        <v>0</v>
      </c>
      <c r="T699" s="19">
        <f t="shared" si="84"/>
        <v>0</v>
      </c>
      <c r="U699" s="19">
        <f t="shared" si="85"/>
        <v>0</v>
      </c>
      <c r="V699" s="19">
        <f t="shared" si="86"/>
        <v>0</v>
      </c>
      <c r="W699" s="19">
        <f t="shared" si="87"/>
        <v>0</v>
      </c>
      <c r="X699" s="21">
        <f t="shared" si="88"/>
        <v>0</v>
      </c>
    </row>
    <row r="700" spans="1:24" ht="13.5" x14ac:dyDescent="0.35">
      <c r="A700" s="18">
        <v>911133</v>
      </c>
      <c r="B700" s="19" t="s">
        <v>612</v>
      </c>
      <c r="C700" s="19">
        <v>345</v>
      </c>
      <c r="D700" s="19">
        <v>101</v>
      </c>
      <c r="E700" s="19">
        <v>1030</v>
      </c>
      <c r="F700" s="19">
        <v>200</v>
      </c>
      <c r="G700" s="19">
        <v>0</v>
      </c>
      <c r="H700" s="19">
        <v>200</v>
      </c>
      <c r="I700" s="20">
        <v>200</v>
      </c>
      <c r="J700" s="19">
        <f t="shared" si="81"/>
        <v>0</v>
      </c>
      <c r="K700" s="19">
        <f t="shared" si="82"/>
        <v>0</v>
      </c>
      <c r="L700" s="19">
        <v>-2.3740000000000001E-2</v>
      </c>
      <c r="M700" s="19">
        <v>-2.2939999999999999E-2</v>
      </c>
      <c r="N700" s="19">
        <v>-2.4219999999999998E-2</v>
      </c>
      <c r="O700" s="19">
        <v>-2.5090000000000001E-2</v>
      </c>
      <c r="P700" s="19">
        <v>-2.5360000000000001E-2</v>
      </c>
      <c r="Q700" s="19">
        <v>-2.5049999999999999E-2</v>
      </c>
      <c r="R700" s="19"/>
      <c r="S700" s="19">
        <f t="shared" si="83"/>
        <v>0</v>
      </c>
      <c r="T700" s="19">
        <f t="shared" si="84"/>
        <v>0</v>
      </c>
      <c r="U700" s="19">
        <f t="shared" si="85"/>
        <v>0</v>
      </c>
      <c r="V700" s="19">
        <f t="shared" si="86"/>
        <v>0</v>
      </c>
      <c r="W700" s="19">
        <f t="shared" si="87"/>
        <v>0</v>
      </c>
      <c r="X700" s="21">
        <f t="shared" si="88"/>
        <v>0</v>
      </c>
    </row>
    <row r="701" spans="1:24" ht="13.5" x14ac:dyDescent="0.35">
      <c r="A701" s="18">
        <v>910783</v>
      </c>
      <c r="B701" s="19" t="s">
        <v>608</v>
      </c>
      <c r="C701" s="19">
        <v>345</v>
      </c>
      <c r="D701" s="19">
        <v>101</v>
      </c>
      <c r="E701" s="19">
        <v>1020</v>
      </c>
      <c r="F701" s="19">
        <v>0</v>
      </c>
      <c r="G701" s="19">
        <v>0</v>
      </c>
      <c r="H701" s="19">
        <v>0</v>
      </c>
      <c r="I701" s="20">
        <v>0</v>
      </c>
      <c r="J701" s="19">
        <f t="shared" si="81"/>
        <v>0</v>
      </c>
      <c r="K701" s="19">
        <f t="shared" si="82"/>
        <v>0</v>
      </c>
      <c r="L701" s="19">
        <v>-2.4129999999999999E-2</v>
      </c>
      <c r="M701" s="19">
        <v>-2.2280000000000001E-2</v>
      </c>
      <c r="N701" s="19">
        <v>-2.3560000000000001E-2</v>
      </c>
      <c r="O701" s="19">
        <v>-2.4379999999999999E-2</v>
      </c>
      <c r="P701" s="19">
        <v>-2.4809999999999999E-2</v>
      </c>
      <c r="Q701" s="19">
        <v>-2.435E-2</v>
      </c>
      <c r="R701" s="19"/>
      <c r="S701" s="19">
        <f t="shared" si="83"/>
        <v>0</v>
      </c>
      <c r="T701" s="19">
        <f t="shared" si="84"/>
        <v>0</v>
      </c>
      <c r="U701" s="19">
        <f t="shared" si="85"/>
        <v>0</v>
      </c>
      <c r="V701" s="19">
        <f t="shared" si="86"/>
        <v>0</v>
      </c>
      <c r="W701" s="19">
        <f t="shared" si="87"/>
        <v>0</v>
      </c>
      <c r="X701" s="21">
        <f t="shared" si="88"/>
        <v>0</v>
      </c>
    </row>
    <row r="702" spans="1:24" ht="13.5" x14ac:dyDescent="0.35">
      <c r="A702" s="18">
        <v>111092</v>
      </c>
      <c r="B702" s="19" t="s">
        <v>343</v>
      </c>
      <c r="C702" s="19">
        <v>18</v>
      </c>
      <c r="D702" s="19">
        <v>101</v>
      </c>
      <c r="E702" s="19">
        <v>1023</v>
      </c>
      <c r="F702" s="19">
        <v>0</v>
      </c>
      <c r="G702" s="19">
        <v>0</v>
      </c>
      <c r="H702" s="19">
        <v>0</v>
      </c>
      <c r="I702" s="20">
        <v>0</v>
      </c>
      <c r="J702" s="19">
        <f t="shared" si="81"/>
        <v>0</v>
      </c>
      <c r="K702" s="19">
        <f t="shared" si="82"/>
        <v>0</v>
      </c>
      <c r="L702" s="19">
        <v>-3.0130000000000001E-2</v>
      </c>
      <c r="M702" s="19">
        <v>-2.3060000000000001E-2</v>
      </c>
      <c r="N702" s="19">
        <v>-2.4400000000000002E-2</v>
      </c>
      <c r="O702" s="19">
        <v>-2.392E-2</v>
      </c>
      <c r="P702" s="19">
        <v>-2.4729999999999999E-2</v>
      </c>
      <c r="Q702" s="19">
        <v>-2.4140000000000002E-2</v>
      </c>
      <c r="R702" s="19"/>
      <c r="S702" s="19">
        <f t="shared" si="83"/>
        <v>0</v>
      </c>
      <c r="T702" s="19">
        <f t="shared" si="84"/>
        <v>0</v>
      </c>
      <c r="U702" s="19">
        <f t="shared" si="85"/>
        <v>0</v>
      </c>
      <c r="V702" s="19">
        <f t="shared" si="86"/>
        <v>0</v>
      </c>
      <c r="W702" s="19">
        <f t="shared" si="87"/>
        <v>0</v>
      </c>
      <c r="X702" s="21">
        <f t="shared" si="88"/>
        <v>0</v>
      </c>
    </row>
    <row r="703" spans="1:24" ht="13.5" x14ac:dyDescent="0.35">
      <c r="A703" s="18">
        <v>111093</v>
      </c>
      <c r="B703" s="19" t="s">
        <v>344</v>
      </c>
      <c r="C703" s="19">
        <v>16</v>
      </c>
      <c r="D703" s="19">
        <v>101</v>
      </c>
      <c r="E703" s="19">
        <v>1023</v>
      </c>
      <c r="F703" s="19">
        <v>0</v>
      </c>
      <c r="G703" s="19">
        <v>0</v>
      </c>
      <c r="H703" s="19">
        <v>0</v>
      </c>
      <c r="I703" s="20">
        <v>0</v>
      </c>
      <c r="J703" s="19">
        <f t="shared" si="81"/>
        <v>0</v>
      </c>
      <c r="K703" s="19">
        <f t="shared" si="82"/>
        <v>0</v>
      </c>
      <c r="L703" s="19">
        <v>-3.0130000000000001E-2</v>
      </c>
      <c r="M703" s="19">
        <v>-2.3060000000000001E-2</v>
      </c>
      <c r="N703" s="19">
        <v>-2.4400000000000002E-2</v>
      </c>
      <c r="O703" s="19">
        <v>-2.392E-2</v>
      </c>
      <c r="P703" s="19">
        <v>-2.4729999999999999E-2</v>
      </c>
      <c r="Q703" s="19">
        <v>-2.4140000000000002E-2</v>
      </c>
      <c r="R703" s="19"/>
      <c r="S703" s="19">
        <f t="shared" si="83"/>
        <v>0</v>
      </c>
      <c r="T703" s="19">
        <f t="shared" si="84"/>
        <v>0</v>
      </c>
      <c r="U703" s="19">
        <f t="shared" si="85"/>
        <v>0</v>
      </c>
      <c r="V703" s="19">
        <f t="shared" si="86"/>
        <v>0</v>
      </c>
      <c r="W703" s="19">
        <f t="shared" si="87"/>
        <v>0</v>
      </c>
      <c r="X703" s="21">
        <f t="shared" si="88"/>
        <v>0</v>
      </c>
    </row>
    <row r="704" spans="1:24" ht="13.5" x14ac:dyDescent="0.35">
      <c r="A704" s="18">
        <v>111097</v>
      </c>
      <c r="B704" s="19" t="s">
        <v>347</v>
      </c>
      <c r="C704" s="19">
        <v>16</v>
      </c>
      <c r="D704" s="19">
        <v>101</v>
      </c>
      <c r="E704" s="19">
        <v>1023</v>
      </c>
      <c r="F704" s="19">
        <v>0</v>
      </c>
      <c r="G704" s="19">
        <v>0</v>
      </c>
      <c r="H704" s="19">
        <v>0</v>
      </c>
      <c r="I704" s="20">
        <v>0</v>
      </c>
      <c r="J704" s="19">
        <f t="shared" si="81"/>
        <v>0</v>
      </c>
      <c r="K704" s="19">
        <f t="shared" si="82"/>
        <v>0</v>
      </c>
      <c r="L704" s="19">
        <v>-3.0130000000000001E-2</v>
      </c>
      <c r="M704" s="19">
        <v>-2.3060000000000001E-2</v>
      </c>
      <c r="N704" s="19">
        <v>-2.4400000000000002E-2</v>
      </c>
      <c r="O704" s="19">
        <v>-2.392E-2</v>
      </c>
      <c r="P704" s="19">
        <v>-2.4729999999999999E-2</v>
      </c>
      <c r="Q704" s="19">
        <v>-2.4140000000000002E-2</v>
      </c>
      <c r="R704" s="19"/>
      <c r="S704" s="19">
        <f t="shared" si="83"/>
        <v>0</v>
      </c>
      <c r="T704" s="19">
        <f t="shared" si="84"/>
        <v>0</v>
      </c>
      <c r="U704" s="19">
        <f t="shared" si="85"/>
        <v>0</v>
      </c>
      <c r="V704" s="19">
        <f t="shared" si="86"/>
        <v>0</v>
      </c>
      <c r="W704" s="19">
        <f t="shared" si="87"/>
        <v>0</v>
      </c>
      <c r="X704" s="21">
        <f t="shared" si="88"/>
        <v>0</v>
      </c>
    </row>
    <row r="705" spans="1:24" ht="13.5" x14ac:dyDescent="0.35">
      <c r="A705" s="18">
        <v>111722</v>
      </c>
      <c r="B705" s="19" t="s">
        <v>373</v>
      </c>
      <c r="C705" s="19">
        <v>13.8</v>
      </c>
      <c r="D705" s="19">
        <v>101</v>
      </c>
      <c r="E705" s="19">
        <v>1063</v>
      </c>
      <c r="F705" s="19">
        <v>52.6</v>
      </c>
      <c r="G705" s="19">
        <v>0</v>
      </c>
      <c r="H705" s="19">
        <v>52.6</v>
      </c>
      <c r="I705" s="20">
        <v>52.6</v>
      </c>
      <c r="J705" s="19">
        <f t="shared" si="81"/>
        <v>0</v>
      </c>
      <c r="K705" s="19">
        <f t="shared" si="82"/>
        <v>0</v>
      </c>
      <c r="L705" s="19">
        <v>-3.0130000000000001E-2</v>
      </c>
      <c r="M705" s="19">
        <v>-2.3060000000000001E-2</v>
      </c>
      <c r="N705" s="19">
        <v>-2.4400000000000002E-2</v>
      </c>
      <c r="O705" s="19">
        <v>-2.392E-2</v>
      </c>
      <c r="P705" s="19">
        <v>-2.4729999999999999E-2</v>
      </c>
      <c r="Q705" s="19">
        <v>-2.4140000000000002E-2</v>
      </c>
      <c r="R705" s="19"/>
      <c r="S705" s="19">
        <f t="shared" si="83"/>
        <v>0</v>
      </c>
      <c r="T705" s="19">
        <f t="shared" si="84"/>
        <v>0</v>
      </c>
      <c r="U705" s="19">
        <f t="shared" si="85"/>
        <v>0</v>
      </c>
      <c r="V705" s="19">
        <f t="shared" si="86"/>
        <v>0</v>
      </c>
      <c r="W705" s="19">
        <f t="shared" si="87"/>
        <v>0</v>
      </c>
      <c r="X705" s="21">
        <f t="shared" si="88"/>
        <v>0</v>
      </c>
    </row>
    <row r="706" spans="1:24" ht="13.5" x14ac:dyDescent="0.35">
      <c r="A706" s="18">
        <v>111723</v>
      </c>
      <c r="B706" s="19" t="s">
        <v>374</v>
      </c>
      <c r="C706" s="19">
        <v>13.8</v>
      </c>
      <c r="D706" s="19">
        <v>101</v>
      </c>
      <c r="E706" s="19">
        <v>1063</v>
      </c>
      <c r="F706" s="19">
        <v>52.6</v>
      </c>
      <c r="G706" s="19">
        <v>0</v>
      </c>
      <c r="H706" s="19">
        <v>52.6</v>
      </c>
      <c r="I706" s="20">
        <v>52.6</v>
      </c>
      <c r="J706" s="19">
        <f t="shared" si="81"/>
        <v>0</v>
      </c>
      <c r="K706" s="19">
        <f t="shared" si="82"/>
        <v>0</v>
      </c>
      <c r="L706" s="19">
        <v>-3.0130000000000001E-2</v>
      </c>
      <c r="M706" s="19">
        <v>-2.3060000000000001E-2</v>
      </c>
      <c r="N706" s="19">
        <v>-2.4400000000000002E-2</v>
      </c>
      <c r="O706" s="19">
        <v>-2.392E-2</v>
      </c>
      <c r="P706" s="19">
        <v>-2.4729999999999999E-2</v>
      </c>
      <c r="Q706" s="19">
        <v>-2.4140000000000002E-2</v>
      </c>
      <c r="R706" s="19"/>
      <c r="S706" s="19">
        <f t="shared" si="83"/>
        <v>0</v>
      </c>
      <c r="T706" s="19">
        <f t="shared" si="84"/>
        <v>0</v>
      </c>
      <c r="U706" s="19">
        <f t="shared" si="85"/>
        <v>0</v>
      </c>
      <c r="V706" s="19">
        <f t="shared" si="86"/>
        <v>0</v>
      </c>
      <c r="W706" s="19">
        <f t="shared" si="87"/>
        <v>0</v>
      </c>
      <c r="X706" s="21">
        <f t="shared" si="88"/>
        <v>0</v>
      </c>
    </row>
    <row r="707" spans="1:24" ht="13.5" x14ac:dyDescent="0.35">
      <c r="A707" s="18">
        <v>111728</v>
      </c>
      <c r="B707" s="19" t="s">
        <v>375</v>
      </c>
      <c r="C707" s="19">
        <v>13.8</v>
      </c>
      <c r="D707" s="19">
        <v>101</v>
      </c>
      <c r="E707" s="19">
        <v>1063</v>
      </c>
      <c r="F707" s="19">
        <v>61.4</v>
      </c>
      <c r="G707" s="19">
        <v>0</v>
      </c>
      <c r="H707" s="19">
        <v>61.4</v>
      </c>
      <c r="I707" s="20">
        <v>61.4</v>
      </c>
      <c r="J707" s="19">
        <f t="shared" si="81"/>
        <v>0</v>
      </c>
      <c r="K707" s="19">
        <f t="shared" si="82"/>
        <v>0</v>
      </c>
      <c r="L707" s="19">
        <v>-3.0130000000000001E-2</v>
      </c>
      <c r="M707" s="19">
        <v>-2.3060000000000001E-2</v>
      </c>
      <c r="N707" s="19">
        <v>-2.4400000000000002E-2</v>
      </c>
      <c r="O707" s="19">
        <v>-2.392E-2</v>
      </c>
      <c r="P707" s="19">
        <v>-2.4729999999999999E-2</v>
      </c>
      <c r="Q707" s="19">
        <v>-2.4140000000000002E-2</v>
      </c>
      <c r="R707" s="19"/>
      <c r="S707" s="19">
        <f t="shared" si="83"/>
        <v>0</v>
      </c>
      <c r="T707" s="19">
        <f t="shared" si="84"/>
        <v>0</v>
      </c>
      <c r="U707" s="19">
        <f t="shared" si="85"/>
        <v>0</v>
      </c>
      <c r="V707" s="19">
        <f t="shared" si="86"/>
        <v>0</v>
      </c>
      <c r="W707" s="19">
        <f t="shared" si="87"/>
        <v>0</v>
      </c>
      <c r="X707" s="21">
        <f t="shared" si="88"/>
        <v>0</v>
      </c>
    </row>
    <row r="708" spans="1:24" ht="13.5" x14ac:dyDescent="0.35">
      <c r="A708" s="18">
        <v>111729</v>
      </c>
      <c r="B708" s="19" t="s">
        <v>376</v>
      </c>
      <c r="C708" s="19">
        <v>13.8</v>
      </c>
      <c r="D708" s="19">
        <v>101</v>
      </c>
      <c r="E708" s="19">
        <v>1063</v>
      </c>
      <c r="F708" s="19">
        <v>18.100000000000001</v>
      </c>
      <c r="G708" s="19">
        <v>0</v>
      </c>
      <c r="H708" s="19">
        <v>18.100000000000001</v>
      </c>
      <c r="I708" s="20">
        <v>18.100000000000001</v>
      </c>
      <c r="J708" s="19">
        <f t="shared" si="81"/>
        <v>0</v>
      </c>
      <c r="K708" s="19">
        <f t="shared" si="82"/>
        <v>0</v>
      </c>
      <c r="L708" s="19">
        <v>-3.0130000000000001E-2</v>
      </c>
      <c r="M708" s="19">
        <v>-2.3060000000000001E-2</v>
      </c>
      <c r="N708" s="19">
        <v>-2.4400000000000002E-2</v>
      </c>
      <c r="O708" s="19">
        <v>-2.392E-2</v>
      </c>
      <c r="P708" s="19">
        <v>-2.4729999999999999E-2</v>
      </c>
      <c r="Q708" s="19">
        <v>-2.4140000000000002E-2</v>
      </c>
      <c r="R708" s="19"/>
      <c r="S708" s="19">
        <f t="shared" si="83"/>
        <v>0</v>
      </c>
      <c r="T708" s="19">
        <f t="shared" si="84"/>
        <v>0</v>
      </c>
      <c r="U708" s="19">
        <f t="shared" si="85"/>
        <v>0</v>
      </c>
      <c r="V708" s="19">
        <f t="shared" si="86"/>
        <v>0</v>
      </c>
      <c r="W708" s="19">
        <f t="shared" si="87"/>
        <v>0</v>
      </c>
      <c r="X708" s="21">
        <f t="shared" si="88"/>
        <v>0</v>
      </c>
    </row>
    <row r="709" spans="1:24" ht="13.5" x14ac:dyDescent="0.35">
      <c r="A709" s="18">
        <v>911144</v>
      </c>
      <c r="B709" s="19" t="s">
        <v>617</v>
      </c>
      <c r="C709" s="19">
        <v>115</v>
      </c>
      <c r="D709" s="19">
        <v>101</v>
      </c>
      <c r="E709" s="19">
        <v>1030</v>
      </c>
      <c r="F709" s="19">
        <v>15.78</v>
      </c>
      <c r="G709" s="19">
        <v>0</v>
      </c>
      <c r="H709" s="19">
        <v>15.78</v>
      </c>
      <c r="I709" s="20">
        <v>15.78</v>
      </c>
      <c r="J709" s="19">
        <f t="shared" si="81"/>
        <v>0</v>
      </c>
      <c r="K709" s="19">
        <f t="shared" si="82"/>
        <v>0</v>
      </c>
      <c r="L709" s="19">
        <v>-3.2750000000000001E-2</v>
      </c>
      <c r="M709" s="19">
        <v>-2.6839999999999999E-2</v>
      </c>
      <c r="N709" s="19">
        <v>-2.7550000000000002E-2</v>
      </c>
      <c r="O709" s="19">
        <v>-2.8070000000000001E-2</v>
      </c>
      <c r="P709" s="19">
        <v>-2.843E-2</v>
      </c>
      <c r="Q709" s="19">
        <v>-2.8039999999999999E-2</v>
      </c>
      <c r="R709" s="19"/>
      <c r="S709" s="19">
        <f t="shared" si="83"/>
        <v>0</v>
      </c>
      <c r="T709" s="19">
        <f t="shared" si="84"/>
        <v>0</v>
      </c>
      <c r="U709" s="19">
        <f t="shared" si="85"/>
        <v>0</v>
      </c>
      <c r="V709" s="19">
        <f t="shared" si="86"/>
        <v>0</v>
      </c>
      <c r="W709" s="19">
        <f t="shared" si="87"/>
        <v>0</v>
      </c>
      <c r="X709" s="21">
        <f t="shared" si="88"/>
        <v>0</v>
      </c>
    </row>
    <row r="710" spans="1:24" ht="13.5" x14ac:dyDescent="0.35">
      <c r="A710" s="18">
        <v>911145</v>
      </c>
      <c r="B710" s="19" t="s">
        <v>618</v>
      </c>
      <c r="C710" s="19">
        <v>115</v>
      </c>
      <c r="D710" s="19">
        <v>101</v>
      </c>
      <c r="E710" s="19">
        <v>1030</v>
      </c>
      <c r="F710" s="19">
        <v>44.12</v>
      </c>
      <c r="G710" s="19">
        <v>0</v>
      </c>
      <c r="H710" s="19">
        <v>44.12</v>
      </c>
      <c r="I710" s="20">
        <v>44.12</v>
      </c>
      <c r="J710" s="19">
        <f t="shared" si="81"/>
        <v>0</v>
      </c>
      <c r="K710" s="19">
        <f t="shared" si="82"/>
        <v>0</v>
      </c>
      <c r="L710" s="19">
        <v>-3.2750000000000001E-2</v>
      </c>
      <c r="M710" s="19">
        <v>-2.6839999999999999E-2</v>
      </c>
      <c r="N710" s="19">
        <v>-2.7550000000000002E-2</v>
      </c>
      <c r="O710" s="19">
        <v>-2.8070000000000001E-2</v>
      </c>
      <c r="P710" s="19">
        <v>-2.843E-2</v>
      </c>
      <c r="Q710" s="19">
        <v>-2.8039999999999999E-2</v>
      </c>
      <c r="R710" s="19"/>
      <c r="S710" s="19">
        <f t="shared" si="83"/>
        <v>0</v>
      </c>
      <c r="T710" s="19">
        <f t="shared" si="84"/>
        <v>0</v>
      </c>
      <c r="U710" s="19">
        <f t="shared" si="85"/>
        <v>0</v>
      </c>
      <c r="V710" s="19">
        <f t="shared" si="86"/>
        <v>0</v>
      </c>
      <c r="W710" s="19">
        <f t="shared" si="87"/>
        <v>0</v>
      </c>
      <c r="X710" s="21">
        <f t="shared" si="88"/>
        <v>0</v>
      </c>
    </row>
    <row r="711" spans="1:24" ht="13.5" x14ac:dyDescent="0.35">
      <c r="A711" s="18">
        <v>991144</v>
      </c>
      <c r="B711" s="19" t="s">
        <v>721</v>
      </c>
      <c r="C711" s="19">
        <v>115</v>
      </c>
      <c r="D711" s="19">
        <v>101</v>
      </c>
      <c r="E711" s="19">
        <v>1030</v>
      </c>
      <c r="F711" s="19">
        <v>0</v>
      </c>
      <c r="G711" s="19">
        <v>0</v>
      </c>
      <c r="H711" s="19">
        <v>0</v>
      </c>
      <c r="I711" s="20">
        <v>0</v>
      </c>
      <c r="J711" s="19">
        <f t="shared" si="81"/>
        <v>0</v>
      </c>
      <c r="K711" s="19">
        <f t="shared" si="82"/>
        <v>0</v>
      </c>
      <c r="L711" s="19">
        <v>-3.2750000000000001E-2</v>
      </c>
      <c r="M711" s="19">
        <v>-2.6839999999999999E-2</v>
      </c>
      <c r="N711" s="19">
        <v>-2.7550000000000002E-2</v>
      </c>
      <c r="O711" s="19">
        <v>-2.8070000000000001E-2</v>
      </c>
      <c r="P711" s="19">
        <v>-2.843E-2</v>
      </c>
      <c r="Q711" s="19">
        <v>-2.8039999999999999E-2</v>
      </c>
      <c r="R711" s="19"/>
      <c r="S711" s="19">
        <f t="shared" si="83"/>
        <v>0</v>
      </c>
      <c r="T711" s="19">
        <f t="shared" si="84"/>
        <v>0</v>
      </c>
      <c r="U711" s="19">
        <f t="shared" si="85"/>
        <v>0</v>
      </c>
      <c r="V711" s="19">
        <f t="shared" si="86"/>
        <v>0</v>
      </c>
      <c r="W711" s="19">
        <f t="shared" si="87"/>
        <v>0</v>
      </c>
      <c r="X711" s="21">
        <f t="shared" si="88"/>
        <v>0</v>
      </c>
    </row>
    <row r="712" spans="1:24" ht="13.5" x14ac:dyDescent="0.35">
      <c r="A712" s="18">
        <v>911143</v>
      </c>
      <c r="B712" s="19" t="s">
        <v>610</v>
      </c>
      <c r="C712" s="19">
        <v>115</v>
      </c>
      <c r="D712" s="19">
        <v>101</v>
      </c>
      <c r="E712" s="19">
        <v>1030</v>
      </c>
      <c r="F712" s="19">
        <v>5.76</v>
      </c>
      <c r="G712" s="19">
        <v>0</v>
      </c>
      <c r="H712" s="19">
        <v>5.76</v>
      </c>
      <c r="I712" s="20">
        <v>5.76</v>
      </c>
      <c r="J712" s="19">
        <f t="shared" si="81"/>
        <v>0</v>
      </c>
      <c r="K712" s="19">
        <f t="shared" si="82"/>
        <v>0</v>
      </c>
      <c r="L712" s="19">
        <v>-3.32E-2</v>
      </c>
      <c r="M712" s="19">
        <v>-2.7119999999999998E-2</v>
      </c>
      <c r="N712" s="19">
        <v>-2.7830000000000001E-2</v>
      </c>
      <c r="O712" s="19">
        <v>-2.835E-2</v>
      </c>
      <c r="P712" s="19">
        <v>-2.8709999999999999E-2</v>
      </c>
      <c r="Q712" s="19">
        <v>-2.8320000000000001E-2</v>
      </c>
      <c r="R712" s="19"/>
      <c r="S712" s="19">
        <f t="shared" si="83"/>
        <v>0</v>
      </c>
      <c r="T712" s="19">
        <f t="shared" si="84"/>
        <v>0</v>
      </c>
      <c r="U712" s="19">
        <f t="shared" si="85"/>
        <v>0</v>
      </c>
      <c r="V712" s="19">
        <f t="shared" si="86"/>
        <v>0</v>
      </c>
      <c r="W712" s="19">
        <f t="shared" si="87"/>
        <v>0</v>
      </c>
      <c r="X712" s="21">
        <f t="shared" si="88"/>
        <v>0</v>
      </c>
    </row>
    <row r="713" spans="1:24" ht="13.5" x14ac:dyDescent="0.35">
      <c r="A713" s="18">
        <v>915464</v>
      </c>
      <c r="B713" s="19" t="s">
        <v>674</v>
      </c>
      <c r="C713" s="19">
        <v>115</v>
      </c>
      <c r="D713" s="19">
        <v>101</v>
      </c>
      <c r="E713" s="19">
        <v>1150</v>
      </c>
      <c r="F713" s="19">
        <v>0</v>
      </c>
      <c r="G713" s="19">
        <v>0</v>
      </c>
      <c r="H713" s="19">
        <v>0</v>
      </c>
      <c r="I713" s="20">
        <v>0</v>
      </c>
      <c r="J713" s="19">
        <f t="shared" si="81"/>
        <v>0</v>
      </c>
      <c r="K713" s="19">
        <f t="shared" si="82"/>
        <v>0</v>
      </c>
      <c r="L713" s="19">
        <v>-5.568E-2</v>
      </c>
      <c r="M713" s="19">
        <v>-4.1239999999999999E-2</v>
      </c>
      <c r="N713" s="19">
        <v>-4.1880000000000001E-2</v>
      </c>
      <c r="O713" s="19">
        <v>-4.2160000000000003E-2</v>
      </c>
      <c r="P713" s="19">
        <v>-4.267E-2</v>
      </c>
      <c r="Q713" s="19">
        <v>-4.2169999999999999E-2</v>
      </c>
      <c r="R713" s="19"/>
      <c r="S713" s="19">
        <f t="shared" si="83"/>
        <v>0</v>
      </c>
      <c r="T713" s="19">
        <f t="shared" si="84"/>
        <v>0</v>
      </c>
      <c r="U713" s="19">
        <f t="shared" si="85"/>
        <v>0</v>
      </c>
      <c r="V713" s="19">
        <f t="shared" si="86"/>
        <v>0</v>
      </c>
      <c r="W713" s="19">
        <f t="shared" si="87"/>
        <v>0</v>
      </c>
      <c r="X713" s="21">
        <f t="shared" si="88"/>
        <v>0</v>
      </c>
    </row>
    <row r="714" spans="1:24" ht="13.5" x14ac:dyDescent="0.35">
      <c r="A714" s="18">
        <v>115742</v>
      </c>
      <c r="B714" s="19" t="s">
        <v>40</v>
      </c>
      <c r="C714" s="19">
        <v>22</v>
      </c>
      <c r="D714" s="19">
        <v>101</v>
      </c>
      <c r="E714" s="19">
        <v>1160</v>
      </c>
      <c r="F714" s="19">
        <v>168</v>
      </c>
      <c r="G714" s="19">
        <v>0</v>
      </c>
      <c r="H714" s="19">
        <v>168</v>
      </c>
      <c r="I714" s="20">
        <v>168</v>
      </c>
      <c r="J714" s="19">
        <f t="shared" si="81"/>
        <v>0</v>
      </c>
      <c r="K714" s="19">
        <f t="shared" si="82"/>
        <v>0</v>
      </c>
      <c r="L714" s="19">
        <v>-0.58860000000000001</v>
      </c>
      <c r="M714" s="19">
        <v>-0.58230999999999999</v>
      </c>
      <c r="N714" s="19">
        <v>-0.57720000000000005</v>
      </c>
      <c r="O714" s="19">
        <v>-0.57584000000000002</v>
      </c>
      <c r="P714" s="19">
        <v>-0.57565</v>
      </c>
      <c r="Q714" s="19">
        <v>-0.57560999999999996</v>
      </c>
      <c r="R714" s="19"/>
      <c r="S714" s="19">
        <f t="shared" si="83"/>
        <v>0</v>
      </c>
      <c r="T714" s="19">
        <f t="shared" si="84"/>
        <v>0</v>
      </c>
      <c r="U714" s="19">
        <f t="shared" si="85"/>
        <v>0</v>
      </c>
      <c r="V714" s="19">
        <f t="shared" si="86"/>
        <v>0</v>
      </c>
      <c r="W714" s="19">
        <f t="shared" si="87"/>
        <v>0</v>
      </c>
      <c r="X714" s="21">
        <f t="shared" si="88"/>
        <v>0</v>
      </c>
    </row>
    <row r="715" spans="1:24" ht="14" thickBot="1" x14ac:dyDescent="0.4">
      <c r="A715" s="22">
        <v>995714</v>
      </c>
      <c r="B715" s="23" t="s">
        <v>41</v>
      </c>
      <c r="C715" s="23">
        <v>115</v>
      </c>
      <c r="D715" s="23">
        <v>101</v>
      </c>
      <c r="E715" s="23">
        <v>1160</v>
      </c>
      <c r="F715" s="23">
        <v>0</v>
      </c>
      <c r="G715" s="23">
        <v>0</v>
      </c>
      <c r="H715" s="23">
        <v>0</v>
      </c>
      <c r="I715" s="24">
        <v>0</v>
      </c>
      <c r="J715" s="23">
        <f t="shared" si="81"/>
        <v>0</v>
      </c>
      <c r="K715" s="23">
        <f t="shared" si="82"/>
        <v>0</v>
      </c>
      <c r="L715" s="23">
        <v>-0.63051999999999997</v>
      </c>
      <c r="M715" s="23">
        <v>-0.62636999999999998</v>
      </c>
      <c r="N715" s="23">
        <v>-0.62087999999999999</v>
      </c>
      <c r="O715" s="23">
        <v>-0.61938000000000004</v>
      </c>
      <c r="P715" s="23">
        <v>-0.61917</v>
      </c>
      <c r="Q715" s="23">
        <v>-0.61914000000000002</v>
      </c>
      <c r="R715" s="23"/>
      <c r="S715" s="23">
        <f t="shared" si="83"/>
        <v>0</v>
      </c>
      <c r="T715" s="23">
        <f t="shared" si="84"/>
        <v>0</v>
      </c>
      <c r="U715" s="23">
        <f t="shared" si="85"/>
        <v>0</v>
      </c>
      <c r="V715" s="23">
        <f t="shared" si="86"/>
        <v>0</v>
      </c>
      <c r="W715" s="23">
        <f t="shared" si="87"/>
        <v>0</v>
      </c>
      <c r="X715" s="25">
        <f t="shared" si="88"/>
        <v>0</v>
      </c>
    </row>
  </sheetData>
  <autoFilter ref="A14:X715" xr:uid="{FEFE9E5D-77CA-4238-8EBA-7608108E2DE7}"/>
  <conditionalFormatting sqref="I15">
    <cfRule type="cellIs" dxfId="2885" priority="1" stopIfTrue="1" operator="greaterThan">
      <formula>$H$15</formula>
    </cfRule>
    <cfRule type="cellIs" dxfId="2884" priority="2" stopIfTrue="1" operator="lessThan">
      <formula>$H$15*(-1)</formula>
    </cfRule>
  </conditionalFormatting>
  <conditionalFormatting sqref="I16">
    <cfRule type="cellIs" dxfId="2883" priority="3" stopIfTrue="1" operator="greaterThan">
      <formula>$H$16</formula>
    </cfRule>
    <cfRule type="cellIs" dxfId="2882" priority="4" stopIfTrue="1" operator="lessThan">
      <formula>$H$16*(-1)</formula>
    </cfRule>
  </conditionalFormatting>
  <conditionalFormatting sqref="I17">
    <cfRule type="cellIs" dxfId="2881" priority="5" stopIfTrue="1" operator="greaterThan">
      <formula>$H$17</formula>
    </cfRule>
    <cfRule type="cellIs" dxfId="2880" priority="6" stopIfTrue="1" operator="lessThan">
      <formula>$H$17*(-1)</formula>
    </cfRule>
  </conditionalFormatting>
  <conditionalFormatting sqref="I18">
    <cfRule type="cellIs" dxfId="2879" priority="7" stopIfTrue="1" operator="greaterThan">
      <formula>$H$18</formula>
    </cfRule>
    <cfRule type="cellIs" dxfId="2878" priority="8" stopIfTrue="1" operator="lessThan">
      <formula>$H$18*(-1)</formula>
    </cfRule>
  </conditionalFormatting>
  <conditionalFormatting sqref="I19">
    <cfRule type="cellIs" dxfId="2877" priority="9" stopIfTrue="1" operator="greaterThan">
      <formula>$H$19</formula>
    </cfRule>
    <cfRule type="cellIs" dxfId="2876" priority="10" stopIfTrue="1" operator="lessThan">
      <formula>$H$19*(-1)</formula>
    </cfRule>
  </conditionalFormatting>
  <conditionalFormatting sqref="I20">
    <cfRule type="cellIs" dxfId="2875" priority="11" stopIfTrue="1" operator="greaterThan">
      <formula>$H$20</formula>
    </cfRule>
    <cfRule type="cellIs" dxfId="2874" priority="12" stopIfTrue="1" operator="lessThan">
      <formula>$H$20*(-1)</formula>
    </cfRule>
  </conditionalFormatting>
  <conditionalFormatting sqref="I21">
    <cfRule type="cellIs" dxfId="2873" priority="13" stopIfTrue="1" operator="greaterThan">
      <formula>$H$21</formula>
    </cfRule>
    <cfRule type="cellIs" dxfId="2872" priority="14" stopIfTrue="1" operator="lessThan">
      <formula>$H$21*(-1)</formula>
    </cfRule>
  </conditionalFormatting>
  <conditionalFormatting sqref="I22">
    <cfRule type="cellIs" dxfId="2871" priority="15" stopIfTrue="1" operator="greaterThan">
      <formula>$H$22</formula>
    </cfRule>
    <cfRule type="cellIs" dxfId="2870" priority="16" stopIfTrue="1" operator="lessThan">
      <formula>$H$22*(-1)</formula>
    </cfRule>
  </conditionalFormatting>
  <conditionalFormatting sqref="I23">
    <cfRule type="cellIs" dxfId="2869" priority="17" stopIfTrue="1" operator="greaterThan">
      <formula>$H$23</formula>
    </cfRule>
    <cfRule type="cellIs" dxfId="2868" priority="18" stopIfTrue="1" operator="lessThan">
      <formula>$H$23*(-1)</formula>
    </cfRule>
  </conditionalFormatting>
  <conditionalFormatting sqref="I24">
    <cfRule type="cellIs" dxfId="2867" priority="19" stopIfTrue="1" operator="greaterThan">
      <formula>$H$24</formula>
    </cfRule>
    <cfRule type="cellIs" dxfId="2866" priority="20" stopIfTrue="1" operator="lessThan">
      <formula>$H$24*(-1)</formula>
    </cfRule>
  </conditionalFormatting>
  <conditionalFormatting sqref="I25">
    <cfRule type="cellIs" dxfId="2865" priority="21" stopIfTrue="1" operator="greaterThan">
      <formula>$H$25</formula>
    </cfRule>
    <cfRule type="cellIs" dxfId="2864" priority="22" stopIfTrue="1" operator="lessThan">
      <formula>$H$25*(-1)</formula>
    </cfRule>
  </conditionalFormatting>
  <conditionalFormatting sqref="I26">
    <cfRule type="cellIs" dxfId="2863" priority="23" stopIfTrue="1" operator="greaterThan">
      <formula>$H$26</formula>
    </cfRule>
    <cfRule type="cellIs" dxfId="2862" priority="24" stopIfTrue="1" operator="lessThan">
      <formula>$H$26*(-1)</formula>
    </cfRule>
  </conditionalFormatting>
  <conditionalFormatting sqref="I27">
    <cfRule type="cellIs" dxfId="2861" priority="25" stopIfTrue="1" operator="greaterThan">
      <formula>$H$27</formula>
    </cfRule>
    <cfRule type="cellIs" dxfId="2860" priority="26" stopIfTrue="1" operator="lessThan">
      <formula>$H$27*(-1)</formula>
    </cfRule>
  </conditionalFormatting>
  <conditionalFormatting sqref="I28">
    <cfRule type="cellIs" dxfId="2859" priority="27" stopIfTrue="1" operator="greaterThan">
      <formula>$H$28</formula>
    </cfRule>
    <cfRule type="cellIs" dxfId="2858" priority="28" stopIfTrue="1" operator="lessThan">
      <formula>$H$28*(-1)</formula>
    </cfRule>
  </conditionalFormatting>
  <conditionalFormatting sqref="I29">
    <cfRule type="cellIs" dxfId="2857" priority="29" stopIfTrue="1" operator="greaterThan">
      <formula>$H$29</formula>
    </cfRule>
    <cfRule type="cellIs" dxfId="2856" priority="30" stopIfTrue="1" operator="lessThan">
      <formula>$H$29*(-1)</formula>
    </cfRule>
  </conditionalFormatting>
  <conditionalFormatting sqref="I30">
    <cfRule type="cellIs" dxfId="2855" priority="31" stopIfTrue="1" operator="greaterThan">
      <formula>$H$30</formula>
    </cfRule>
    <cfRule type="cellIs" dxfId="2854" priority="32" stopIfTrue="1" operator="lessThan">
      <formula>$H$30*(-1)</formula>
    </cfRule>
  </conditionalFormatting>
  <conditionalFormatting sqref="I31">
    <cfRule type="cellIs" dxfId="2853" priority="33" stopIfTrue="1" operator="greaterThan">
      <formula>$H$31</formula>
    </cfRule>
    <cfRule type="cellIs" dxfId="2852" priority="34" stopIfTrue="1" operator="lessThan">
      <formula>$H$31*(-1)</formula>
    </cfRule>
  </conditionalFormatting>
  <conditionalFormatting sqref="I32">
    <cfRule type="cellIs" dxfId="2851" priority="35" stopIfTrue="1" operator="greaterThan">
      <formula>$H$32</formula>
    </cfRule>
    <cfRule type="cellIs" dxfId="2850" priority="36" stopIfTrue="1" operator="lessThan">
      <formula>$H$32*(-1)</formula>
    </cfRule>
  </conditionalFormatting>
  <conditionalFormatting sqref="I33">
    <cfRule type="cellIs" dxfId="2849" priority="37" stopIfTrue="1" operator="greaterThan">
      <formula>$H$33</formula>
    </cfRule>
    <cfRule type="cellIs" dxfId="2848" priority="38" stopIfTrue="1" operator="lessThan">
      <formula>$H$33*(-1)</formula>
    </cfRule>
  </conditionalFormatting>
  <conditionalFormatting sqref="I34">
    <cfRule type="cellIs" dxfId="2847" priority="39" stopIfTrue="1" operator="greaterThan">
      <formula>$H$34</formula>
    </cfRule>
    <cfRule type="cellIs" dxfId="2846" priority="40" stopIfTrue="1" operator="lessThan">
      <formula>$H$34*(-1)</formula>
    </cfRule>
  </conditionalFormatting>
  <conditionalFormatting sqref="I35">
    <cfRule type="cellIs" dxfId="2845" priority="41" stopIfTrue="1" operator="greaterThan">
      <formula>$H$35</formula>
    </cfRule>
  </conditionalFormatting>
  <conditionalFormatting sqref="I35">
    <cfRule type="cellIs" dxfId="2844" priority="42" stopIfTrue="1" operator="lessThan">
      <formula>$H$35*(-1)</formula>
    </cfRule>
  </conditionalFormatting>
  <conditionalFormatting sqref="I36">
    <cfRule type="cellIs" dxfId="2843" priority="43" stopIfTrue="1" operator="greaterThan">
      <formula>$H$36</formula>
    </cfRule>
  </conditionalFormatting>
  <conditionalFormatting sqref="I36">
    <cfRule type="cellIs" dxfId="2842" priority="44" stopIfTrue="1" operator="lessThan">
      <formula>$H$36*(-1)</formula>
    </cfRule>
  </conditionalFormatting>
  <conditionalFormatting sqref="I37">
    <cfRule type="cellIs" dxfId="2841" priority="45" stopIfTrue="1" operator="greaterThan">
      <formula>$H$37</formula>
    </cfRule>
  </conditionalFormatting>
  <conditionalFormatting sqref="I37">
    <cfRule type="cellIs" dxfId="2840" priority="46" stopIfTrue="1" operator="lessThan">
      <formula>$H$37*(-1)</formula>
    </cfRule>
  </conditionalFormatting>
  <conditionalFormatting sqref="I38">
    <cfRule type="cellIs" dxfId="2839" priority="47" stopIfTrue="1" operator="greaterThan">
      <formula>$H$38</formula>
    </cfRule>
  </conditionalFormatting>
  <conditionalFormatting sqref="I38">
    <cfRule type="cellIs" dxfId="2838" priority="48" stopIfTrue="1" operator="lessThan">
      <formula>$H$38*(-1)</formula>
    </cfRule>
  </conditionalFormatting>
  <conditionalFormatting sqref="I39">
    <cfRule type="cellIs" dxfId="2837" priority="49" stopIfTrue="1" operator="greaterThan">
      <formula>$H$39</formula>
    </cfRule>
  </conditionalFormatting>
  <conditionalFormatting sqref="I39">
    <cfRule type="cellIs" dxfId="2836" priority="50" stopIfTrue="1" operator="lessThan">
      <formula>$H$39*(-1)</formula>
    </cfRule>
  </conditionalFormatting>
  <conditionalFormatting sqref="I40">
    <cfRule type="cellIs" dxfId="2835" priority="51" stopIfTrue="1" operator="greaterThan">
      <formula>$H$40</formula>
    </cfRule>
  </conditionalFormatting>
  <conditionalFormatting sqref="I40">
    <cfRule type="cellIs" dxfId="2834" priority="52" stopIfTrue="1" operator="lessThan">
      <formula>$H$40*(-1)</formula>
    </cfRule>
  </conditionalFormatting>
  <conditionalFormatting sqref="I41">
    <cfRule type="cellIs" dxfId="2833" priority="53" stopIfTrue="1" operator="greaterThan">
      <formula>$H$41</formula>
    </cfRule>
  </conditionalFormatting>
  <conditionalFormatting sqref="I41">
    <cfRule type="cellIs" dxfId="2832" priority="54" stopIfTrue="1" operator="lessThan">
      <formula>$H$41*(-1)</formula>
    </cfRule>
  </conditionalFormatting>
  <conditionalFormatting sqref="I42">
    <cfRule type="cellIs" dxfId="2831" priority="55" stopIfTrue="1" operator="greaterThan">
      <formula>$H$42</formula>
    </cfRule>
  </conditionalFormatting>
  <conditionalFormatting sqref="I42">
    <cfRule type="cellIs" dxfId="2830" priority="56" stopIfTrue="1" operator="lessThan">
      <formula>$H$42*(-1)</formula>
    </cfRule>
  </conditionalFormatting>
  <conditionalFormatting sqref="I43">
    <cfRule type="cellIs" dxfId="2829" priority="57" stopIfTrue="1" operator="greaterThan">
      <formula>$H$43</formula>
    </cfRule>
  </conditionalFormatting>
  <conditionalFormatting sqref="I43">
    <cfRule type="cellIs" dxfId="2828" priority="58" stopIfTrue="1" operator="lessThan">
      <formula>$H$43*(-1)</formula>
    </cfRule>
  </conditionalFormatting>
  <conditionalFormatting sqref="I44">
    <cfRule type="cellIs" dxfId="2827" priority="59" stopIfTrue="1" operator="greaterThan">
      <formula>$H$44</formula>
    </cfRule>
  </conditionalFormatting>
  <conditionalFormatting sqref="I44">
    <cfRule type="cellIs" dxfId="2826" priority="60" stopIfTrue="1" operator="lessThan">
      <formula>$H$44*(-1)</formula>
    </cfRule>
  </conditionalFormatting>
  <conditionalFormatting sqref="I45">
    <cfRule type="cellIs" dxfId="2825" priority="61" stopIfTrue="1" operator="greaterThan">
      <formula>$H$45</formula>
    </cfRule>
  </conditionalFormatting>
  <conditionalFormatting sqref="I45">
    <cfRule type="cellIs" dxfId="2824" priority="62" stopIfTrue="1" operator="lessThan">
      <formula>$H$45*(-1)</formula>
    </cfRule>
  </conditionalFormatting>
  <conditionalFormatting sqref="I46">
    <cfRule type="cellIs" dxfId="2823" priority="63" stopIfTrue="1" operator="greaterThan">
      <formula>$H$46</formula>
    </cfRule>
  </conditionalFormatting>
  <conditionalFormatting sqref="I46">
    <cfRule type="cellIs" dxfId="2822" priority="64" stopIfTrue="1" operator="lessThan">
      <formula>$H$46*(-1)</formula>
    </cfRule>
  </conditionalFormatting>
  <conditionalFormatting sqref="I47">
    <cfRule type="cellIs" dxfId="2821" priority="65" stopIfTrue="1" operator="greaterThan">
      <formula>$H$47</formula>
    </cfRule>
  </conditionalFormatting>
  <conditionalFormatting sqref="I47">
    <cfRule type="cellIs" dxfId="2820" priority="66" stopIfTrue="1" operator="lessThan">
      <formula>$H$47*(-1)</formula>
    </cfRule>
  </conditionalFormatting>
  <conditionalFormatting sqref="I48">
    <cfRule type="cellIs" dxfId="2819" priority="67" stopIfTrue="1" operator="greaterThan">
      <formula>$H$48</formula>
    </cfRule>
  </conditionalFormatting>
  <conditionalFormatting sqref="I48">
    <cfRule type="cellIs" dxfId="2818" priority="68" stopIfTrue="1" operator="lessThan">
      <formula>$H$48*(-1)</formula>
    </cfRule>
  </conditionalFormatting>
  <conditionalFormatting sqref="I49">
    <cfRule type="cellIs" dxfId="2817" priority="69" stopIfTrue="1" operator="greaterThan">
      <formula>$H$49</formula>
    </cfRule>
  </conditionalFormatting>
  <conditionalFormatting sqref="I49">
    <cfRule type="cellIs" dxfId="2816" priority="70" stopIfTrue="1" operator="lessThan">
      <formula>$H$49*(-1)</formula>
    </cfRule>
  </conditionalFormatting>
  <conditionalFormatting sqref="I50">
    <cfRule type="cellIs" dxfId="2815" priority="71" stopIfTrue="1" operator="greaterThan">
      <formula>$H$50</formula>
    </cfRule>
  </conditionalFormatting>
  <conditionalFormatting sqref="I50">
    <cfRule type="cellIs" dxfId="2814" priority="72" stopIfTrue="1" operator="lessThan">
      <formula>$H$50*(-1)</formula>
    </cfRule>
  </conditionalFormatting>
  <conditionalFormatting sqref="I51">
    <cfRule type="cellIs" dxfId="2813" priority="73" stopIfTrue="1" operator="greaterThan">
      <formula>$H$51</formula>
    </cfRule>
  </conditionalFormatting>
  <conditionalFormatting sqref="I51">
    <cfRule type="cellIs" dxfId="2812" priority="74" stopIfTrue="1" operator="lessThan">
      <formula>$H$51*(-1)</formula>
    </cfRule>
  </conditionalFormatting>
  <conditionalFormatting sqref="I52">
    <cfRule type="cellIs" dxfId="2811" priority="75" stopIfTrue="1" operator="greaterThan">
      <formula>$H$52</formula>
    </cfRule>
  </conditionalFormatting>
  <conditionalFormatting sqref="I52">
    <cfRule type="cellIs" dxfId="2810" priority="76" stopIfTrue="1" operator="lessThan">
      <formula>$H$52*(-1)</formula>
    </cfRule>
  </conditionalFormatting>
  <conditionalFormatting sqref="I53">
    <cfRule type="cellIs" dxfId="2809" priority="77" stopIfTrue="1" operator="greaterThan">
      <formula>$H$53</formula>
    </cfRule>
  </conditionalFormatting>
  <conditionalFormatting sqref="I53">
    <cfRule type="cellIs" dxfId="2808" priority="78" stopIfTrue="1" operator="lessThan">
      <formula>$H$53*(-1)</formula>
    </cfRule>
  </conditionalFormatting>
  <conditionalFormatting sqref="I54">
    <cfRule type="cellIs" dxfId="2807" priority="79" stopIfTrue="1" operator="greaterThan">
      <formula>$H$54</formula>
    </cfRule>
  </conditionalFormatting>
  <conditionalFormatting sqref="I54">
    <cfRule type="cellIs" dxfId="2806" priority="80" stopIfTrue="1" operator="lessThan">
      <formula>$H$54*(-1)</formula>
    </cfRule>
  </conditionalFormatting>
  <conditionalFormatting sqref="I55">
    <cfRule type="cellIs" dxfId="2805" priority="81" stopIfTrue="1" operator="greaterThan">
      <formula>$H$55</formula>
    </cfRule>
  </conditionalFormatting>
  <conditionalFormatting sqref="I55">
    <cfRule type="cellIs" dxfId="2804" priority="82" stopIfTrue="1" operator="lessThan">
      <formula>$H$55*(-1)</formula>
    </cfRule>
  </conditionalFormatting>
  <conditionalFormatting sqref="I56">
    <cfRule type="cellIs" dxfId="2803" priority="83" stopIfTrue="1" operator="greaterThan">
      <formula>$H$56</formula>
    </cfRule>
  </conditionalFormatting>
  <conditionalFormatting sqref="I56">
    <cfRule type="cellIs" dxfId="2802" priority="84" stopIfTrue="1" operator="lessThan">
      <formula>$H$56*(-1)</formula>
    </cfRule>
  </conditionalFormatting>
  <conditionalFormatting sqref="I57">
    <cfRule type="cellIs" dxfId="2801" priority="85" stopIfTrue="1" operator="greaterThan">
      <formula>$H$57</formula>
    </cfRule>
  </conditionalFormatting>
  <conditionalFormatting sqref="I57">
    <cfRule type="cellIs" dxfId="2800" priority="86" stopIfTrue="1" operator="lessThan">
      <formula>$H$57*(-1)</formula>
    </cfRule>
  </conditionalFormatting>
  <conditionalFormatting sqref="I58">
    <cfRule type="cellIs" dxfId="2799" priority="87" stopIfTrue="1" operator="greaterThan">
      <formula>$H$58</formula>
    </cfRule>
  </conditionalFormatting>
  <conditionalFormatting sqref="I58">
    <cfRule type="cellIs" dxfId="2798" priority="88" stopIfTrue="1" operator="lessThan">
      <formula>$H$58*(-1)</formula>
    </cfRule>
  </conditionalFormatting>
  <conditionalFormatting sqref="I59">
    <cfRule type="cellIs" dxfId="2797" priority="89" stopIfTrue="1" operator="greaterThan">
      <formula>$H$59</formula>
    </cfRule>
  </conditionalFormatting>
  <conditionalFormatting sqref="I59">
    <cfRule type="cellIs" dxfId="2796" priority="90" stopIfTrue="1" operator="lessThan">
      <formula>$H$59*(-1)</formula>
    </cfRule>
  </conditionalFormatting>
  <conditionalFormatting sqref="I60">
    <cfRule type="cellIs" dxfId="2795" priority="91" stopIfTrue="1" operator="greaterThan">
      <formula>$H$60</formula>
    </cfRule>
  </conditionalFormatting>
  <conditionalFormatting sqref="I60">
    <cfRule type="cellIs" dxfId="2794" priority="92" stopIfTrue="1" operator="lessThan">
      <formula>$H$60*(-1)</formula>
    </cfRule>
  </conditionalFormatting>
  <conditionalFormatting sqref="I61">
    <cfRule type="cellIs" dxfId="2793" priority="93" stopIfTrue="1" operator="greaterThan">
      <formula>$H$61</formula>
    </cfRule>
  </conditionalFormatting>
  <conditionalFormatting sqref="I61">
    <cfRule type="cellIs" dxfId="2792" priority="94" stopIfTrue="1" operator="lessThan">
      <formula>$H$61*(-1)</formula>
    </cfRule>
  </conditionalFormatting>
  <conditionalFormatting sqref="I62">
    <cfRule type="cellIs" dxfId="2791" priority="95" stopIfTrue="1" operator="greaterThan">
      <formula>$H$62</formula>
    </cfRule>
  </conditionalFormatting>
  <conditionalFormatting sqref="I62">
    <cfRule type="cellIs" dxfId="2790" priority="96" stopIfTrue="1" operator="lessThan">
      <formula>$H$62*(-1)</formula>
    </cfRule>
  </conditionalFormatting>
  <conditionalFormatting sqref="I63">
    <cfRule type="cellIs" dxfId="2789" priority="97" stopIfTrue="1" operator="greaterThan">
      <formula>$H$63</formula>
    </cfRule>
  </conditionalFormatting>
  <conditionalFormatting sqref="I63">
    <cfRule type="cellIs" dxfId="2788" priority="98" stopIfTrue="1" operator="lessThan">
      <formula>$H$63*(-1)</formula>
    </cfRule>
  </conditionalFormatting>
  <conditionalFormatting sqref="I64">
    <cfRule type="cellIs" dxfId="2787" priority="99" stopIfTrue="1" operator="greaterThan">
      <formula>$H$64</formula>
    </cfRule>
  </conditionalFormatting>
  <conditionalFormatting sqref="I64">
    <cfRule type="cellIs" dxfId="2786" priority="100" stopIfTrue="1" operator="lessThan">
      <formula>$H$64*(-1)</formula>
    </cfRule>
  </conditionalFormatting>
  <conditionalFormatting sqref="I65">
    <cfRule type="cellIs" dxfId="2785" priority="101" stopIfTrue="1" operator="greaterThan">
      <formula>$H$65</formula>
    </cfRule>
  </conditionalFormatting>
  <conditionalFormatting sqref="I65">
    <cfRule type="cellIs" dxfId="2784" priority="102" stopIfTrue="1" operator="lessThan">
      <formula>$H$65*(-1)</formula>
    </cfRule>
  </conditionalFormatting>
  <conditionalFormatting sqref="I66">
    <cfRule type="cellIs" dxfId="2783" priority="103" stopIfTrue="1" operator="greaterThan">
      <formula>$H$66</formula>
    </cfRule>
  </conditionalFormatting>
  <conditionalFormatting sqref="I66">
    <cfRule type="cellIs" dxfId="2782" priority="104" stopIfTrue="1" operator="lessThan">
      <formula>$H$66*(-1)</formula>
    </cfRule>
  </conditionalFormatting>
  <conditionalFormatting sqref="I67">
    <cfRule type="cellIs" dxfId="2781" priority="105" stopIfTrue="1" operator="greaterThan">
      <formula>$H$67</formula>
    </cfRule>
  </conditionalFormatting>
  <conditionalFormatting sqref="I67">
    <cfRule type="cellIs" dxfId="2780" priority="106" stopIfTrue="1" operator="lessThan">
      <formula>$H$67*(-1)</formula>
    </cfRule>
  </conditionalFormatting>
  <conditionalFormatting sqref="I68">
    <cfRule type="cellIs" dxfId="2779" priority="107" stopIfTrue="1" operator="greaterThan">
      <formula>$H$68</formula>
    </cfRule>
  </conditionalFormatting>
  <conditionalFormatting sqref="I68">
    <cfRule type="cellIs" dxfId="2778" priority="108" stopIfTrue="1" operator="lessThan">
      <formula>$H$68*(-1)</formula>
    </cfRule>
  </conditionalFormatting>
  <conditionalFormatting sqref="I69">
    <cfRule type="cellIs" dxfId="2777" priority="109" stopIfTrue="1" operator="greaterThan">
      <formula>$H$69</formula>
    </cfRule>
  </conditionalFormatting>
  <conditionalFormatting sqref="I69">
    <cfRule type="cellIs" dxfId="2776" priority="110" stopIfTrue="1" operator="lessThan">
      <formula>$H$69*(-1)</formula>
    </cfRule>
  </conditionalFormatting>
  <conditionalFormatting sqref="I70">
    <cfRule type="cellIs" dxfId="2775" priority="111" stopIfTrue="1" operator="greaterThan">
      <formula>$H$70</formula>
    </cfRule>
  </conditionalFormatting>
  <conditionalFormatting sqref="I70">
    <cfRule type="cellIs" dxfId="2774" priority="112" stopIfTrue="1" operator="lessThan">
      <formula>$H$70*(-1)</formula>
    </cfRule>
  </conditionalFormatting>
  <conditionalFormatting sqref="I71">
    <cfRule type="cellIs" dxfId="2773" priority="113" stopIfTrue="1" operator="greaterThan">
      <formula>$H$71</formula>
    </cfRule>
  </conditionalFormatting>
  <conditionalFormatting sqref="I71">
    <cfRule type="cellIs" dxfId="2772" priority="114" stopIfTrue="1" operator="lessThan">
      <formula>$H$71*(-1)</formula>
    </cfRule>
  </conditionalFormatting>
  <conditionalFormatting sqref="I72">
    <cfRule type="cellIs" dxfId="2771" priority="115" stopIfTrue="1" operator="greaterThan">
      <formula>$H$72</formula>
    </cfRule>
  </conditionalFormatting>
  <conditionalFormatting sqref="I72">
    <cfRule type="cellIs" dxfId="2770" priority="116" stopIfTrue="1" operator="lessThan">
      <formula>$H$72*(-1)</formula>
    </cfRule>
  </conditionalFormatting>
  <conditionalFormatting sqref="I73">
    <cfRule type="cellIs" dxfId="2769" priority="117" stopIfTrue="1" operator="greaterThan">
      <formula>$H$73</formula>
    </cfRule>
  </conditionalFormatting>
  <conditionalFormatting sqref="I73">
    <cfRule type="cellIs" dxfId="2768" priority="118" stopIfTrue="1" operator="lessThan">
      <formula>$H$73*(-1)</formula>
    </cfRule>
  </conditionalFormatting>
  <conditionalFormatting sqref="I74">
    <cfRule type="cellIs" dxfId="2767" priority="119" stopIfTrue="1" operator="greaterThan">
      <formula>$H$74</formula>
    </cfRule>
  </conditionalFormatting>
  <conditionalFormatting sqref="I74">
    <cfRule type="cellIs" dxfId="2766" priority="120" stopIfTrue="1" operator="lessThan">
      <formula>$H$74*(-1)</formula>
    </cfRule>
  </conditionalFormatting>
  <conditionalFormatting sqref="I75">
    <cfRule type="cellIs" dxfId="2765" priority="121" stopIfTrue="1" operator="greaterThan">
      <formula>$H$75</formula>
    </cfRule>
  </conditionalFormatting>
  <conditionalFormatting sqref="I75">
    <cfRule type="cellIs" dxfId="2764" priority="122" stopIfTrue="1" operator="lessThan">
      <formula>$H$75*(-1)</formula>
    </cfRule>
  </conditionalFormatting>
  <conditionalFormatting sqref="I76">
    <cfRule type="cellIs" dxfId="2763" priority="123" stopIfTrue="1" operator="greaterThan">
      <formula>$H$76</formula>
    </cfRule>
  </conditionalFormatting>
  <conditionalFormatting sqref="I76">
    <cfRule type="cellIs" dxfId="2762" priority="124" stopIfTrue="1" operator="lessThan">
      <formula>$H$76*(-1)</formula>
    </cfRule>
  </conditionalFormatting>
  <conditionalFormatting sqref="I77">
    <cfRule type="cellIs" dxfId="2761" priority="125" stopIfTrue="1" operator="greaterThan">
      <formula>$H$77</formula>
    </cfRule>
  </conditionalFormatting>
  <conditionalFormatting sqref="I77">
    <cfRule type="cellIs" dxfId="2760" priority="126" stopIfTrue="1" operator="lessThan">
      <formula>$H$77*(-1)</formula>
    </cfRule>
  </conditionalFormatting>
  <conditionalFormatting sqref="I78">
    <cfRule type="cellIs" dxfId="2759" priority="127" stopIfTrue="1" operator="greaterThan">
      <formula>$H$78</formula>
    </cfRule>
  </conditionalFormatting>
  <conditionalFormatting sqref="I78">
    <cfRule type="cellIs" dxfId="2758" priority="128" stopIfTrue="1" operator="lessThan">
      <formula>$H$78*(-1)</formula>
    </cfRule>
  </conditionalFormatting>
  <conditionalFormatting sqref="I79">
    <cfRule type="cellIs" dxfId="2757" priority="129" stopIfTrue="1" operator="greaterThan">
      <formula>$H$79</formula>
    </cfRule>
  </conditionalFormatting>
  <conditionalFormatting sqref="I79">
    <cfRule type="cellIs" dxfId="2756" priority="130" stopIfTrue="1" operator="lessThan">
      <formula>$H$79*(-1)</formula>
    </cfRule>
  </conditionalFormatting>
  <conditionalFormatting sqref="I80">
    <cfRule type="cellIs" dxfId="2755" priority="131" stopIfTrue="1" operator="greaterThan">
      <formula>$H$80</formula>
    </cfRule>
  </conditionalFormatting>
  <conditionalFormatting sqref="I80">
    <cfRule type="cellIs" dxfId="2754" priority="132" stopIfTrue="1" operator="lessThan">
      <formula>$H$80*(-1)</formula>
    </cfRule>
  </conditionalFormatting>
  <conditionalFormatting sqref="I81">
    <cfRule type="cellIs" dxfId="2753" priority="133" stopIfTrue="1" operator="greaterThan">
      <formula>$H$81</formula>
    </cfRule>
  </conditionalFormatting>
  <conditionalFormatting sqref="I81">
    <cfRule type="cellIs" dxfId="2752" priority="134" stopIfTrue="1" operator="lessThan">
      <formula>$H$81*(-1)</formula>
    </cfRule>
  </conditionalFormatting>
  <conditionalFormatting sqref="I82">
    <cfRule type="cellIs" dxfId="2751" priority="135" stopIfTrue="1" operator="greaterThan">
      <formula>$H$82</formula>
    </cfRule>
  </conditionalFormatting>
  <conditionalFormatting sqref="I82">
    <cfRule type="cellIs" dxfId="2750" priority="136" stopIfTrue="1" operator="lessThan">
      <formula>$H$82*(-1)</formula>
    </cfRule>
  </conditionalFormatting>
  <conditionalFormatting sqref="I83">
    <cfRule type="cellIs" dxfId="2749" priority="137" stopIfTrue="1" operator="greaterThan">
      <formula>$H$83</formula>
    </cfRule>
  </conditionalFormatting>
  <conditionalFormatting sqref="I83">
    <cfRule type="cellIs" dxfId="2748" priority="138" stopIfTrue="1" operator="lessThan">
      <formula>$H$83*(-1)</formula>
    </cfRule>
  </conditionalFormatting>
  <conditionalFormatting sqref="I84">
    <cfRule type="cellIs" dxfId="2747" priority="139" stopIfTrue="1" operator="greaterThan">
      <formula>$H$84</formula>
    </cfRule>
  </conditionalFormatting>
  <conditionalFormatting sqref="I84">
    <cfRule type="cellIs" dxfId="2746" priority="140" stopIfTrue="1" operator="lessThan">
      <formula>$H$84*(-1)</formula>
    </cfRule>
  </conditionalFormatting>
  <conditionalFormatting sqref="I85">
    <cfRule type="cellIs" dxfId="2745" priority="141" stopIfTrue="1" operator="greaterThan">
      <formula>$H$85</formula>
    </cfRule>
  </conditionalFormatting>
  <conditionalFormatting sqref="I85">
    <cfRule type="cellIs" dxfId="2744" priority="142" stopIfTrue="1" operator="lessThan">
      <formula>$H$85*(-1)</formula>
    </cfRule>
  </conditionalFormatting>
  <conditionalFormatting sqref="I86">
    <cfRule type="cellIs" dxfId="2743" priority="143" stopIfTrue="1" operator="greaterThan">
      <formula>$H$86</formula>
    </cfRule>
  </conditionalFormatting>
  <conditionalFormatting sqref="I86">
    <cfRule type="cellIs" dxfId="2742" priority="144" stopIfTrue="1" operator="lessThan">
      <formula>$H$86*(-1)</formula>
    </cfRule>
  </conditionalFormatting>
  <conditionalFormatting sqref="I87">
    <cfRule type="cellIs" dxfId="2741" priority="145" stopIfTrue="1" operator="greaterThan">
      <formula>$H$87</formula>
    </cfRule>
  </conditionalFormatting>
  <conditionalFormatting sqref="I87">
    <cfRule type="cellIs" dxfId="2740" priority="146" stopIfTrue="1" operator="lessThan">
      <formula>$H$87*(-1)</formula>
    </cfRule>
  </conditionalFormatting>
  <conditionalFormatting sqref="I88">
    <cfRule type="cellIs" dxfId="2739" priority="147" stopIfTrue="1" operator="greaterThan">
      <formula>$H$88</formula>
    </cfRule>
  </conditionalFormatting>
  <conditionalFormatting sqref="I88">
    <cfRule type="cellIs" dxfId="2738" priority="148" stopIfTrue="1" operator="lessThan">
      <formula>$H$88*(-1)</formula>
    </cfRule>
  </conditionalFormatting>
  <conditionalFormatting sqref="I89">
    <cfRule type="cellIs" dxfId="2737" priority="149" stopIfTrue="1" operator="greaterThan">
      <formula>$H$89</formula>
    </cfRule>
  </conditionalFormatting>
  <conditionalFormatting sqref="I89">
    <cfRule type="cellIs" dxfId="2736" priority="150" stopIfTrue="1" operator="lessThan">
      <formula>$H$89*(-1)</formula>
    </cfRule>
  </conditionalFormatting>
  <conditionalFormatting sqref="I90">
    <cfRule type="cellIs" dxfId="2735" priority="151" stopIfTrue="1" operator="greaterThan">
      <formula>$H$90</formula>
    </cfRule>
  </conditionalFormatting>
  <conditionalFormatting sqref="I90">
    <cfRule type="cellIs" dxfId="2734" priority="152" stopIfTrue="1" operator="lessThan">
      <formula>$H$90*(-1)</formula>
    </cfRule>
  </conditionalFormatting>
  <conditionalFormatting sqref="I91">
    <cfRule type="cellIs" dxfId="2733" priority="153" stopIfTrue="1" operator="greaterThan">
      <formula>$H$91</formula>
    </cfRule>
  </conditionalFormatting>
  <conditionalFormatting sqref="I91">
    <cfRule type="cellIs" dxfId="2732" priority="154" stopIfTrue="1" operator="lessThan">
      <formula>$H$91*(-1)</formula>
    </cfRule>
  </conditionalFormatting>
  <conditionalFormatting sqref="I92">
    <cfRule type="cellIs" dxfId="2731" priority="155" stopIfTrue="1" operator="greaterThan">
      <formula>$H$92</formula>
    </cfRule>
  </conditionalFormatting>
  <conditionalFormatting sqref="I92">
    <cfRule type="cellIs" dxfId="2730" priority="156" stopIfTrue="1" operator="lessThan">
      <formula>$H$92*(-1)</formula>
    </cfRule>
  </conditionalFormatting>
  <conditionalFormatting sqref="I93">
    <cfRule type="cellIs" dxfId="2729" priority="157" stopIfTrue="1" operator="greaterThan">
      <formula>$H$93</formula>
    </cfRule>
  </conditionalFormatting>
  <conditionalFormatting sqref="I93">
    <cfRule type="cellIs" dxfId="2728" priority="158" stopIfTrue="1" operator="lessThan">
      <formula>$H$93*(-1)</formula>
    </cfRule>
  </conditionalFormatting>
  <conditionalFormatting sqref="I94">
    <cfRule type="cellIs" dxfId="2727" priority="159" stopIfTrue="1" operator="greaterThan">
      <formula>$H$94</formula>
    </cfRule>
  </conditionalFormatting>
  <conditionalFormatting sqref="I94">
    <cfRule type="cellIs" dxfId="2726" priority="160" stopIfTrue="1" operator="lessThan">
      <formula>$H$94*(-1)</formula>
    </cfRule>
  </conditionalFormatting>
  <conditionalFormatting sqref="I95">
    <cfRule type="cellIs" dxfId="2725" priority="161" stopIfTrue="1" operator="greaterThan">
      <formula>$H$95</formula>
    </cfRule>
  </conditionalFormatting>
  <conditionalFormatting sqref="I95">
    <cfRule type="cellIs" dxfId="2724" priority="162" stopIfTrue="1" operator="lessThan">
      <formula>$H$95*(-1)</formula>
    </cfRule>
  </conditionalFormatting>
  <conditionalFormatting sqref="I96">
    <cfRule type="cellIs" dxfId="2723" priority="163" stopIfTrue="1" operator="greaterThan">
      <formula>$H$96</formula>
    </cfRule>
  </conditionalFormatting>
  <conditionalFormatting sqref="I96">
    <cfRule type="cellIs" dxfId="2722" priority="164" stopIfTrue="1" operator="lessThan">
      <formula>$H$96*(-1)</formula>
    </cfRule>
  </conditionalFormatting>
  <conditionalFormatting sqref="I97">
    <cfRule type="cellIs" dxfId="2721" priority="165" stopIfTrue="1" operator="greaterThan">
      <formula>$H$97</formula>
    </cfRule>
  </conditionalFormatting>
  <conditionalFormatting sqref="I97">
    <cfRule type="cellIs" dxfId="2720" priority="166" stopIfTrue="1" operator="lessThan">
      <formula>$H$97*(-1)</formula>
    </cfRule>
  </conditionalFormatting>
  <conditionalFormatting sqref="I98">
    <cfRule type="cellIs" dxfId="2719" priority="167" stopIfTrue="1" operator="greaterThan">
      <formula>$H$98</formula>
    </cfRule>
  </conditionalFormatting>
  <conditionalFormatting sqref="I98">
    <cfRule type="cellIs" dxfId="2718" priority="168" stopIfTrue="1" operator="lessThan">
      <formula>$H$98*(-1)</formula>
    </cfRule>
  </conditionalFormatting>
  <conditionalFormatting sqref="I99">
    <cfRule type="cellIs" dxfId="2717" priority="169" stopIfTrue="1" operator="greaterThan">
      <formula>$H$99</formula>
    </cfRule>
  </conditionalFormatting>
  <conditionalFormatting sqref="I99">
    <cfRule type="cellIs" dxfId="2716" priority="170" stopIfTrue="1" operator="lessThan">
      <formula>$H$99*(-1)</formula>
    </cfRule>
  </conditionalFormatting>
  <conditionalFormatting sqref="I100">
    <cfRule type="cellIs" dxfId="2715" priority="171" stopIfTrue="1" operator="greaterThan">
      <formula>$H$100</formula>
    </cfRule>
  </conditionalFormatting>
  <conditionalFormatting sqref="I100">
    <cfRule type="cellIs" dxfId="2714" priority="172" stopIfTrue="1" operator="lessThan">
      <formula>$H$100*(-1)</formula>
    </cfRule>
  </conditionalFormatting>
  <conditionalFormatting sqref="I101">
    <cfRule type="cellIs" dxfId="2713" priority="173" stopIfTrue="1" operator="greaterThan">
      <formula>$H$101</formula>
    </cfRule>
  </conditionalFormatting>
  <conditionalFormatting sqref="I101">
    <cfRule type="cellIs" dxfId="2712" priority="174" stopIfTrue="1" operator="lessThan">
      <formula>$H$101*(-1)</formula>
    </cfRule>
  </conditionalFormatting>
  <conditionalFormatting sqref="I102">
    <cfRule type="cellIs" dxfId="2711" priority="175" stopIfTrue="1" operator="greaterThan">
      <formula>$H$102</formula>
    </cfRule>
  </conditionalFormatting>
  <conditionalFormatting sqref="I102">
    <cfRule type="cellIs" dxfId="2710" priority="176" stopIfTrue="1" operator="lessThan">
      <formula>$H$102*(-1)</formula>
    </cfRule>
  </conditionalFormatting>
  <conditionalFormatting sqref="I103">
    <cfRule type="cellIs" dxfId="2709" priority="177" stopIfTrue="1" operator="greaterThan">
      <formula>$H$103</formula>
    </cfRule>
  </conditionalFormatting>
  <conditionalFormatting sqref="I103">
    <cfRule type="cellIs" dxfId="2708" priority="178" stopIfTrue="1" operator="lessThan">
      <formula>$H$103*(-1)</formula>
    </cfRule>
  </conditionalFormatting>
  <conditionalFormatting sqref="I104">
    <cfRule type="cellIs" dxfId="2707" priority="179" stopIfTrue="1" operator="greaterThan">
      <formula>$H$104</formula>
    </cfRule>
  </conditionalFormatting>
  <conditionalFormatting sqref="I104">
    <cfRule type="cellIs" dxfId="2706" priority="180" stopIfTrue="1" operator="lessThan">
      <formula>$H$104*(-1)</formula>
    </cfRule>
  </conditionalFormatting>
  <conditionalFormatting sqref="I105">
    <cfRule type="cellIs" dxfId="2705" priority="181" stopIfTrue="1" operator="greaterThan">
      <formula>$H$105</formula>
    </cfRule>
  </conditionalFormatting>
  <conditionalFormatting sqref="I105">
    <cfRule type="cellIs" dxfId="2704" priority="182" stopIfTrue="1" operator="lessThan">
      <formula>$H$105*(-1)</formula>
    </cfRule>
  </conditionalFormatting>
  <conditionalFormatting sqref="I106">
    <cfRule type="cellIs" dxfId="2703" priority="183" stopIfTrue="1" operator="greaterThan">
      <formula>$H$106</formula>
    </cfRule>
  </conditionalFormatting>
  <conditionalFormatting sqref="I106">
    <cfRule type="cellIs" dxfId="2702" priority="184" stopIfTrue="1" operator="lessThan">
      <formula>$H$106*(-1)</formula>
    </cfRule>
  </conditionalFormatting>
  <conditionalFormatting sqref="I107">
    <cfRule type="cellIs" dxfId="2701" priority="185" stopIfTrue="1" operator="greaterThan">
      <formula>$H$107</formula>
    </cfRule>
  </conditionalFormatting>
  <conditionalFormatting sqref="I107">
    <cfRule type="cellIs" dxfId="2700" priority="186" stopIfTrue="1" operator="lessThan">
      <formula>$H$107*(-1)</formula>
    </cfRule>
  </conditionalFormatting>
  <conditionalFormatting sqref="I108">
    <cfRule type="cellIs" dxfId="2699" priority="187" stopIfTrue="1" operator="greaterThan">
      <formula>$H$108</formula>
    </cfRule>
  </conditionalFormatting>
  <conditionalFormatting sqref="I108">
    <cfRule type="cellIs" dxfId="2698" priority="188" stopIfTrue="1" operator="lessThan">
      <formula>$H$108*(-1)</formula>
    </cfRule>
  </conditionalFormatting>
  <conditionalFormatting sqref="I109">
    <cfRule type="cellIs" dxfId="2697" priority="189" stopIfTrue="1" operator="greaterThan">
      <formula>$H$109</formula>
    </cfRule>
  </conditionalFormatting>
  <conditionalFormatting sqref="I109">
    <cfRule type="cellIs" dxfId="2696" priority="190" stopIfTrue="1" operator="lessThan">
      <formula>$H$109*(-1)</formula>
    </cfRule>
  </conditionalFormatting>
  <conditionalFormatting sqref="I110">
    <cfRule type="cellIs" dxfId="2695" priority="191" stopIfTrue="1" operator="greaterThan">
      <formula>$H$110</formula>
    </cfRule>
  </conditionalFormatting>
  <conditionalFormatting sqref="I110">
    <cfRule type="cellIs" dxfId="2694" priority="192" stopIfTrue="1" operator="lessThan">
      <formula>$H$110*(-1)</formula>
    </cfRule>
  </conditionalFormatting>
  <conditionalFormatting sqref="I111">
    <cfRule type="cellIs" dxfId="2693" priority="193" stopIfTrue="1" operator="greaterThan">
      <formula>$H$111</formula>
    </cfRule>
  </conditionalFormatting>
  <conditionalFormatting sqref="I111">
    <cfRule type="cellIs" dxfId="2692" priority="194" stopIfTrue="1" operator="lessThan">
      <formula>$H$111*(-1)</formula>
    </cfRule>
  </conditionalFormatting>
  <conditionalFormatting sqref="I112">
    <cfRule type="cellIs" dxfId="2691" priority="195" stopIfTrue="1" operator="greaterThan">
      <formula>$H$112</formula>
    </cfRule>
  </conditionalFormatting>
  <conditionalFormatting sqref="I112">
    <cfRule type="cellIs" dxfId="2690" priority="196" stopIfTrue="1" operator="lessThan">
      <formula>$H$112*(-1)</formula>
    </cfRule>
  </conditionalFormatting>
  <conditionalFormatting sqref="I113">
    <cfRule type="cellIs" dxfId="2689" priority="197" stopIfTrue="1" operator="greaterThan">
      <formula>$H$113</formula>
    </cfRule>
  </conditionalFormatting>
  <conditionalFormatting sqref="I113">
    <cfRule type="cellIs" dxfId="2688" priority="198" stopIfTrue="1" operator="lessThan">
      <formula>$H$113*(-1)</formula>
    </cfRule>
  </conditionalFormatting>
  <conditionalFormatting sqref="I114">
    <cfRule type="cellIs" dxfId="2687" priority="199" stopIfTrue="1" operator="greaterThan">
      <formula>$H$114</formula>
    </cfRule>
  </conditionalFormatting>
  <conditionalFormatting sqref="I114">
    <cfRule type="cellIs" dxfId="2686" priority="200" stopIfTrue="1" operator="lessThan">
      <formula>$H$114*(-1)</formula>
    </cfRule>
  </conditionalFormatting>
  <conditionalFormatting sqref="I115">
    <cfRule type="cellIs" dxfId="2685" priority="201" stopIfTrue="1" operator="greaterThan">
      <formula>$H$115</formula>
    </cfRule>
  </conditionalFormatting>
  <conditionalFormatting sqref="I115">
    <cfRule type="cellIs" dxfId="2684" priority="202" stopIfTrue="1" operator="lessThan">
      <formula>$H$115*(-1)</formula>
    </cfRule>
  </conditionalFormatting>
  <conditionalFormatting sqref="I116">
    <cfRule type="cellIs" dxfId="2683" priority="203" stopIfTrue="1" operator="greaterThan">
      <formula>$H$116</formula>
    </cfRule>
  </conditionalFormatting>
  <conditionalFormatting sqref="I116">
    <cfRule type="cellIs" dxfId="2682" priority="204" stopIfTrue="1" operator="lessThan">
      <formula>$H$116*(-1)</formula>
    </cfRule>
  </conditionalFormatting>
  <conditionalFormatting sqref="I117">
    <cfRule type="cellIs" dxfId="2681" priority="205" stopIfTrue="1" operator="greaterThan">
      <formula>$H$117</formula>
    </cfRule>
  </conditionalFormatting>
  <conditionalFormatting sqref="I117">
    <cfRule type="cellIs" dxfId="2680" priority="206" stopIfTrue="1" operator="lessThan">
      <formula>$H$117*(-1)</formula>
    </cfRule>
  </conditionalFormatting>
  <conditionalFormatting sqref="I118">
    <cfRule type="cellIs" dxfId="2679" priority="207" stopIfTrue="1" operator="greaterThan">
      <formula>$H$118</formula>
    </cfRule>
  </conditionalFormatting>
  <conditionalFormatting sqref="I118">
    <cfRule type="cellIs" dxfId="2678" priority="208" stopIfTrue="1" operator="lessThan">
      <formula>$H$118*(-1)</formula>
    </cfRule>
  </conditionalFormatting>
  <conditionalFormatting sqref="I119">
    <cfRule type="cellIs" dxfId="2677" priority="209" stopIfTrue="1" operator="greaterThan">
      <formula>$H$119</formula>
    </cfRule>
  </conditionalFormatting>
  <conditionalFormatting sqref="I119">
    <cfRule type="cellIs" dxfId="2676" priority="210" stopIfTrue="1" operator="lessThan">
      <formula>$H$119*(-1)</formula>
    </cfRule>
  </conditionalFormatting>
  <conditionalFormatting sqref="I120">
    <cfRule type="cellIs" dxfId="2675" priority="211" stopIfTrue="1" operator="greaterThan">
      <formula>$H$120</formula>
    </cfRule>
  </conditionalFormatting>
  <conditionalFormatting sqref="I120">
    <cfRule type="cellIs" dxfId="2674" priority="212" stopIfTrue="1" operator="lessThan">
      <formula>$H$120*(-1)</formula>
    </cfRule>
  </conditionalFormatting>
  <conditionalFormatting sqref="I121">
    <cfRule type="cellIs" dxfId="2673" priority="213" stopIfTrue="1" operator="greaterThan">
      <formula>$H$121</formula>
    </cfRule>
  </conditionalFormatting>
  <conditionalFormatting sqref="I121">
    <cfRule type="cellIs" dxfId="2672" priority="214" stopIfTrue="1" operator="lessThan">
      <formula>$H$121*(-1)</formula>
    </cfRule>
  </conditionalFormatting>
  <conditionalFormatting sqref="I122">
    <cfRule type="cellIs" dxfId="2671" priority="215" stopIfTrue="1" operator="greaterThan">
      <formula>$H$122</formula>
    </cfRule>
  </conditionalFormatting>
  <conditionalFormatting sqref="I122">
    <cfRule type="cellIs" dxfId="2670" priority="216" stopIfTrue="1" operator="lessThan">
      <formula>$H$122*(-1)</formula>
    </cfRule>
  </conditionalFormatting>
  <conditionalFormatting sqref="I123">
    <cfRule type="cellIs" dxfId="2669" priority="217" stopIfTrue="1" operator="greaterThan">
      <formula>$H$123</formula>
    </cfRule>
  </conditionalFormatting>
  <conditionalFormatting sqref="I123">
    <cfRule type="cellIs" dxfId="2668" priority="218" stopIfTrue="1" operator="lessThan">
      <formula>$H$123*(-1)</formula>
    </cfRule>
  </conditionalFormatting>
  <conditionalFormatting sqref="I124">
    <cfRule type="cellIs" dxfId="2667" priority="219" stopIfTrue="1" operator="greaterThan">
      <formula>$H$124</formula>
    </cfRule>
  </conditionalFormatting>
  <conditionalFormatting sqref="I124">
    <cfRule type="cellIs" dxfId="2666" priority="220" stopIfTrue="1" operator="lessThan">
      <formula>$H$124*(-1)</formula>
    </cfRule>
  </conditionalFormatting>
  <conditionalFormatting sqref="I125">
    <cfRule type="cellIs" dxfId="2665" priority="221" stopIfTrue="1" operator="greaterThan">
      <formula>$H$125</formula>
    </cfRule>
  </conditionalFormatting>
  <conditionalFormatting sqref="I125">
    <cfRule type="cellIs" dxfId="2664" priority="222" stopIfTrue="1" operator="lessThan">
      <formula>$H$125*(-1)</formula>
    </cfRule>
  </conditionalFormatting>
  <conditionalFormatting sqref="I126">
    <cfRule type="cellIs" dxfId="2663" priority="223" stopIfTrue="1" operator="greaterThan">
      <formula>$H$126</formula>
    </cfRule>
  </conditionalFormatting>
  <conditionalFormatting sqref="I126">
    <cfRule type="cellIs" dxfId="2662" priority="224" stopIfTrue="1" operator="lessThan">
      <formula>$H$126*(-1)</formula>
    </cfRule>
  </conditionalFormatting>
  <conditionalFormatting sqref="I127">
    <cfRule type="cellIs" dxfId="2661" priority="225" stopIfTrue="1" operator="greaterThan">
      <formula>$H$127</formula>
    </cfRule>
  </conditionalFormatting>
  <conditionalFormatting sqref="I127">
    <cfRule type="cellIs" dxfId="2660" priority="226" stopIfTrue="1" operator="lessThan">
      <formula>$H$127*(-1)</formula>
    </cfRule>
  </conditionalFormatting>
  <conditionalFormatting sqref="I128">
    <cfRule type="cellIs" dxfId="2659" priority="227" stopIfTrue="1" operator="greaterThan">
      <formula>$H$128</formula>
    </cfRule>
  </conditionalFormatting>
  <conditionalFormatting sqref="I128">
    <cfRule type="cellIs" dxfId="2658" priority="228" stopIfTrue="1" operator="lessThan">
      <formula>$H$128*(-1)</formula>
    </cfRule>
  </conditionalFormatting>
  <conditionalFormatting sqref="I129">
    <cfRule type="cellIs" dxfId="2657" priority="229" stopIfTrue="1" operator="greaterThan">
      <formula>$H$129</formula>
    </cfRule>
  </conditionalFormatting>
  <conditionalFormatting sqref="I129">
    <cfRule type="cellIs" dxfId="2656" priority="230" stopIfTrue="1" operator="lessThan">
      <formula>$H$129*(-1)</formula>
    </cfRule>
  </conditionalFormatting>
  <conditionalFormatting sqref="I130">
    <cfRule type="cellIs" dxfId="2655" priority="231" stopIfTrue="1" operator="greaterThan">
      <formula>$H$130</formula>
    </cfRule>
  </conditionalFormatting>
  <conditionalFormatting sqref="I130">
    <cfRule type="cellIs" dxfId="2654" priority="232" stopIfTrue="1" operator="lessThan">
      <formula>$H$130*(-1)</formula>
    </cfRule>
  </conditionalFormatting>
  <conditionalFormatting sqref="I131">
    <cfRule type="cellIs" dxfId="2653" priority="233" stopIfTrue="1" operator="greaterThan">
      <formula>$H$131</formula>
    </cfRule>
  </conditionalFormatting>
  <conditionalFormatting sqref="I131">
    <cfRule type="cellIs" dxfId="2652" priority="234" stopIfTrue="1" operator="lessThan">
      <formula>$H$131*(-1)</formula>
    </cfRule>
  </conditionalFormatting>
  <conditionalFormatting sqref="I132">
    <cfRule type="cellIs" dxfId="2651" priority="235" stopIfTrue="1" operator="greaterThan">
      <formula>$H$132</formula>
    </cfRule>
  </conditionalFormatting>
  <conditionalFormatting sqref="I132">
    <cfRule type="cellIs" dxfId="2650" priority="236" stopIfTrue="1" operator="lessThan">
      <formula>$H$132*(-1)</formula>
    </cfRule>
  </conditionalFormatting>
  <conditionalFormatting sqref="I133">
    <cfRule type="cellIs" dxfId="2649" priority="237" stopIfTrue="1" operator="greaterThan">
      <formula>$H$133</formula>
    </cfRule>
  </conditionalFormatting>
  <conditionalFormatting sqref="I133">
    <cfRule type="cellIs" dxfId="2648" priority="238" stopIfTrue="1" operator="lessThan">
      <formula>$H$133*(-1)</formula>
    </cfRule>
  </conditionalFormatting>
  <conditionalFormatting sqref="I134">
    <cfRule type="cellIs" dxfId="2647" priority="239" stopIfTrue="1" operator="greaterThan">
      <formula>$H$134</formula>
    </cfRule>
  </conditionalFormatting>
  <conditionalFormatting sqref="I134">
    <cfRule type="cellIs" dxfId="2646" priority="240" stopIfTrue="1" operator="lessThan">
      <formula>$H$134*(-1)</formula>
    </cfRule>
  </conditionalFormatting>
  <conditionalFormatting sqref="I135">
    <cfRule type="cellIs" dxfId="2645" priority="241" stopIfTrue="1" operator="greaterThan">
      <formula>$H$135</formula>
    </cfRule>
  </conditionalFormatting>
  <conditionalFormatting sqref="I135">
    <cfRule type="cellIs" dxfId="2644" priority="242" stopIfTrue="1" operator="lessThan">
      <formula>$H$135*(-1)</formula>
    </cfRule>
  </conditionalFormatting>
  <conditionalFormatting sqref="I136">
    <cfRule type="cellIs" dxfId="2643" priority="243" stopIfTrue="1" operator="greaterThan">
      <formula>$H$136</formula>
    </cfRule>
  </conditionalFormatting>
  <conditionalFormatting sqref="I136">
    <cfRule type="cellIs" dxfId="2642" priority="244" stopIfTrue="1" operator="lessThan">
      <formula>$H$136*(-1)</formula>
    </cfRule>
  </conditionalFormatting>
  <conditionalFormatting sqref="I137">
    <cfRule type="cellIs" dxfId="2641" priority="245" stopIfTrue="1" operator="greaterThan">
      <formula>$H$137</formula>
    </cfRule>
  </conditionalFormatting>
  <conditionalFormatting sqref="I137">
    <cfRule type="cellIs" dxfId="2640" priority="246" stopIfTrue="1" operator="lessThan">
      <formula>$H$137*(-1)</formula>
    </cfRule>
  </conditionalFormatting>
  <conditionalFormatting sqref="I138">
    <cfRule type="cellIs" dxfId="2639" priority="247" stopIfTrue="1" operator="greaterThan">
      <formula>$H$138</formula>
    </cfRule>
  </conditionalFormatting>
  <conditionalFormatting sqref="I138">
    <cfRule type="cellIs" dxfId="2638" priority="248" stopIfTrue="1" operator="lessThan">
      <formula>$H$138*(-1)</formula>
    </cfRule>
  </conditionalFormatting>
  <conditionalFormatting sqref="I139">
    <cfRule type="cellIs" dxfId="2637" priority="249" stopIfTrue="1" operator="greaterThan">
      <formula>$H$139</formula>
    </cfRule>
  </conditionalFormatting>
  <conditionalFormatting sqref="I139">
    <cfRule type="cellIs" dxfId="2636" priority="250" stopIfTrue="1" operator="lessThan">
      <formula>$H$139*(-1)</formula>
    </cfRule>
  </conditionalFormatting>
  <conditionalFormatting sqref="I140">
    <cfRule type="cellIs" dxfId="2635" priority="251" stopIfTrue="1" operator="greaterThan">
      <formula>$H$140</formula>
    </cfRule>
  </conditionalFormatting>
  <conditionalFormatting sqref="I140">
    <cfRule type="cellIs" dxfId="2634" priority="252" stopIfTrue="1" operator="lessThan">
      <formula>$H$140*(-1)</formula>
    </cfRule>
  </conditionalFormatting>
  <conditionalFormatting sqref="I141">
    <cfRule type="cellIs" dxfId="2633" priority="253" stopIfTrue="1" operator="greaterThan">
      <formula>$H$141</formula>
    </cfRule>
  </conditionalFormatting>
  <conditionalFormatting sqref="I141">
    <cfRule type="cellIs" dxfId="2632" priority="254" stopIfTrue="1" operator="lessThan">
      <formula>$H$141*(-1)</formula>
    </cfRule>
  </conditionalFormatting>
  <conditionalFormatting sqref="I142">
    <cfRule type="cellIs" dxfId="2631" priority="255" stopIfTrue="1" operator="greaterThan">
      <formula>$H$142</formula>
    </cfRule>
  </conditionalFormatting>
  <conditionalFormatting sqref="I142">
    <cfRule type="cellIs" dxfId="2630" priority="256" stopIfTrue="1" operator="lessThan">
      <formula>$H$142*(-1)</formula>
    </cfRule>
  </conditionalFormatting>
  <conditionalFormatting sqref="I143">
    <cfRule type="cellIs" dxfId="2629" priority="257" stopIfTrue="1" operator="greaterThan">
      <formula>$H$143</formula>
    </cfRule>
  </conditionalFormatting>
  <conditionalFormatting sqref="I143">
    <cfRule type="cellIs" dxfId="2628" priority="258" stopIfTrue="1" operator="lessThan">
      <formula>$H$143*(-1)</formula>
    </cfRule>
  </conditionalFormatting>
  <conditionalFormatting sqref="I144">
    <cfRule type="cellIs" dxfId="2627" priority="259" stopIfTrue="1" operator="greaterThan">
      <formula>$H$144</formula>
    </cfRule>
  </conditionalFormatting>
  <conditionalFormatting sqref="I144">
    <cfRule type="cellIs" dxfId="2626" priority="260" stopIfTrue="1" operator="lessThan">
      <formula>$H$144*(-1)</formula>
    </cfRule>
  </conditionalFormatting>
  <conditionalFormatting sqref="I145">
    <cfRule type="cellIs" dxfId="2625" priority="261" stopIfTrue="1" operator="greaterThan">
      <formula>$H$145</formula>
    </cfRule>
  </conditionalFormatting>
  <conditionalFormatting sqref="I145">
    <cfRule type="cellIs" dxfId="2624" priority="262" stopIfTrue="1" operator="lessThan">
      <formula>$H$145*(-1)</formula>
    </cfRule>
  </conditionalFormatting>
  <conditionalFormatting sqref="I146">
    <cfRule type="cellIs" dxfId="2623" priority="263" stopIfTrue="1" operator="greaterThan">
      <formula>$H$146</formula>
    </cfRule>
  </conditionalFormatting>
  <conditionalFormatting sqref="I146">
    <cfRule type="cellIs" dxfId="2622" priority="264" stopIfTrue="1" operator="lessThan">
      <formula>$H$146*(-1)</formula>
    </cfRule>
  </conditionalFormatting>
  <conditionalFormatting sqref="I147">
    <cfRule type="cellIs" dxfId="2621" priority="265" stopIfTrue="1" operator="greaterThan">
      <formula>$H$147</formula>
    </cfRule>
  </conditionalFormatting>
  <conditionalFormatting sqref="I147">
    <cfRule type="cellIs" dxfId="2620" priority="266" stopIfTrue="1" operator="lessThan">
      <formula>$H$147*(-1)</formula>
    </cfRule>
  </conditionalFormatting>
  <conditionalFormatting sqref="I148">
    <cfRule type="cellIs" dxfId="2619" priority="267" stopIfTrue="1" operator="greaterThan">
      <formula>$H$148</formula>
    </cfRule>
  </conditionalFormatting>
  <conditionalFormatting sqref="I148">
    <cfRule type="cellIs" dxfId="2618" priority="268" stopIfTrue="1" operator="lessThan">
      <formula>$H$148*(-1)</formula>
    </cfRule>
  </conditionalFormatting>
  <conditionalFormatting sqref="I149">
    <cfRule type="cellIs" dxfId="2617" priority="269" stopIfTrue="1" operator="greaterThan">
      <formula>$H$149</formula>
    </cfRule>
  </conditionalFormatting>
  <conditionalFormatting sqref="I149">
    <cfRule type="cellIs" dxfId="2616" priority="270" stopIfTrue="1" operator="lessThan">
      <formula>$H$149*(-1)</formula>
    </cfRule>
  </conditionalFormatting>
  <conditionalFormatting sqref="I150">
    <cfRule type="cellIs" dxfId="2615" priority="271" stopIfTrue="1" operator="greaterThan">
      <formula>$H$150</formula>
    </cfRule>
  </conditionalFormatting>
  <conditionalFormatting sqref="I150">
    <cfRule type="cellIs" dxfId="2614" priority="272" stopIfTrue="1" operator="lessThan">
      <formula>$H$150*(-1)</formula>
    </cfRule>
  </conditionalFormatting>
  <conditionalFormatting sqref="I151">
    <cfRule type="cellIs" dxfId="2613" priority="273" stopIfTrue="1" operator="greaterThan">
      <formula>$H$151</formula>
    </cfRule>
  </conditionalFormatting>
  <conditionalFormatting sqref="I151">
    <cfRule type="cellIs" dxfId="2612" priority="274" stopIfTrue="1" operator="lessThan">
      <formula>$H$151*(-1)</formula>
    </cfRule>
  </conditionalFormatting>
  <conditionalFormatting sqref="I152">
    <cfRule type="cellIs" dxfId="2611" priority="275" stopIfTrue="1" operator="greaterThan">
      <formula>$H$152</formula>
    </cfRule>
  </conditionalFormatting>
  <conditionalFormatting sqref="I152">
    <cfRule type="cellIs" dxfId="2610" priority="276" stopIfTrue="1" operator="lessThan">
      <formula>$H$152*(-1)</formula>
    </cfRule>
  </conditionalFormatting>
  <conditionalFormatting sqref="I153">
    <cfRule type="cellIs" dxfId="2609" priority="277" stopIfTrue="1" operator="greaterThan">
      <formula>$H$153</formula>
    </cfRule>
  </conditionalFormatting>
  <conditionalFormatting sqref="I153">
    <cfRule type="cellIs" dxfId="2608" priority="278" stopIfTrue="1" operator="lessThan">
      <formula>$H$153*(-1)</formula>
    </cfRule>
  </conditionalFormatting>
  <conditionalFormatting sqref="I154">
    <cfRule type="cellIs" dxfId="2607" priority="279" stopIfTrue="1" operator="greaterThan">
      <formula>$H$154</formula>
    </cfRule>
  </conditionalFormatting>
  <conditionalFormatting sqref="I154">
    <cfRule type="cellIs" dxfId="2606" priority="280" stopIfTrue="1" operator="lessThan">
      <formula>$H$154*(-1)</formula>
    </cfRule>
  </conditionalFormatting>
  <conditionalFormatting sqref="I155">
    <cfRule type="cellIs" dxfId="2605" priority="281" stopIfTrue="1" operator="greaterThan">
      <formula>$H$155</formula>
    </cfRule>
  </conditionalFormatting>
  <conditionalFormatting sqref="I155">
    <cfRule type="cellIs" dxfId="2604" priority="282" stopIfTrue="1" operator="lessThan">
      <formula>$H$155*(-1)</formula>
    </cfRule>
  </conditionalFormatting>
  <conditionalFormatting sqref="I156">
    <cfRule type="cellIs" dxfId="2603" priority="283" stopIfTrue="1" operator="greaterThan">
      <formula>$H$156</formula>
    </cfRule>
  </conditionalFormatting>
  <conditionalFormatting sqref="I156">
    <cfRule type="cellIs" dxfId="2602" priority="284" stopIfTrue="1" operator="lessThan">
      <formula>$H$156*(-1)</formula>
    </cfRule>
  </conditionalFormatting>
  <conditionalFormatting sqref="I157">
    <cfRule type="cellIs" dxfId="2601" priority="285" stopIfTrue="1" operator="greaterThan">
      <formula>$H$157</formula>
    </cfRule>
  </conditionalFormatting>
  <conditionalFormatting sqref="I157">
    <cfRule type="cellIs" dxfId="2600" priority="286" stopIfTrue="1" operator="lessThan">
      <formula>$H$157*(-1)</formula>
    </cfRule>
  </conditionalFormatting>
  <conditionalFormatting sqref="I158">
    <cfRule type="cellIs" dxfId="2599" priority="287" stopIfTrue="1" operator="greaterThan">
      <formula>$H$158</formula>
    </cfRule>
  </conditionalFormatting>
  <conditionalFormatting sqref="I158">
    <cfRule type="cellIs" dxfId="2598" priority="288" stopIfTrue="1" operator="lessThan">
      <formula>$H$158*(-1)</formula>
    </cfRule>
  </conditionalFormatting>
  <conditionalFormatting sqref="I159">
    <cfRule type="cellIs" dxfId="2597" priority="289" stopIfTrue="1" operator="greaterThan">
      <formula>$H$159</formula>
    </cfRule>
  </conditionalFormatting>
  <conditionalFormatting sqref="I159">
    <cfRule type="cellIs" dxfId="2596" priority="290" stopIfTrue="1" operator="lessThan">
      <formula>$H$159*(-1)</formula>
    </cfRule>
  </conditionalFormatting>
  <conditionalFormatting sqref="I160">
    <cfRule type="cellIs" dxfId="2595" priority="291" stopIfTrue="1" operator="greaterThan">
      <formula>$H$160</formula>
    </cfRule>
  </conditionalFormatting>
  <conditionalFormatting sqref="I160">
    <cfRule type="cellIs" dxfId="2594" priority="292" stopIfTrue="1" operator="lessThan">
      <formula>$H$160*(-1)</formula>
    </cfRule>
  </conditionalFormatting>
  <conditionalFormatting sqref="I161">
    <cfRule type="cellIs" dxfId="2593" priority="293" stopIfTrue="1" operator="greaterThan">
      <formula>$H$161</formula>
    </cfRule>
  </conditionalFormatting>
  <conditionalFormatting sqref="I161">
    <cfRule type="cellIs" dxfId="2592" priority="294" stopIfTrue="1" operator="lessThan">
      <formula>$H$161*(-1)</formula>
    </cfRule>
  </conditionalFormatting>
  <conditionalFormatting sqref="I162">
    <cfRule type="cellIs" dxfId="2591" priority="295" stopIfTrue="1" operator="greaterThan">
      <formula>$H$162</formula>
    </cfRule>
  </conditionalFormatting>
  <conditionalFormatting sqref="I162">
    <cfRule type="cellIs" dxfId="2590" priority="296" stopIfTrue="1" operator="lessThan">
      <formula>$H$162*(-1)</formula>
    </cfRule>
  </conditionalFormatting>
  <conditionalFormatting sqref="I163">
    <cfRule type="cellIs" dxfId="2589" priority="297" stopIfTrue="1" operator="greaterThan">
      <formula>$H$163</formula>
    </cfRule>
  </conditionalFormatting>
  <conditionalFormatting sqref="I163">
    <cfRule type="cellIs" dxfId="2588" priority="298" stopIfTrue="1" operator="lessThan">
      <formula>$H$163*(-1)</formula>
    </cfRule>
  </conditionalFormatting>
  <conditionalFormatting sqref="I164">
    <cfRule type="cellIs" dxfId="2587" priority="299" stopIfTrue="1" operator="greaterThan">
      <formula>$H$164</formula>
    </cfRule>
  </conditionalFormatting>
  <conditionalFormatting sqref="I164">
    <cfRule type="cellIs" dxfId="2586" priority="300" stopIfTrue="1" operator="lessThan">
      <formula>$H$164*(-1)</formula>
    </cfRule>
  </conditionalFormatting>
  <conditionalFormatting sqref="I165">
    <cfRule type="cellIs" dxfId="2585" priority="301" stopIfTrue="1" operator="greaterThan">
      <formula>$H$165</formula>
    </cfRule>
  </conditionalFormatting>
  <conditionalFormatting sqref="I165">
    <cfRule type="cellIs" dxfId="2584" priority="302" stopIfTrue="1" operator="lessThan">
      <formula>$H$165*(-1)</formula>
    </cfRule>
  </conditionalFormatting>
  <conditionalFormatting sqref="I166">
    <cfRule type="cellIs" dxfId="2583" priority="303" stopIfTrue="1" operator="greaterThan">
      <formula>$H$166</formula>
    </cfRule>
  </conditionalFormatting>
  <conditionalFormatting sqref="I166">
    <cfRule type="cellIs" dxfId="2582" priority="304" stopIfTrue="1" operator="lessThan">
      <formula>$H$166*(-1)</formula>
    </cfRule>
  </conditionalFormatting>
  <conditionalFormatting sqref="I167">
    <cfRule type="cellIs" dxfId="2581" priority="305" stopIfTrue="1" operator="greaterThan">
      <formula>$H$167</formula>
    </cfRule>
  </conditionalFormatting>
  <conditionalFormatting sqref="I167">
    <cfRule type="cellIs" dxfId="2580" priority="306" stopIfTrue="1" operator="lessThan">
      <formula>$H$167*(-1)</formula>
    </cfRule>
  </conditionalFormatting>
  <conditionalFormatting sqref="I168">
    <cfRule type="cellIs" dxfId="2579" priority="307" stopIfTrue="1" operator="greaterThan">
      <formula>$H$168</formula>
    </cfRule>
  </conditionalFormatting>
  <conditionalFormatting sqref="I168">
    <cfRule type="cellIs" dxfId="2578" priority="308" stopIfTrue="1" operator="lessThan">
      <formula>$H$168*(-1)</formula>
    </cfRule>
  </conditionalFormatting>
  <conditionalFormatting sqref="I169">
    <cfRule type="cellIs" dxfId="2577" priority="309" stopIfTrue="1" operator="greaterThan">
      <formula>$H$169</formula>
    </cfRule>
  </conditionalFormatting>
  <conditionalFormatting sqref="I169">
    <cfRule type="cellIs" dxfId="2576" priority="310" stopIfTrue="1" operator="lessThan">
      <formula>$H$169*(-1)</formula>
    </cfRule>
  </conditionalFormatting>
  <conditionalFormatting sqref="I170">
    <cfRule type="cellIs" dxfId="2575" priority="311" stopIfTrue="1" operator="greaterThan">
      <formula>$H$170</formula>
    </cfRule>
  </conditionalFormatting>
  <conditionalFormatting sqref="I170">
    <cfRule type="cellIs" dxfId="2574" priority="312" stopIfTrue="1" operator="lessThan">
      <formula>$H$170*(-1)</formula>
    </cfRule>
  </conditionalFormatting>
  <conditionalFormatting sqref="I171">
    <cfRule type="cellIs" dxfId="2573" priority="313" stopIfTrue="1" operator="greaterThan">
      <formula>$H$171</formula>
    </cfRule>
  </conditionalFormatting>
  <conditionalFormatting sqref="I171">
    <cfRule type="cellIs" dxfId="2572" priority="314" stopIfTrue="1" operator="lessThan">
      <formula>$H$171*(-1)</formula>
    </cfRule>
  </conditionalFormatting>
  <conditionalFormatting sqref="I172">
    <cfRule type="cellIs" dxfId="2571" priority="315" stopIfTrue="1" operator="greaterThan">
      <formula>$H$172</formula>
    </cfRule>
  </conditionalFormatting>
  <conditionalFormatting sqref="I172">
    <cfRule type="cellIs" dxfId="2570" priority="316" stopIfTrue="1" operator="lessThan">
      <formula>$H$172*(-1)</formula>
    </cfRule>
  </conditionalFormatting>
  <conditionalFormatting sqref="I173">
    <cfRule type="cellIs" dxfId="2569" priority="317" stopIfTrue="1" operator="greaterThan">
      <formula>$H$173</formula>
    </cfRule>
  </conditionalFormatting>
  <conditionalFormatting sqref="I173">
    <cfRule type="cellIs" dxfId="2568" priority="318" stopIfTrue="1" operator="lessThan">
      <formula>$H$173*(-1)</formula>
    </cfRule>
  </conditionalFormatting>
  <conditionalFormatting sqref="I174">
    <cfRule type="cellIs" dxfId="2567" priority="319" stopIfTrue="1" operator="greaterThan">
      <formula>$H$174</formula>
    </cfRule>
  </conditionalFormatting>
  <conditionalFormatting sqref="I174">
    <cfRule type="cellIs" dxfId="2566" priority="320" stopIfTrue="1" operator="lessThan">
      <formula>$H$174*(-1)</formula>
    </cfRule>
  </conditionalFormatting>
  <conditionalFormatting sqref="I175">
    <cfRule type="cellIs" dxfId="2565" priority="321" stopIfTrue="1" operator="greaterThan">
      <formula>$H$175</formula>
    </cfRule>
  </conditionalFormatting>
  <conditionalFormatting sqref="I175">
    <cfRule type="cellIs" dxfId="2564" priority="322" stopIfTrue="1" operator="lessThan">
      <formula>$H$175*(-1)</formula>
    </cfRule>
  </conditionalFormatting>
  <conditionalFormatting sqref="I176">
    <cfRule type="cellIs" dxfId="2563" priority="323" stopIfTrue="1" operator="greaterThan">
      <formula>$H$176</formula>
    </cfRule>
  </conditionalFormatting>
  <conditionalFormatting sqref="I176">
    <cfRule type="cellIs" dxfId="2562" priority="324" stopIfTrue="1" operator="lessThan">
      <formula>$H$176*(-1)</formula>
    </cfRule>
  </conditionalFormatting>
  <conditionalFormatting sqref="I177">
    <cfRule type="cellIs" dxfId="2561" priority="325" stopIfTrue="1" operator="greaterThan">
      <formula>$H$177</formula>
    </cfRule>
  </conditionalFormatting>
  <conditionalFormatting sqref="I177">
    <cfRule type="cellIs" dxfId="2560" priority="326" stopIfTrue="1" operator="lessThan">
      <formula>$H$177*(-1)</formula>
    </cfRule>
  </conditionalFormatting>
  <conditionalFormatting sqref="I178">
    <cfRule type="cellIs" dxfId="2559" priority="327" stopIfTrue="1" operator="greaterThan">
      <formula>$H$178</formula>
    </cfRule>
  </conditionalFormatting>
  <conditionalFormatting sqref="I178">
    <cfRule type="cellIs" dxfId="2558" priority="328" stopIfTrue="1" operator="lessThan">
      <formula>$H$178*(-1)</formula>
    </cfRule>
  </conditionalFormatting>
  <conditionalFormatting sqref="I179">
    <cfRule type="cellIs" dxfId="2557" priority="329" stopIfTrue="1" operator="greaterThan">
      <formula>$H$179</formula>
    </cfRule>
  </conditionalFormatting>
  <conditionalFormatting sqref="I179">
    <cfRule type="cellIs" dxfId="2556" priority="330" stopIfTrue="1" operator="lessThan">
      <formula>$H$179*(-1)</formula>
    </cfRule>
  </conditionalFormatting>
  <conditionalFormatting sqref="I180">
    <cfRule type="cellIs" dxfId="2555" priority="331" stopIfTrue="1" operator="greaterThan">
      <formula>$H$180</formula>
    </cfRule>
  </conditionalFormatting>
  <conditionalFormatting sqref="I180">
    <cfRule type="cellIs" dxfId="2554" priority="332" stopIfTrue="1" operator="lessThan">
      <formula>$H$180*(-1)</formula>
    </cfRule>
  </conditionalFormatting>
  <conditionalFormatting sqref="I181">
    <cfRule type="cellIs" dxfId="2553" priority="333" stopIfTrue="1" operator="greaterThan">
      <formula>$H$181</formula>
    </cfRule>
  </conditionalFormatting>
  <conditionalFormatting sqref="I181">
    <cfRule type="cellIs" dxfId="2552" priority="334" stopIfTrue="1" operator="lessThan">
      <formula>$H$181*(-1)</formula>
    </cfRule>
  </conditionalFormatting>
  <conditionalFormatting sqref="I182">
    <cfRule type="cellIs" dxfId="2551" priority="335" stopIfTrue="1" operator="greaterThan">
      <formula>$H$182</formula>
    </cfRule>
  </conditionalFormatting>
  <conditionalFormatting sqref="I182">
    <cfRule type="cellIs" dxfId="2550" priority="336" stopIfTrue="1" operator="lessThan">
      <formula>$H$182*(-1)</formula>
    </cfRule>
  </conditionalFormatting>
  <conditionalFormatting sqref="I183">
    <cfRule type="cellIs" dxfId="2549" priority="337" stopIfTrue="1" operator="greaterThan">
      <formula>$H$183</formula>
    </cfRule>
  </conditionalFormatting>
  <conditionalFormatting sqref="I183">
    <cfRule type="cellIs" dxfId="2548" priority="338" stopIfTrue="1" operator="lessThan">
      <formula>$H$183*(-1)</formula>
    </cfRule>
  </conditionalFormatting>
  <conditionalFormatting sqref="I184">
    <cfRule type="cellIs" dxfId="2547" priority="339" stopIfTrue="1" operator="greaterThan">
      <formula>$H$184</formula>
    </cfRule>
  </conditionalFormatting>
  <conditionalFormatting sqref="I184">
    <cfRule type="cellIs" dxfId="2546" priority="340" stopIfTrue="1" operator="lessThan">
      <formula>$H$184*(-1)</formula>
    </cfRule>
  </conditionalFormatting>
  <conditionalFormatting sqref="I185">
    <cfRule type="cellIs" dxfId="2545" priority="341" stopIfTrue="1" operator="greaterThan">
      <formula>$H$185</formula>
    </cfRule>
  </conditionalFormatting>
  <conditionalFormatting sqref="I185">
    <cfRule type="cellIs" dxfId="2544" priority="342" stopIfTrue="1" operator="lessThan">
      <formula>$H$185*(-1)</formula>
    </cfRule>
  </conditionalFormatting>
  <conditionalFormatting sqref="I186">
    <cfRule type="cellIs" dxfId="2543" priority="343" stopIfTrue="1" operator="greaterThan">
      <formula>$H$186</formula>
    </cfRule>
  </conditionalFormatting>
  <conditionalFormatting sqref="I186">
    <cfRule type="cellIs" dxfId="2542" priority="344" stopIfTrue="1" operator="lessThan">
      <formula>$H$186*(-1)</formula>
    </cfRule>
  </conditionalFormatting>
  <conditionalFormatting sqref="I187">
    <cfRule type="cellIs" dxfId="2541" priority="345" stopIfTrue="1" operator="greaterThan">
      <formula>$H$187</formula>
    </cfRule>
  </conditionalFormatting>
  <conditionalFormatting sqref="I187">
    <cfRule type="cellIs" dxfId="2540" priority="346" stopIfTrue="1" operator="lessThan">
      <formula>$H$187*(-1)</formula>
    </cfRule>
  </conditionalFormatting>
  <conditionalFormatting sqref="I188">
    <cfRule type="cellIs" dxfId="2539" priority="347" stopIfTrue="1" operator="greaterThan">
      <formula>$H$188</formula>
    </cfRule>
  </conditionalFormatting>
  <conditionalFormatting sqref="I188">
    <cfRule type="cellIs" dxfId="2538" priority="348" stopIfTrue="1" operator="lessThan">
      <formula>$H$188*(-1)</formula>
    </cfRule>
  </conditionalFormatting>
  <conditionalFormatting sqref="I189">
    <cfRule type="cellIs" dxfId="2537" priority="349" stopIfTrue="1" operator="greaterThan">
      <formula>$H$189</formula>
    </cfRule>
  </conditionalFormatting>
  <conditionalFormatting sqref="I189">
    <cfRule type="cellIs" dxfId="2536" priority="350" stopIfTrue="1" operator="lessThan">
      <formula>$H$189*(-1)</formula>
    </cfRule>
  </conditionalFormatting>
  <conditionalFormatting sqref="I190">
    <cfRule type="cellIs" dxfId="2535" priority="351" stopIfTrue="1" operator="greaterThan">
      <formula>$H$190</formula>
    </cfRule>
  </conditionalFormatting>
  <conditionalFormatting sqref="I190">
    <cfRule type="cellIs" dxfId="2534" priority="352" stopIfTrue="1" operator="lessThan">
      <formula>$H$190*(-1)</formula>
    </cfRule>
  </conditionalFormatting>
  <conditionalFormatting sqref="I191">
    <cfRule type="cellIs" dxfId="2533" priority="353" stopIfTrue="1" operator="greaterThan">
      <formula>$H$191</formula>
    </cfRule>
  </conditionalFormatting>
  <conditionalFormatting sqref="I191">
    <cfRule type="cellIs" dxfId="2532" priority="354" stopIfTrue="1" operator="lessThan">
      <formula>$H$191*(-1)</formula>
    </cfRule>
  </conditionalFormatting>
  <conditionalFormatting sqref="I192">
    <cfRule type="cellIs" dxfId="2531" priority="355" stopIfTrue="1" operator="greaterThan">
      <formula>$H$192</formula>
    </cfRule>
  </conditionalFormatting>
  <conditionalFormatting sqref="I192">
    <cfRule type="cellIs" dxfId="2530" priority="356" stopIfTrue="1" operator="lessThan">
      <formula>$H$192*(-1)</formula>
    </cfRule>
  </conditionalFormatting>
  <conditionalFormatting sqref="I193">
    <cfRule type="cellIs" dxfId="2529" priority="357" stopIfTrue="1" operator="greaterThan">
      <formula>$H$193</formula>
    </cfRule>
  </conditionalFormatting>
  <conditionalFormatting sqref="I193">
    <cfRule type="cellIs" dxfId="2528" priority="358" stopIfTrue="1" operator="lessThan">
      <formula>$H$193*(-1)</formula>
    </cfRule>
  </conditionalFormatting>
  <conditionalFormatting sqref="I194">
    <cfRule type="cellIs" dxfId="2527" priority="359" stopIfTrue="1" operator="greaterThan">
      <formula>$H$194</formula>
    </cfRule>
  </conditionalFormatting>
  <conditionalFormatting sqref="I194">
    <cfRule type="cellIs" dxfId="2526" priority="360" stopIfTrue="1" operator="lessThan">
      <formula>$H$194*(-1)</formula>
    </cfRule>
  </conditionalFormatting>
  <conditionalFormatting sqref="I195">
    <cfRule type="cellIs" dxfId="2525" priority="361" stopIfTrue="1" operator="greaterThan">
      <formula>$H$195</formula>
    </cfRule>
  </conditionalFormatting>
  <conditionalFormatting sqref="I195">
    <cfRule type="cellIs" dxfId="2524" priority="362" stopIfTrue="1" operator="lessThan">
      <formula>$H$195*(-1)</formula>
    </cfRule>
  </conditionalFormatting>
  <conditionalFormatting sqref="I196">
    <cfRule type="cellIs" dxfId="2523" priority="363" stopIfTrue="1" operator="greaterThan">
      <formula>$H$196</formula>
    </cfRule>
  </conditionalFormatting>
  <conditionalFormatting sqref="I196">
    <cfRule type="cellIs" dxfId="2522" priority="364" stopIfTrue="1" operator="lessThan">
      <formula>$H$196*(-1)</formula>
    </cfRule>
  </conditionalFormatting>
  <conditionalFormatting sqref="I197">
    <cfRule type="cellIs" dxfId="2521" priority="365" stopIfTrue="1" operator="greaterThan">
      <formula>$H$197</formula>
    </cfRule>
  </conditionalFormatting>
  <conditionalFormatting sqref="I197">
    <cfRule type="cellIs" dxfId="2520" priority="366" stopIfTrue="1" operator="lessThan">
      <formula>$H$197*(-1)</formula>
    </cfRule>
  </conditionalFormatting>
  <conditionalFormatting sqref="I198">
    <cfRule type="cellIs" dxfId="2519" priority="367" stopIfTrue="1" operator="greaterThan">
      <formula>$H$198</formula>
    </cfRule>
  </conditionalFormatting>
  <conditionalFormatting sqref="I198">
    <cfRule type="cellIs" dxfId="2518" priority="368" stopIfTrue="1" operator="lessThan">
      <formula>$H$198*(-1)</formula>
    </cfRule>
  </conditionalFormatting>
  <conditionalFormatting sqref="I199">
    <cfRule type="cellIs" dxfId="2517" priority="369" stopIfTrue="1" operator="greaterThan">
      <formula>$H$199</formula>
    </cfRule>
  </conditionalFormatting>
  <conditionalFormatting sqref="I199">
    <cfRule type="cellIs" dxfId="2516" priority="370" stopIfTrue="1" operator="lessThan">
      <formula>$H$199*(-1)</formula>
    </cfRule>
  </conditionalFormatting>
  <conditionalFormatting sqref="I200">
    <cfRule type="cellIs" dxfId="2515" priority="371" stopIfTrue="1" operator="greaterThan">
      <formula>$H$200</formula>
    </cfRule>
  </conditionalFormatting>
  <conditionalFormatting sqref="I200">
    <cfRule type="cellIs" dxfId="2514" priority="372" stopIfTrue="1" operator="lessThan">
      <formula>$H$200*(-1)</formula>
    </cfRule>
  </conditionalFormatting>
  <conditionalFormatting sqref="I201">
    <cfRule type="cellIs" dxfId="2513" priority="373" stopIfTrue="1" operator="greaterThan">
      <formula>$H$201</formula>
    </cfRule>
  </conditionalFormatting>
  <conditionalFormatting sqref="I201">
    <cfRule type="cellIs" dxfId="2512" priority="374" stopIfTrue="1" operator="lessThan">
      <formula>$H$201*(-1)</formula>
    </cfRule>
  </conditionalFormatting>
  <conditionalFormatting sqref="I202">
    <cfRule type="cellIs" dxfId="2511" priority="375" stopIfTrue="1" operator="greaterThan">
      <formula>$H$202</formula>
    </cfRule>
  </conditionalFormatting>
  <conditionalFormatting sqref="I202">
    <cfRule type="cellIs" dxfId="2510" priority="376" stopIfTrue="1" operator="lessThan">
      <formula>$H$202*(-1)</formula>
    </cfRule>
  </conditionalFormatting>
  <conditionalFormatting sqref="I203">
    <cfRule type="cellIs" dxfId="2509" priority="377" stopIfTrue="1" operator="greaterThan">
      <formula>$H$203</formula>
    </cfRule>
  </conditionalFormatting>
  <conditionalFormatting sqref="I203">
    <cfRule type="cellIs" dxfId="2508" priority="378" stopIfTrue="1" operator="lessThan">
      <formula>$H$203*(-1)</formula>
    </cfRule>
  </conditionalFormatting>
  <conditionalFormatting sqref="I204">
    <cfRule type="cellIs" dxfId="2507" priority="379" stopIfTrue="1" operator="greaterThan">
      <formula>$H$204</formula>
    </cfRule>
  </conditionalFormatting>
  <conditionalFormatting sqref="I204">
    <cfRule type="cellIs" dxfId="2506" priority="380" stopIfTrue="1" operator="lessThan">
      <formula>$H$204*(-1)</formula>
    </cfRule>
  </conditionalFormatting>
  <conditionalFormatting sqref="I205">
    <cfRule type="cellIs" dxfId="2505" priority="381" stopIfTrue="1" operator="greaterThan">
      <formula>$H$205</formula>
    </cfRule>
  </conditionalFormatting>
  <conditionalFormatting sqref="I205">
    <cfRule type="cellIs" dxfId="2504" priority="382" stopIfTrue="1" operator="lessThan">
      <formula>$H$205*(-1)</formula>
    </cfRule>
  </conditionalFormatting>
  <conditionalFormatting sqref="I206">
    <cfRule type="cellIs" dxfId="2503" priority="383" stopIfTrue="1" operator="greaterThan">
      <formula>$H$206</formula>
    </cfRule>
  </conditionalFormatting>
  <conditionalFormatting sqref="I206">
    <cfRule type="cellIs" dxfId="2502" priority="384" stopIfTrue="1" operator="lessThan">
      <formula>$H$206*(-1)</formula>
    </cfRule>
  </conditionalFormatting>
  <conditionalFormatting sqref="I207">
    <cfRule type="cellIs" dxfId="2501" priority="385" stopIfTrue="1" operator="greaterThan">
      <formula>$H$207</formula>
    </cfRule>
  </conditionalFormatting>
  <conditionalFormatting sqref="I207">
    <cfRule type="cellIs" dxfId="2500" priority="386" stopIfTrue="1" operator="lessThan">
      <formula>$H$207*(-1)</formula>
    </cfRule>
  </conditionalFormatting>
  <conditionalFormatting sqref="I208">
    <cfRule type="cellIs" dxfId="2499" priority="387" stopIfTrue="1" operator="greaterThan">
      <formula>$H$208</formula>
    </cfRule>
  </conditionalFormatting>
  <conditionalFormatting sqref="I208">
    <cfRule type="cellIs" dxfId="2498" priority="388" stopIfTrue="1" operator="lessThan">
      <formula>$H$208*(-1)</formula>
    </cfRule>
  </conditionalFormatting>
  <conditionalFormatting sqref="I209">
    <cfRule type="cellIs" dxfId="2497" priority="389" stopIfTrue="1" operator="greaterThan">
      <formula>$H$209</formula>
    </cfRule>
  </conditionalFormatting>
  <conditionalFormatting sqref="I209">
    <cfRule type="cellIs" dxfId="2496" priority="390" stopIfTrue="1" operator="lessThan">
      <formula>$H$209*(-1)</formula>
    </cfRule>
  </conditionalFormatting>
  <conditionalFormatting sqref="I210">
    <cfRule type="cellIs" dxfId="2495" priority="391" stopIfTrue="1" operator="greaterThan">
      <formula>$H$210</formula>
    </cfRule>
  </conditionalFormatting>
  <conditionalFormatting sqref="I210">
    <cfRule type="cellIs" dxfId="2494" priority="392" stopIfTrue="1" operator="lessThan">
      <formula>$H$210*(-1)</formula>
    </cfRule>
  </conditionalFormatting>
  <conditionalFormatting sqref="I211">
    <cfRule type="cellIs" dxfId="2493" priority="393" stopIfTrue="1" operator="greaterThan">
      <formula>$H$211</formula>
    </cfRule>
  </conditionalFormatting>
  <conditionalFormatting sqref="I211">
    <cfRule type="cellIs" dxfId="2492" priority="394" stopIfTrue="1" operator="lessThan">
      <formula>$H$211*(-1)</formula>
    </cfRule>
  </conditionalFormatting>
  <conditionalFormatting sqref="I212">
    <cfRule type="cellIs" dxfId="2491" priority="395" stopIfTrue="1" operator="greaterThan">
      <formula>$H$212</formula>
    </cfRule>
  </conditionalFormatting>
  <conditionalFormatting sqref="I212">
    <cfRule type="cellIs" dxfId="2490" priority="396" stopIfTrue="1" operator="lessThan">
      <formula>$H$212*(-1)</formula>
    </cfRule>
  </conditionalFormatting>
  <conditionalFormatting sqref="I213">
    <cfRule type="cellIs" dxfId="2489" priority="397" stopIfTrue="1" operator="greaterThan">
      <formula>$H$213</formula>
    </cfRule>
  </conditionalFormatting>
  <conditionalFormatting sqref="I213">
    <cfRule type="cellIs" dxfId="2488" priority="398" stopIfTrue="1" operator="lessThan">
      <formula>$H$213*(-1)</formula>
    </cfRule>
  </conditionalFormatting>
  <conditionalFormatting sqref="I214">
    <cfRule type="cellIs" dxfId="2487" priority="399" stopIfTrue="1" operator="greaterThan">
      <formula>$H$214</formula>
    </cfRule>
  </conditionalFormatting>
  <conditionalFormatting sqref="I214">
    <cfRule type="cellIs" dxfId="2486" priority="400" stopIfTrue="1" operator="lessThan">
      <formula>$H$214*(-1)</formula>
    </cfRule>
  </conditionalFormatting>
  <conditionalFormatting sqref="I215">
    <cfRule type="cellIs" dxfId="2485" priority="401" stopIfTrue="1" operator="greaterThan">
      <formula>$H$215</formula>
    </cfRule>
  </conditionalFormatting>
  <conditionalFormatting sqref="I215">
    <cfRule type="cellIs" dxfId="2484" priority="402" stopIfTrue="1" operator="lessThan">
      <formula>$H$215*(-1)</formula>
    </cfRule>
  </conditionalFormatting>
  <conditionalFormatting sqref="I216">
    <cfRule type="cellIs" dxfId="2483" priority="403" stopIfTrue="1" operator="greaterThan">
      <formula>$H$216</formula>
    </cfRule>
  </conditionalFormatting>
  <conditionalFormatting sqref="I216">
    <cfRule type="cellIs" dxfId="2482" priority="404" stopIfTrue="1" operator="lessThan">
      <formula>$H$216*(-1)</formula>
    </cfRule>
  </conditionalFormatting>
  <conditionalFormatting sqref="I217">
    <cfRule type="cellIs" dxfId="2481" priority="405" stopIfTrue="1" operator="greaterThan">
      <formula>$H$217</formula>
    </cfRule>
  </conditionalFormatting>
  <conditionalFormatting sqref="I217">
    <cfRule type="cellIs" dxfId="2480" priority="406" stopIfTrue="1" operator="lessThan">
      <formula>$H$217*(-1)</formula>
    </cfRule>
  </conditionalFormatting>
  <conditionalFormatting sqref="I218">
    <cfRule type="cellIs" dxfId="2479" priority="407" stopIfTrue="1" operator="greaterThan">
      <formula>$H$218</formula>
    </cfRule>
  </conditionalFormatting>
  <conditionalFormatting sqref="I218">
    <cfRule type="cellIs" dxfId="2478" priority="408" stopIfTrue="1" operator="lessThan">
      <formula>$H$218*(-1)</formula>
    </cfRule>
  </conditionalFormatting>
  <conditionalFormatting sqref="I219">
    <cfRule type="cellIs" dxfId="2477" priority="409" stopIfTrue="1" operator="greaterThan">
      <formula>$H$219</formula>
    </cfRule>
  </conditionalFormatting>
  <conditionalFormatting sqref="I219">
    <cfRule type="cellIs" dxfId="2476" priority="410" stopIfTrue="1" operator="lessThan">
      <formula>$H$219*(-1)</formula>
    </cfRule>
  </conditionalFormatting>
  <conditionalFormatting sqref="I220">
    <cfRule type="cellIs" dxfId="2475" priority="411" stopIfTrue="1" operator="greaterThan">
      <formula>$H$220</formula>
    </cfRule>
  </conditionalFormatting>
  <conditionalFormatting sqref="I220">
    <cfRule type="cellIs" dxfId="2474" priority="412" stopIfTrue="1" operator="lessThan">
      <formula>$H$220*(-1)</formula>
    </cfRule>
  </conditionalFormatting>
  <conditionalFormatting sqref="I221">
    <cfRule type="cellIs" dxfId="2473" priority="413" stopIfTrue="1" operator="greaterThan">
      <formula>$H$221</formula>
    </cfRule>
  </conditionalFormatting>
  <conditionalFormatting sqref="I221">
    <cfRule type="cellIs" dxfId="2472" priority="414" stopIfTrue="1" operator="lessThan">
      <formula>$H$221*(-1)</formula>
    </cfRule>
  </conditionalFormatting>
  <conditionalFormatting sqref="I222">
    <cfRule type="cellIs" dxfId="2471" priority="415" stopIfTrue="1" operator="greaterThan">
      <formula>$H$222</formula>
    </cfRule>
  </conditionalFormatting>
  <conditionalFormatting sqref="I222">
    <cfRule type="cellIs" dxfId="2470" priority="416" stopIfTrue="1" operator="lessThan">
      <formula>$H$222*(-1)</formula>
    </cfRule>
  </conditionalFormatting>
  <conditionalFormatting sqref="I223">
    <cfRule type="cellIs" dxfId="2469" priority="417" stopIfTrue="1" operator="greaterThan">
      <formula>$H$223</formula>
    </cfRule>
  </conditionalFormatting>
  <conditionalFormatting sqref="I223">
    <cfRule type="cellIs" dxfId="2468" priority="418" stopIfTrue="1" operator="lessThan">
      <formula>$H$223*(-1)</formula>
    </cfRule>
  </conditionalFormatting>
  <conditionalFormatting sqref="I224">
    <cfRule type="cellIs" dxfId="2467" priority="419" stopIfTrue="1" operator="greaterThan">
      <formula>$H$224</formula>
    </cfRule>
  </conditionalFormatting>
  <conditionalFormatting sqref="I224">
    <cfRule type="cellIs" dxfId="2466" priority="420" stopIfTrue="1" operator="lessThan">
      <formula>$H$224*(-1)</formula>
    </cfRule>
  </conditionalFormatting>
  <conditionalFormatting sqref="I225">
    <cfRule type="cellIs" dxfId="2465" priority="421" stopIfTrue="1" operator="greaterThan">
      <formula>$H$225</formula>
    </cfRule>
  </conditionalFormatting>
  <conditionalFormatting sqref="I225">
    <cfRule type="cellIs" dxfId="2464" priority="422" stopIfTrue="1" operator="lessThan">
      <formula>$H$225*(-1)</formula>
    </cfRule>
  </conditionalFormatting>
  <conditionalFormatting sqref="I226">
    <cfRule type="cellIs" dxfId="2463" priority="423" stopIfTrue="1" operator="greaterThan">
      <formula>$H$226</formula>
    </cfRule>
  </conditionalFormatting>
  <conditionalFormatting sqref="I226">
    <cfRule type="cellIs" dxfId="2462" priority="424" stopIfTrue="1" operator="lessThan">
      <formula>$H$226*(-1)</formula>
    </cfRule>
  </conditionalFormatting>
  <conditionalFormatting sqref="I227">
    <cfRule type="cellIs" dxfId="2461" priority="425" stopIfTrue="1" operator="greaterThan">
      <formula>$H$227</formula>
    </cfRule>
  </conditionalFormatting>
  <conditionalFormatting sqref="I227">
    <cfRule type="cellIs" dxfId="2460" priority="426" stopIfTrue="1" operator="lessThan">
      <formula>$H$227*(-1)</formula>
    </cfRule>
  </conditionalFormatting>
  <conditionalFormatting sqref="I228">
    <cfRule type="cellIs" dxfId="2459" priority="427" stopIfTrue="1" operator="greaterThan">
      <formula>$H$228</formula>
    </cfRule>
  </conditionalFormatting>
  <conditionalFormatting sqref="I228">
    <cfRule type="cellIs" dxfId="2458" priority="428" stopIfTrue="1" operator="lessThan">
      <formula>$H$228*(-1)</formula>
    </cfRule>
  </conditionalFormatting>
  <conditionalFormatting sqref="I229">
    <cfRule type="cellIs" dxfId="2457" priority="429" stopIfTrue="1" operator="greaterThan">
      <formula>$H$229</formula>
    </cfRule>
  </conditionalFormatting>
  <conditionalFormatting sqref="I229">
    <cfRule type="cellIs" dxfId="2456" priority="430" stopIfTrue="1" operator="lessThan">
      <formula>$H$229*(-1)</formula>
    </cfRule>
  </conditionalFormatting>
  <conditionalFormatting sqref="I230">
    <cfRule type="cellIs" dxfId="2455" priority="431" stopIfTrue="1" operator="greaterThan">
      <formula>$H$230</formula>
    </cfRule>
  </conditionalFormatting>
  <conditionalFormatting sqref="I230">
    <cfRule type="cellIs" dxfId="2454" priority="432" stopIfTrue="1" operator="lessThan">
      <formula>$H$230*(-1)</formula>
    </cfRule>
  </conditionalFormatting>
  <conditionalFormatting sqref="I231">
    <cfRule type="cellIs" dxfId="2453" priority="433" stopIfTrue="1" operator="greaterThan">
      <formula>$H$231</formula>
    </cfRule>
  </conditionalFormatting>
  <conditionalFormatting sqref="I231">
    <cfRule type="cellIs" dxfId="2452" priority="434" stopIfTrue="1" operator="lessThan">
      <formula>$H$231*(-1)</formula>
    </cfRule>
  </conditionalFormatting>
  <conditionalFormatting sqref="I232">
    <cfRule type="cellIs" dxfId="2451" priority="435" stopIfTrue="1" operator="greaterThan">
      <formula>$H$232</formula>
    </cfRule>
  </conditionalFormatting>
  <conditionalFormatting sqref="I232">
    <cfRule type="cellIs" dxfId="2450" priority="436" stopIfTrue="1" operator="lessThan">
      <formula>$H$232*(-1)</formula>
    </cfRule>
  </conditionalFormatting>
  <conditionalFormatting sqref="I233">
    <cfRule type="cellIs" dxfId="2449" priority="437" stopIfTrue="1" operator="greaterThan">
      <formula>$H$233</formula>
    </cfRule>
  </conditionalFormatting>
  <conditionalFormatting sqref="I233">
    <cfRule type="cellIs" dxfId="2448" priority="438" stopIfTrue="1" operator="lessThan">
      <formula>$H$233*(-1)</formula>
    </cfRule>
  </conditionalFormatting>
  <conditionalFormatting sqref="I234">
    <cfRule type="cellIs" dxfId="2447" priority="439" stopIfTrue="1" operator="greaterThan">
      <formula>$H$234</formula>
    </cfRule>
  </conditionalFormatting>
  <conditionalFormatting sqref="I234">
    <cfRule type="cellIs" dxfId="2446" priority="440" stopIfTrue="1" operator="lessThan">
      <formula>$H$234*(-1)</formula>
    </cfRule>
  </conditionalFormatting>
  <conditionalFormatting sqref="I235">
    <cfRule type="cellIs" dxfId="2445" priority="441" stopIfTrue="1" operator="greaterThan">
      <formula>$H$235</formula>
    </cfRule>
  </conditionalFormatting>
  <conditionalFormatting sqref="I235">
    <cfRule type="cellIs" dxfId="2444" priority="442" stopIfTrue="1" operator="lessThan">
      <formula>$H$235*(-1)</formula>
    </cfRule>
  </conditionalFormatting>
  <conditionalFormatting sqref="I236">
    <cfRule type="cellIs" dxfId="2443" priority="443" stopIfTrue="1" operator="greaterThan">
      <formula>$H$236</formula>
    </cfRule>
  </conditionalFormatting>
  <conditionalFormatting sqref="I236">
    <cfRule type="cellIs" dxfId="2442" priority="444" stopIfTrue="1" operator="lessThan">
      <formula>$H$236*(-1)</formula>
    </cfRule>
  </conditionalFormatting>
  <conditionalFormatting sqref="I237">
    <cfRule type="cellIs" dxfId="2441" priority="445" stopIfTrue="1" operator="greaterThan">
      <formula>$H$237</formula>
    </cfRule>
  </conditionalFormatting>
  <conditionalFormatting sqref="I237">
    <cfRule type="cellIs" dxfId="2440" priority="446" stopIfTrue="1" operator="lessThan">
      <formula>$H$237*(-1)</formula>
    </cfRule>
  </conditionalFormatting>
  <conditionalFormatting sqref="I238">
    <cfRule type="cellIs" dxfId="2439" priority="447" stopIfTrue="1" operator="greaterThan">
      <formula>$H$238</formula>
    </cfRule>
  </conditionalFormatting>
  <conditionalFormatting sqref="I238">
    <cfRule type="cellIs" dxfId="2438" priority="448" stopIfTrue="1" operator="lessThan">
      <formula>$H$238*(-1)</formula>
    </cfRule>
  </conditionalFormatting>
  <conditionalFormatting sqref="I239">
    <cfRule type="cellIs" dxfId="2437" priority="449" stopIfTrue="1" operator="greaterThan">
      <formula>$H$239</formula>
    </cfRule>
  </conditionalFormatting>
  <conditionalFormatting sqref="I239">
    <cfRule type="cellIs" dxfId="2436" priority="450" stopIfTrue="1" operator="lessThan">
      <formula>$H$239*(-1)</formula>
    </cfRule>
  </conditionalFormatting>
  <conditionalFormatting sqref="I240">
    <cfRule type="cellIs" dxfId="2435" priority="451" stopIfTrue="1" operator="greaterThan">
      <formula>$H$240</formula>
    </cfRule>
  </conditionalFormatting>
  <conditionalFormatting sqref="I240">
    <cfRule type="cellIs" dxfId="2434" priority="452" stopIfTrue="1" operator="lessThan">
      <formula>$H$240*(-1)</formula>
    </cfRule>
  </conditionalFormatting>
  <conditionalFormatting sqref="I241">
    <cfRule type="cellIs" dxfId="2433" priority="453" stopIfTrue="1" operator="greaterThan">
      <formula>$H$241</formula>
    </cfRule>
  </conditionalFormatting>
  <conditionalFormatting sqref="I241">
    <cfRule type="cellIs" dxfId="2432" priority="454" stopIfTrue="1" operator="lessThan">
      <formula>$H$241*(-1)</formula>
    </cfRule>
  </conditionalFormatting>
  <conditionalFormatting sqref="I242">
    <cfRule type="cellIs" dxfId="2431" priority="455" stopIfTrue="1" operator="greaterThan">
      <formula>$H$242</formula>
    </cfRule>
  </conditionalFormatting>
  <conditionalFormatting sqref="I242">
    <cfRule type="cellIs" dxfId="2430" priority="456" stopIfTrue="1" operator="lessThan">
      <formula>$H$242*(-1)</formula>
    </cfRule>
  </conditionalFormatting>
  <conditionalFormatting sqref="I243">
    <cfRule type="cellIs" dxfId="2429" priority="457" stopIfTrue="1" operator="greaterThan">
      <formula>$H$243</formula>
    </cfRule>
  </conditionalFormatting>
  <conditionalFormatting sqref="I243">
    <cfRule type="cellIs" dxfId="2428" priority="458" stopIfTrue="1" operator="lessThan">
      <formula>$H$243*(-1)</formula>
    </cfRule>
  </conditionalFormatting>
  <conditionalFormatting sqref="I244">
    <cfRule type="cellIs" dxfId="2427" priority="459" stopIfTrue="1" operator="greaterThan">
      <formula>$H$244</formula>
    </cfRule>
  </conditionalFormatting>
  <conditionalFormatting sqref="I244">
    <cfRule type="cellIs" dxfId="2426" priority="460" stopIfTrue="1" operator="lessThan">
      <formula>$H$244*(-1)</formula>
    </cfRule>
  </conditionalFormatting>
  <conditionalFormatting sqref="I245">
    <cfRule type="cellIs" dxfId="2425" priority="461" stopIfTrue="1" operator="greaterThan">
      <formula>$H$245</formula>
    </cfRule>
  </conditionalFormatting>
  <conditionalFormatting sqref="I245">
    <cfRule type="cellIs" dxfId="2424" priority="462" stopIfTrue="1" operator="lessThan">
      <formula>$H$245*(-1)</formula>
    </cfRule>
  </conditionalFormatting>
  <conditionalFormatting sqref="I246">
    <cfRule type="cellIs" dxfId="2423" priority="463" stopIfTrue="1" operator="greaterThan">
      <formula>$H$246</formula>
    </cfRule>
  </conditionalFormatting>
  <conditionalFormatting sqref="I246">
    <cfRule type="cellIs" dxfId="2422" priority="464" stopIfTrue="1" operator="lessThan">
      <formula>$H$246*(-1)</formula>
    </cfRule>
  </conditionalFormatting>
  <conditionalFormatting sqref="I247">
    <cfRule type="cellIs" dxfId="2421" priority="465" stopIfTrue="1" operator="greaterThan">
      <formula>$H$247</formula>
    </cfRule>
  </conditionalFormatting>
  <conditionalFormatting sqref="I247">
    <cfRule type="cellIs" dxfId="2420" priority="466" stopIfTrue="1" operator="lessThan">
      <formula>$H$247*(-1)</formula>
    </cfRule>
  </conditionalFormatting>
  <conditionalFormatting sqref="I248">
    <cfRule type="cellIs" dxfId="2419" priority="467" stopIfTrue="1" operator="greaterThan">
      <formula>$H$248</formula>
    </cfRule>
  </conditionalFormatting>
  <conditionalFormatting sqref="I248">
    <cfRule type="cellIs" dxfId="2418" priority="468" stopIfTrue="1" operator="lessThan">
      <formula>$H$248*(-1)</formula>
    </cfRule>
  </conditionalFormatting>
  <conditionalFormatting sqref="I249">
    <cfRule type="cellIs" dxfId="2417" priority="469" stopIfTrue="1" operator="greaterThan">
      <formula>$H$249</formula>
    </cfRule>
  </conditionalFormatting>
  <conditionalFormatting sqref="I249">
    <cfRule type="cellIs" dxfId="2416" priority="470" stopIfTrue="1" operator="lessThan">
      <formula>$H$249*(-1)</formula>
    </cfRule>
  </conditionalFormatting>
  <conditionalFormatting sqref="I250">
    <cfRule type="cellIs" dxfId="2415" priority="471" stopIfTrue="1" operator="greaterThan">
      <formula>$H$250</formula>
    </cfRule>
  </conditionalFormatting>
  <conditionalFormatting sqref="I250">
    <cfRule type="cellIs" dxfId="2414" priority="472" stopIfTrue="1" operator="lessThan">
      <formula>$H$250*(-1)</formula>
    </cfRule>
  </conditionalFormatting>
  <conditionalFormatting sqref="I251">
    <cfRule type="cellIs" dxfId="2413" priority="473" stopIfTrue="1" operator="greaterThan">
      <formula>$H$251</formula>
    </cfRule>
  </conditionalFormatting>
  <conditionalFormatting sqref="I251">
    <cfRule type="cellIs" dxfId="2412" priority="474" stopIfTrue="1" operator="lessThan">
      <formula>$H$251*(-1)</formula>
    </cfRule>
  </conditionalFormatting>
  <conditionalFormatting sqref="I252">
    <cfRule type="cellIs" dxfId="2411" priority="475" stopIfTrue="1" operator="greaterThan">
      <formula>$H$252</formula>
    </cfRule>
  </conditionalFormatting>
  <conditionalFormatting sqref="I252">
    <cfRule type="cellIs" dxfId="2410" priority="476" stopIfTrue="1" operator="lessThan">
      <formula>$H$252*(-1)</formula>
    </cfRule>
  </conditionalFormatting>
  <conditionalFormatting sqref="I253">
    <cfRule type="cellIs" dxfId="2409" priority="477" stopIfTrue="1" operator="greaterThan">
      <formula>$H$253</formula>
    </cfRule>
  </conditionalFormatting>
  <conditionalFormatting sqref="I253">
    <cfRule type="cellIs" dxfId="2408" priority="478" stopIfTrue="1" operator="lessThan">
      <formula>$H$253*(-1)</formula>
    </cfRule>
  </conditionalFormatting>
  <conditionalFormatting sqref="I254">
    <cfRule type="cellIs" dxfId="2407" priority="479" stopIfTrue="1" operator="greaterThan">
      <formula>$H$254</formula>
    </cfRule>
  </conditionalFormatting>
  <conditionalFormatting sqref="I254">
    <cfRule type="cellIs" dxfId="2406" priority="480" stopIfTrue="1" operator="lessThan">
      <formula>$H$254*(-1)</formula>
    </cfRule>
  </conditionalFormatting>
  <conditionalFormatting sqref="I255">
    <cfRule type="cellIs" dxfId="2405" priority="481" stopIfTrue="1" operator="greaterThan">
      <formula>$H$255</formula>
    </cfRule>
  </conditionalFormatting>
  <conditionalFormatting sqref="I255">
    <cfRule type="cellIs" dxfId="2404" priority="482" stopIfTrue="1" operator="lessThan">
      <formula>$H$255*(-1)</formula>
    </cfRule>
  </conditionalFormatting>
  <conditionalFormatting sqref="I256">
    <cfRule type="cellIs" dxfId="2403" priority="483" stopIfTrue="1" operator="greaterThan">
      <formula>$H$256</formula>
    </cfRule>
  </conditionalFormatting>
  <conditionalFormatting sqref="I256">
    <cfRule type="cellIs" dxfId="2402" priority="484" stopIfTrue="1" operator="lessThan">
      <formula>$H$256*(-1)</formula>
    </cfRule>
  </conditionalFormatting>
  <conditionalFormatting sqref="I257">
    <cfRule type="cellIs" dxfId="2401" priority="485" stopIfTrue="1" operator="greaterThan">
      <formula>$H$257</formula>
    </cfRule>
  </conditionalFormatting>
  <conditionalFormatting sqref="I257">
    <cfRule type="cellIs" dxfId="2400" priority="486" stopIfTrue="1" operator="lessThan">
      <formula>$H$257*(-1)</formula>
    </cfRule>
  </conditionalFormatting>
  <conditionalFormatting sqref="I258">
    <cfRule type="cellIs" dxfId="2399" priority="487" stopIfTrue="1" operator="greaterThan">
      <formula>$H$258</formula>
    </cfRule>
  </conditionalFormatting>
  <conditionalFormatting sqref="I258">
    <cfRule type="cellIs" dxfId="2398" priority="488" stopIfTrue="1" operator="lessThan">
      <formula>$H$258*(-1)</formula>
    </cfRule>
  </conditionalFormatting>
  <conditionalFormatting sqref="I259">
    <cfRule type="cellIs" dxfId="2397" priority="489" stopIfTrue="1" operator="greaterThan">
      <formula>$H$259</formula>
    </cfRule>
  </conditionalFormatting>
  <conditionalFormatting sqref="I259">
    <cfRule type="cellIs" dxfId="2396" priority="490" stopIfTrue="1" operator="lessThan">
      <formula>$H$259*(-1)</formula>
    </cfRule>
  </conditionalFormatting>
  <conditionalFormatting sqref="I260">
    <cfRule type="cellIs" dxfId="2395" priority="491" stopIfTrue="1" operator="greaterThan">
      <formula>$H$260</formula>
    </cfRule>
  </conditionalFormatting>
  <conditionalFormatting sqref="I260">
    <cfRule type="cellIs" dxfId="2394" priority="492" stopIfTrue="1" operator="lessThan">
      <formula>$H$260*(-1)</formula>
    </cfRule>
  </conditionalFormatting>
  <conditionalFormatting sqref="I261">
    <cfRule type="cellIs" dxfId="2393" priority="493" stopIfTrue="1" operator="greaterThan">
      <formula>$H$261</formula>
    </cfRule>
  </conditionalFormatting>
  <conditionalFormatting sqref="I261">
    <cfRule type="cellIs" dxfId="2392" priority="494" stopIfTrue="1" operator="lessThan">
      <formula>$H$261*(-1)</formula>
    </cfRule>
  </conditionalFormatting>
  <conditionalFormatting sqref="I262">
    <cfRule type="cellIs" dxfId="2391" priority="495" stopIfTrue="1" operator="greaterThan">
      <formula>$H$262</formula>
    </cfRule>
  </conditionalFormatting>
  <conditionalFormatting sqref="I262">
    <cfRule type="cellIs" dxfId="2390" priority="496" stopIfTrue="1" operator="lessThan">
      <formula>$H$262*(-1)</formula>
    </cfRule>
  </conditionalFormatting>
  <conditionalFormatting sqref="I263">
    <cfRule type="cellIs" dxfId="2389" priority="497" stopIfTrue="1" operator="greaterThan">
      <formula>$H$263</formula>
    </cfRule>
  </conditionalFormatting>
  <conditionalFormatting sqref="I263">
    <cfRule type="cellIs" dxfId="2388" priority="498" stopIfTrue="1" operator="lessThan">
      <formula>$H$263*(-1)</formula>
    </cfRule>
  </conditionalFormatting>
  <conditionalFormatting sqref="I264">
    <cfRule type="cellIs" dxfId="2387" priority="499" stopIfTrue="1" operator="greaterThan">
      <formula>$H$264</formula>
    </cfRule>
  </conditionalFormatting>
  <conditionalFormatting sqref="I264">
    <cfRule type="cellIs" dxfId="2386" priority="500" stopIfTrue="1" operator="lessThan">
      <formula>$H$264*(-1)</formula>
    </cfRule>
  </conditionalFormatting>
  <conditionalFormatting sqref="I265">
    <cfRule type="cellIs" dxfId="2385" priority="501" stopIfTrue="1" operator="greaterThan">
      <formula>$H$265</formula>
    </cfRule>
  </conditionalFormatting>
  <conditionalFormatting sqref="I265">
    <cfRule type="cellIs" dxfId="2384" priority="502" stopIfTrue="1" operator="lessThan">
      <formula>$H$265*(-1)</formula>
    </cfRule>
  </conditionalFormatting>
  <conditionalFormatting sqref="I266">
    <cfRule type="cellIs" dxfId="2383" priority="503" stopIfTrue="1" operator="greaterThan">
      <formula>$H$266</formula>
    </cfRule>
  </conditionalFormatting>
  <conditionalFormatting sqref="I266">
    <cfRule type="cellIs" dxfId="2382" priority="504" stopIfTrue="1" operator="lessThan">
      <formula>$H$266*(-1)</formula>
    </cfRule>
  </conditionalFormatting>
  <conditionalFormatting sqref="I267">
    <cfRule type="cellIs" dxfId="2381" priority="505" stopIfTrue="1" operator="greaterThan">
      <formula>$H$267</formula>
    </cfRule>
  </conditionalFormatting>
  <conditionalFormatting sqref="I267">
    <cfRule type="cellIs" dxfId="2380" priority="506" stopIfTrue="1" operator="lessThan">
      <formula>$H$267*(-1)</formula>
    </cfRule>
  </conditionalFormatting>
  <conditionalFormatting sqref="I268">
    <cfRule type="cellIs" dxfId="2379" priority="507" stopIfTrue="1" operator="greaterThan">
      <formula>$H$268</formula>
    </cfRule>
  </conditionalFormatting>
  <conditionalFormatting sqref="I268">
    <cfRule type="cellIs" dxfId="2378" priority="508" stopIfTrue="1" operator="lessThan">
      <formula>$H$268*(-1)</formula>
    </cfRule>
  </conditionalFormatting>
  <conditionalFormatting sqref="I269">
    <cfRule type="cellIs" dxfId="2377" priority="509" stopIfTrue="1" operator="greaterThan">
      <formula>$H$269</formula>
    </cfRule>
  </conditionalFormatting>
  <conditionalFormatting sqref="I269">
    <cfRule type="cellIs" dxfId="2376" priority="510" stopIfTrue="1" operator="lessThan">
      <formula>$H$269*(-1)</formula>
    </cfRule>
  </conditionalFormatting>
  <conditionalFormatting sqref="I270">
    <cfRule type="cellIs" dxfId="2375" priority="511" stopIfTrue="1" operator="greaterThan">
      <formula>$H$270</formula>
    </cfRule>
  </conditionalFormatting>
  <conditionalFormatting sqref="I270">
    <cfRule type="cellIs" dxfId="2374" priority="512" stopIfTrue="1" operator="lessThan">
      <formula>$H$270*(-1)</formula>
    </cfRule>
  </conditionalFormatting>
  <conditionalFormatting sqref="I271">
    <cfRule type="cellIs" dxfId="2373" priority="513" stopIfTrue="1" operator="greaterThan">
      <formula>$H$271</formula>
    </cfRule>
  </conditionalFormatting>
  <conditionalFormatting sqref="I271">
    <cfRule type="cellIs" dxfId="2372" priority="514" stopIfTrue="1" operator="lessThan">
      <formula>$H$271*(-1)</formula>
    </cfRule>
  </conditionalFormatting>
  <conditionalFormatting sqref="I272">
    <cfRule type="cellIs" dxfId="2371" priority="515" stopIfTrue="1" operator="greaterThan">
      <formula>$H$272</formula>
    </cfRule>
  </conditionalFormatting>
  <conditionalFormatting sqref="I272">
    <cfRule type="cellIs" dxfId="2370" priority="516" stopIfTrue="1" operator="lessThan">
      <formula>$H$272*(-1)</formula>
    </cfRule>
  </conditionalFormatting>
  <conditionalFormatting sqref="I273">
    <cfRule type="cellIs" dxfId="2369" priority="517" stopIfTrue="1" operator="greaterThan">
      <formula>$H$273</formula>
    </cfRule>
  </conditionalFormatting>
  <conditionalFormatting sqref="I273">
    <cfRule type="cellIs" dxfId="2368" priority="518" stopIfTrue="1" operator="lessThan">
      <formula>$H$273*(-1)</formula>
    </cfRule>
  </conditionalFormatting>
  <conditionalFormatting sqref="I274">
    <cfRule type="cellIs" dxfId="2367" priority="519" stopIfTrue="1" operator="greaterThan">
      <formula>$H$274</formula>
    </cfRule>
  </conditionalFormatting>
  <conditionalFormatting sqref="I274">
    <cfRule type="cellIs" dxfId="2366" priority="520" stopIfTrue="1" operator="lessThan">
      <formula>$H$274*(-1)</formula>
    </cfRule>
  </conditionalFormatting>
  <conditionalFormatting sqref="I275">
    <cfRule type="cellIs" dxfId="2365" priority="521" stopIfTrue="1" operator="greaterThan">
      <formula>$H$275</formula>
    </cfRule>
  </conditionalFormatting>
  <conditionalFormatting sqref="I275">
    <cfRule type="cellIs" dxfId="2364" priority="522" stopIfTrue="1" operator="lessThan">
      <formula>$H$275*(-1)</formula>
    </cfRule>
  </conditionalFormatting>
  <conditionalFormatting sqref="I276">
    <cfRule type="cellIs" dxfId="2363" priority="523" stopIfTrue="1" operator="greaterThan">
      <formula>$H$276</formula>
    </cfRule>
  </conditionalFormatting>
  <conditionalFormatting sqref="I276">
    <cfRule type="cellIs" dxfId="2362" priority="524" stopIfTrue="1" operator="lessThan">
      <formula>$H$276*(-1)</formula>
    </cfRule>
  </conditionalFormatting>
  <conditionalFormatting sqref="I277">
    <cfRule type="cellIs" dxfId="2361" priority="525" stopIfTrue="1" operator="greaterThan">
      <formula>$H$277</formula>
    </cfRule>
  </conditionalFormatting>
  <conditionalFormatting sqref="I277">
    <cfRule type="cellIs" dxfId="2360" priority="526" stopIfTrue="1" operator="lessThan">
      <formula>$H$277*(-1)</formula>
    </cfRule>
  </conditionalFormatting>
  <conditionalFormatting sqref="I278">
    <cfRule type="cellIs" dxfId="2359" priority="527" stopIfTrue="1" operator="greaterThan">
      <formula>$H$278</formula>
    </cfRule>
  </conditionalFormatting>
  <conditionalFormatting sqref="I278">
    <cfRule type="cellIs" dxfId="2358" priority="528" stopIfTrue="1" operator="lessThan">
      <formula>$H$278*(-1)</formula>
    </cfRule>
  </conditionalFormatting>
  <conditionalFormatting sqref="I279">
    <cfRule type="cellIs" dxfId="2357" priority="529" stopIfTrue="1" operator="greaterThan">
      <formula>$H$279</formula>
    </cfRule>
  </conditionalFormatting>
  <conditionalFormatting sqref="I279">
    <cfRule type="cellIs" dxfId="2356" priority="530" stopIfTrue="1" operator="lessThan">
      <formula>$H$279*(-1)</formula>
    </cfRule>
  </conditionalFormatting>
  <conditionalFormatting sqref="I280">
    <cfRule type="cellIs" dxfId="2355" priority="531" stopIfTrue="1" operator="greaterThan">
      <formula>$H$280</formula>
    </cfRule>
  </conditionalFormatting>
  <conditionalFormatting sqref="I280">
    <cfRule type="cellIs" dxfId="2354" priority="532" stopIfTrue="1" operator="lessThan">
      <formula>$H$280*(-1)</formula>
    </cfRule>
  </conditionalFormatting>
  <conditionalFormatting sqref="I281">
    <cfRule type="cellIs" dxfId="2353" priority="533" stopIfTrue="1" operator="greaterThan">
      <formula>$H$281</formula>
    </cfRule>
  </conditionalFormatting>
  <conditionalFormatting sqref="I281">
    <cfRule type="cellIs" dxfId="2352" priority="534" stopIfTrue="1" operator="lessThan">
      <formula>$H$281*(-1)</formula>
    </cfRule>
  </conditionalFormatting>
  <conditionalFormatting sqref="I282">
    <cfRule type="cellIs" dxfId="2351" priority="535" stopIfTrue="1" operator="greaterThan">
      <formula>$H$282</formula>
    </cfRule>
  </conditionalFormatting>
  <conditionalFormatting sqref="I282">
    <cfRule type="cellIs" dxfId="2350" priority="536" stopIfTrue="1" operator="lessThan">
      <formula>$H$282*(-1)</formula>
    </cfRule>
  </conditionalFormatting>
  <conditionalFormatting sqref="I283">
    <cfRule type="cellIs" dxfId="2349" priority="537" stopIfTrue="1" operator="greaterThan">
      <formula>$H$283</formula>
    </cfRule>
  </conditionalFormatting>
  <conditionalFormatting sqref="I283">
    <cfRule type="cellIs" dxfId="2348" priority="538" stopIfTrue="1" operator="lessThan">
      <formula>$H$283*(-1)</formula>
    </cfRule>
  </conditionalFormatting>
  <conditionalFormatting sqref="I284">
    <cfRule type="cellIs" dxfId="2347" priority="539" stopIfTrue="1" operator="greaterThan">
      <formula>$H$284</formula>
    </cfRule>
  </conditionalFormatting>
  <conditionalFormatting sqref="I284">
    <cfRule type="cellIs" dxfId="2346" priority="540" stopIfTrue="1" operator="lessThan">
      <formula>$H$284*(-1)</formula>
    </cfRule>
  </conditionalFormatting>
  <conditionalFormatting sqref="I285">
    <cfRule type="cellIs" dxfId="2345" priority="541" stopIfTrue="1" operator="greaterThan">
      <formula>$H$285</formula>
    </cfRule>
  </conditionalFormatting>
  <conditionalFormatting sqref="I285">
    <cfRule type="cellIs" dxfId="2344" priority="542" stopIfTrue="1" operator="lessThan">
      <formula>$H$285*(-1)</formula>
    </cfRule>
  </conditionalFormatting>
  <conditionalFormatting sqref="I286">
    <cfRule type="cellIs" dxfId="2343" priority="543" stopIfTrue="1" operator="greaterThan">
      <formula>$H$286</formula>
    </cfRule>
  </conditionalFormatting>
  <conditionalFormatting sqref="I286">
    <cfRule type="cellIs" dxfId="2342" priority="544" stopIfTrue="1" operator="lessThan">
      <formula>$H$286*(-1)</formula>
    </cfRule>
  </conditionalFormatting>
  <conditionalFormatting sqref="I287">
    <cfRule type="cellIs" dxfId="2341" priority="545" stopIfTrue="1" operator="greaterThan">
      <formula>$H$287</formula>
    </cfRule>
  </conditionalFormatting>
  <conditionalFormatting sqref="I287">
    <cfRule type="cellIs" dxfId="2340" priority="546" stopIfTrue="1" operator="lessThan">
      <formula>$H$287*(-1)</formula>
    </cfRule>
  </conditionalFormatting>
  <conditionalFormatting sqref="I288">
    <cfRule type="cellIs" dxfId="2339" priority="547" stopIfTrue="1" operator="greaterThan">
      <formula>$H$288</formula>
    </cfRule>
  </conditionalFormatting>
  <conditionalFormatting sqref="I288">
    <cfRule type="cellIs" dxfId="2338" priority="548" stopIfTrue="1" operator="lessThan">
      <formula>$H$288*(-1)</formula>
    </cfRule>
  </conditionalFormatting>
  <conditionalFormatting sqref="I289">
    <cfRule type="cellIs" dxfId="2337" priority="549" stopIfTrue="1" operator="greaterThan">
      <formula>$H$289</formula>
    </cfRule>
  </conditionalFormatting>
  <conditionalFormatting sqref="I289">
    <cfRule type="cellIs" dxfId="2336" priority="550" stopIfTrue="1" operator="lessThan">
      <formula>$H$289*(-1)</formula>
    </cfRule>
  </conditionalFormatting>
  <conditionalFormatting sqref="I290">
    <cfRule type="cellIs" dxfId="2335" priority="551" stopIfTrue="1" operator="greaterThan">
      <formula>$H$290</formula>
    </cfRule>
  </conditionalFormatting>
  <conditionalFormatting sqref="I290">
    <cfRule type="cellIs" dxfId="2334" priority="552" stopIfTrue="1" operator="lessThan">
      <formula>$H$290*(-1)</formula>
    </cfRule>
  </conditionalFormatting>
  <conditionalFormatting sqref="I291">
    <cfRule type="cellIs" dxfId="2333" priority="553" stopIfTrue="1" operator="greaterThan">
      <formula>$H$291</formula>
    </cfRule>
  </conditionalFormatting>
  <conditionalFormatting sqref="I291">
    <cfRule type="cellIs" dxfId="2332" priority="554" stopIfTrue="1" operator="lessThan">
      <formula>$H$291*(-1)</formula>
    </cfRule>
  </conditionalFormatting>
  <conditionalFormatting sqref="I292">
    <cfRule type="cellIs" dxfId="2331" priority="555" stopIfTrue="1" operator="greaterThan">
      <formula>$H$292</formula>
    </cfRule>
  </conditionalFormatting>
  <conditionalFormatting sqref="I292">
    <cfRule type="cellIs" dxfId="2330" priority="556" stopIfTrue="1" operator="lessThan">
      <formula>$H$292*(-1)</formula>
    </cfRule>
  </conditionalFormatting>
  <conditionalFormatting sqref="I293">
    <cfRule type="cellIs" dxfId="2329" priority="557" stopIfTrue="1" operator="greaterThan">
      <formula>$H$293</formula>
    </cfRule>
  </conditionalFormatting>
  <conditionalFormatting sqref="I293">
    <cfRule type="cellIs" dxfId="2328" priority="558" stopIfTrue="1" operator="lessThan">
      <formula>$H$293*(-1)</formula>
    </cfRule>
  </conditionalFormatting>
  <conditionalFormatting sqref="I294">
    <cfRule type="cellIs" dxfId="2327" priority="559" stopIfTrue="1" operator="greaterThan">
      <formula>$H$294</formula>
    </cfRule>
  </conditionalFormatting>
  <conditionalFormatting sqref="I294">
    <cfRule type="cellIs" dxfId="2326" priority="560" stopIfTrue="1" operator="lessThan">
      <formula>$H$294*(-1)</formula>
    </cfRule>
  </conditionalFormatting>
  <conditionalFormatting sqref="I295">
    <cfRule type="cellIs" dxfId="2325" priority="561" stopIfTrue="1" operator="greaterThan">
      <formula>$H$295</formula>
    </cfRule>
  </conditionalFormatting>
  <conditionalFormatting sqref="I295">
    <cfRule type="cellIs" dxfId="2324" priority="562" stopIfTrue="1" operator="lessThan">
      <formula>$H$295*(-1)</formula>
    </cfRule>
  </conditionalFormatting>
  <conditionalFormatting sqref="I296">
    <cfRule type="cellIs" dxfId="2323" priority="563" stopIfTrue="1" operator="greaterThan">
      <formula>$H$296</formula>
    </cfRule>
  </conditionalFormatting>
  <conditionalFormatting sqref="I296">
    <cfRule type="cellIs" dxfId="2322" priority="564" stopIfTrue="1" operator="lessThan">
      <formula>$H$296*(-1)</formula>
    </cfRule>
  </conditionalFormatting>
  <conditionalFormatting sqref="I297">
    <cfRule type="cellIs" dxfId="2321" priority="565" stopIfTrue="1" operator="greaterThan">
      <formula>$H$297</formula>
    </cfRule>
  </conditionalFormatting>
  <conditionalFormatting sqref="I297">
    <cfRule type="cellIs" dxfId="2320" priority="566" stopIfTrue="1" operator="lessThan">
      <formula>$H$297*(-1)</formula>
    </cfRule>
  </conditionalFormatting>
  <conditionalFormatting sqref="I298">
    <cfRule type="cellIs" dxfId="2319" priority="567" stopIfTrue="1" operator="greaterThan">
      <formula>$H$298</formula>
    </cfRule>
  </conditionalFormatting>
  <conditionalFormatting sqref="I298">
    <cfRule type="cellIs" dxfId="2318" priority="568" stopIfTrue="1" operator="lessThan">
      <formula>$H$298*(-1)</formula>
    </cfRule>
  </conditionalFormatting>
  <conditionalFormatting sqref="I299">
    <cfRule type="cellIs" dxfId="2317" priority="569" stopIfTrue="1" operator="greaterThan">
      <formula>$H$299</formula>
    </cfRule>
  </conditionalFormatting>
  <conditionalFormatting sqref="I299">
    <cfRule type="cellIs" dxfId="2316" priority="570" stopIfTrue="1" operator="lessThan">
      <formula>$H$299*(-1)</formula>
    </cfRule>
  </conditionalFormatting>
  <conditionalFormatting sqref="I300">
    <cfRule type="cellIs" dxfId="2315" priority="571" stopIfTrue="1" operator="greaterThan">
      <formula>$H$300</formula>
    </cfRule>
  </conditionalFormatting>
  <conditionalFormatting sqref="I300">
    <cfRule type="cellIs" dxfId="2314" priority="572" stopIfTrue="1" operator="lessThan">
      <formula>$H$300*(-1)</formula>
    </cfRule>
  </conditionalFormatting>
  <conditionalFormatting sqref="I301">
    <cfRule type="cellIs" dxfId="2313" priority="573" stopIfTrue="1" operator="greaterThan">
      <formula>$H$301</formula>
    </cfRule>
  </conditionalFormatting>
  <conditionalFormatting sqref="I301">
    <cfRule type="cellIs" dxfId="2312" priority="574" stopIfTrue="1" operator="lessThan">
      <formula>$H$301*(-1)</formula>
    </cfRule>
  </conditionalFormatting>
  <conditionalFormatting sqref="I302">
    <cfRule type="cellIs" dxfId="2311" priority="575" stopIfTrue="1" operator="greaterThan">
      <formula>$H$302</formula>
    </cfRule>
  </conditionalFormatting>
  <conditionalFormatting sqref="I302">
    <cfRule type="cellIs" dxfId="2310" priority="576" stopIfTrue="1" operator="lessThan">
      <formula>$H$302*(-1)</formula>
    </cfRule>
  </conditionalFormatting>
  <conditionalFormatting sqref="I303">
    <cfRule type="cellIs" dxfId="2309" priority="577" stopIfTrue="1" operator="greaterThan">
      <formula>$H$303</formula>
    </cfRule>
  </conditionalFormatting>
  <conditionalFormatting sqref="I303">
    <cfRule type="cellIs" dxfId="2308" priority="578" stopIfTrue="1" operator="lessThan">
      <formula>$H$303*(-1)</formula>
    </cfRule>
  </conditionalFormatting>
  <conditionalFormatting sqref="I304">
    <cfRule type="cellIs" dxfId="2307" priority="579" stopIfTrue="1" operator="greaterThan">
      <formula>$H$304</formula>
    </cfRule>
  </conditionalFormatting>
  <conditionalFormatting sqref="I304">
    <cfRule type="cellIs" dxfId="2306" priority="580" stopIfTrue="1" operator="lessThan">
      <formula>$H$304*(-1)</formula>
    </cfRule>
  </conditionalFormatting>
  <conditionalFormatting sqref="I305">
    <cfRule type="cellIs" dxfId="2305" priority="581" stopIfTrue="1" operator="greaterThan">
      <formula>$H$305</formula>
    </cfRule>
  </conditionalFormatting>
  <conditionalFormatting sqref="I305">
    <cfRule type="cellIs" dxfId="2304" priority="582" stopIfTrue="1" operator="lessThan">
      <formula>$H$305*(-1)</formula>
    </cfRule>
  </conditionalFormatting>
  <conditionalFormatting sqref="I306">
    <cfRule type="cellIs" dxfId="2303" priority="583" stopIfTrue="1" operator="greaterThan">
      <formula>$H$306</formula>
    </cfRule>
  </conditionalFormatting>
  <conditionalFormatting sqref="I306">
    <cfRule type="cellIs" dxfId="2302" priority="584" stopIfTrue="1" operator="lessThan">
      <formula>$H$306*(-1)</formula>
    </cfRule>
  </conditionalFormatting>
  <conditionalFormatting sqref="I307">
    <cfRule type="cellIs" dxfId="2301" priority="585" stopIfTrue="1" operator="greaterThan">
      <formula>$H$307</formula>
    </cfRule>
  </conditionalFormatting>
  <conditionalFormatting sqref="I307">
    <cfRule type="cellIs" dxfId="2300" priority="586" stopIfTrue="1" operator="lessThan">
      <formula>$H$307*(-1)</formula>
    </cfRule>
  </conditionalFormatting>
  <conditionalFormatting sqref="I308">
    <cfRule type="cellIs" dxfId="2299" priority="587" stopIfTrue="1" operator="greaterThan">
      <formula>$H$308</formula>
    </cfRule>
  </conditionalFormatting>
  <conditionalFormatting sqref="I308">
    <cfRule type="cellIs" dxfId="2298" priority="588" stopIfTrue="1" operator="lessThan">
      <formula>$H$308*(-1)</formula>
    </cfRule>
  </conditionalFormatting>
  <conditionalFormatting sqref="I309">
    <cfRule type="cellIs" dxfId="2297" priority="589" stopIfTrue="1" operator="greaterThan">
      <formula>$H$309</formula>
    </cfRule>
  </conditionalFormatting>
  <conditionalFormatting sqref="I309">
    <cfRule type="cellIs" dxfId="2296" priority="590" stopIfTrue="1" operator="lessThan">
      <formula>$H$309*(-1)</formula>
    </cfRule>
  </conditionalFormatting>
  <conditionalFormatting sqref="I310">
    <cfRule type="cellIs" dxfId="2295" priority="591" stopIfTrue="1" operator="greaterThan">
      <formula>$H$310</formula>
    </cfRule>
  </conditionalFormatting>
  <conditionalFormatting sqref="I310">
    <cfRule type="cellIs" dxfId="2294" priority="592" stopIfTrue="1" operator="lessThan">
      <formula>$H$310*(-1)</formula>
    </cfRule>
  </conditionalFormatting>
  <conditionalFormatting sqref="I311">
    <cfRule type="cellIs" dxfId="2293" priority="593" stopIfTrue="1" operator="greaterThan">
      <formula>$H$311</formula>
    </cfRule>
  </conditionalFormatting>
  <conditionalFormatting sqref="I311">
    <cfRule type="cellIs" dxfId="2292" priority="594" stopIfTrue="1" operator="lessThan">
      <formula>$H$311*(-1)</formula>
    </cfRule>
  </conditionalFormatting>
  <conditionalFormatting sqref="I312">
    <cfRule type="cellIs" dxfId="2291" priority="595" stopIfTrue="1" operator="greaterThan">
      <formula>$H$312</formula>
    </cfRule>
  </conditionalFormatting>
  <conditionalFormatting sqref="I312">
    <cfRule type="cellIs" dxfId="2290" priority="596" stopIfTrue="1" operator="lessThan">
      <formula>$H$312*(-1)</formula>
    </cfRule>
  </conditionalFormatting>
  <conditionalFormatting sqref="I313">
    <cfRule type="cellIs" dxfId="2289" priority="597" stopIfTrue="1" operator="greaterThan">
      <formula>$H$313</formula>
    </cfRule>
  </conditionalFormatting>
  <conditionalFormatting sqref="I313">
    <cfRule type="cellIs" dxfId="2288" priority="598" stopIfTrue="1" operator="lessThan">
      <formula>$H$313*(-1)</formula>
    </cfRule>
  </conditionalFormatting>
  <conditionalFormatting sqref="I314">
    <cfRule type="cellIs" dxfId="2287" priority="599" stopIfTrue="1" operator="greaterThan">
      <formula>$H$314</formula>
    </cfRule>
  </conditionalFormatting>
  <conditionalFormatting sqref="I314">
    <cfRule type="cellIs" dxfId="2286" priority="600" stopIfTrue="1" operator="lessThan">
      <formula>$H$314*(-1)</formula>
    </cfRule>
  </conditionalFormatting>
  <conditionalFormatting sqref="I315">
    <cfRule type="cellIs" dxfId="2285" priority="601" stopIfTrue="1" operator="greaterThan">
      <formula>$H$315</formula>
    </cfRule>
  </conditionalFormatting>
  <conditionalFormatting sqref="I315">
    <cfRule type="cellIs" dxfId="2284" priority="602" stopIfTrue="1" operator="lessThan">
      <formula>$H$315*(-1)</formula>
    </cfRule>
  </conditionalFormatting>
  <conditionalFormatting sqref="I316">
    <cfRule type="cellIs" dxfId="2283" priority="603" stopIfTrue="1" operator="greaterThan">
      <formula>$H$316</formula>
    </cfRule>
  </conditionalFormatting>
  <conditionalFormatting sqref="I316">
    <cfRule type="cellIs" dxfId="2282" priority="604" stopIfTrue="1" operator="lessThan">
      <formula>$H$316*(-1)</formula>
    </cfRule>
  </conditionalFormatting>
  <conditionalFormatting sqref="I317">
    <cfRule type="cellIs" dxfId="2281" priority="605" stopIfTrue="1" operator="greaterThan">
      <formula>$H$317</formula>
    </cfRule>
  </conditionalFormatting>
  <conditionalFormatting sqref="I317">
    <cfRule type="cellIs" dxfId="2280" priority="606" stopIfTrue="1" operator="lessThan">
      <formula>$H$317*(-1)</formula>
    </cfRule>
  </conditionalFormatting>
  <conditionalFormatting sqref="I318">
    <cfRule type="cellIs" dxfId="2279" priority="607" stopIfTrue="1" operator="greaterThan">
      <formula>$H$318</formula>
    </cfRule>
  </conditionalFormatting>
  <conditionalFormatting sqref="I318">
    <cfRule type="cellIs" dxfId="2278" priority="608" stopIfTrue="1" operator="lessThan">
      <formula>$H$318*(-1)</formula>
    </cfRule>
  </conditionalFormatting>
  <conditionalFormatting sqref="I319">
    <cfRule type="cellIs" dxfId="2277" priority="609" stopIfTrue="1" operator="greaterThan">
      <formula>$H$319</formula>
    </cfRule>
  </conditionalFormatting>
  <conditionalFormatting sqref="I319">
    <cfRule type="cellIs" dxfId="2276" priority="610" stopIfTrue="1" operator="lessThan">
      <formula>$H$319*(-1)</formula>
    </cfRule>
  </conditionalFormatting>
  <conditionalFormatting sqref="I320">
    <cfRule type="cellIs" dxfId="2275" priority="611" stopIfTrue="1" operator="greaterThan">
      <formula>$H$320</formula>
    </cfRule>
  </conditionalFormatting>
  <conditionalFormatting sqref="I320">
    <cfRule type="cellIs" dxfId="2274" priority="612" stopIfTrue="1" operator="lessThan">
      <formula>$H$320*(-1)</formula>
    </cfRule>
  </conditionalFormatting>
  <conditionalFormatting sqref="I321">
    <cfRule type="cellIs" dxfId="2273" priority="613" stopIfTrue="1" operator="greaterThan">
      <formula>$H$321</formula>
    </cfRule>
  </conditionalFormatting>
  <conditionalFormatting sqref="I321">
    <cfRule type="cellIs" dxfId="2272" priority="614" stopIfTrue="1" operator="lessThan">
      <formula>$H$321*(-1)</formula>
    </cfRule>
  </conditionalFormatting>
  <conditionalFormatting sqref="I322">
    <cfRule type="cellIs" dxfId="2271" priority="615" stopIfTrue="1" operator="greaterThan">
      <formula>$H$322</formula>
    </cfRule>
  </conditionalFormatting>
  <conditionalFormatting sqref="I322">
    <cfRule type="cellIs" dxfId="2270" priority="616" stopIfTrue="1" operator="lessThan">
      <formula>$H$322*(-1)</formula>
    </cfRule>
  </conditionalFormatting>
  <conditionalFormatting sqref="I323">
    <cfRule type="cellIs" dxfId="2269" priority="617" stopIfTrue="1" operator="greaterThan">
      <formula>$H$323</formula>
    </cfRule>
  </conditionalFormatting>
  <conditionalFormatting sqref="I323">
    <cfRule type="cellIs" dxfId="2268" priority="618" stopIfTrue="1" operator="lessThan">
      <formula>$H$323*(-1)</formula>
    </cfRule>
  </conditionalFormatting>
  <conditionalFormatting sqref="I324">
    <cfRule type="cellIs" dxfId="2267" priority="619" stopIfTrue="1" operator="greaterThan">
      <formula>$H$324</formula>
    </cfRule>
  </conditionalFormatting>
  <conditionalFormatting sqref="I324">
    <cfRule type="cellIs" dxfId="2266" priority="620" stopIfTrue="1" operator="lessThan">
      <formula>$H$324*(-1)</formula>
    </cfRule>
  </conditionalFormatting>
  <conditionalFormatting sqref="I325">
    <cfRule type="cellIs" dxfId="2265" priority="621" stopIfTrue="1" operator="greaterThan">
      <formula>$H$325</formula>
    </cfRule>
  </conditionalFormatting>
  <conditionalFormatting sqref="I325">
    <cfRule type="cellIs" dxfId="2264" priority="622" stopIfTrue="1" operator="lessThan">
      <formula>$H$325*(-1)</formula>
    </cfRule>
  </conditionalFormatting>
  <conditionalFormatting sqref="I326">
    <cfRule type="cellIs" dxfId="2263" priority="623" stopIfTrue="1" operator="greaterThan">
      <formula>$H$326</formula>
    </cfRule>
  </conditionalFormatting>
  <conditionalFormatting sqref="I326">
    <cfRule type="cellIs" dxfId="2262" priority="624" stopIfTrue="1" operator="lessThan">
      <formula>$H$326*(-1)</formula>
    </cfRule>
  </conditionalFormatting>
  <conditionalFormatting sqref="I327">
    <cfRule type="cellIs" dxfId="2261" priority="625" stopIfTrue="1" operator="greaterThan">
      <formula>$H$327</formula>
    </cfRule>
  </conditionalFormatting>
  <conditionalFormatting sqref="I327">
    <cfRule type="cellIs" dxfId="2260" priority="626" stopIfTrue="1" operator="lessThan">
      <formula>$H$327*(-1)</formula>
    </cfRule>
  </conditionalFormatting>
  <conditionalFormatting sqref="I328">
    <cfRule type="cellIs" dxfId="2259" priority="627" stopIfTrue="1" operator="greaterThan">
      <formula>$H$328</formula>
    </cfRule>
  </conditionalFormatting>
  <conditionalFormatting sqref="I328">
    <cfRule type="cellIs" dxfId="2258" priority="628" stopIfTrue="1" operator="lessThan">
      <formula>$H$328*(-1)</formula>
    </cfRule>
  </conditionalFormatting>
  <conditionalFormatting sqref="I329">
    <cfRule type="cellIs" dxfId="2257" priority="629" stopIfTrue="1" operator="greaterThan">
      <formula>$H$329</formula>
    </cfRule>
  </conditionalFormatting>
  <conditionalFormatting sqref="I329">
    <cfRule type="cellIs" dxfId="2256" priority="630" stopIfTrue="1" operator="lessThan">
      <formula>$H$329*(-1)</formula>
    </cfRule>
  </conditionalFormatting>
  <conditionalFormatting sqref="I330">
    <cfRule type="cellIs" dxfId="2255" priority="631" stopIfTrue="1" operator="greaterThan">
      <formula>$H$330</formula>
    </cfRule>
  </conditionalFormatting>
  <conditionalFormatting sqref="I330">
    <cfRule type="cellIs" dxfId="2254" priority="632" stopIfTrue="1" operator="lessThan">
      <formula>$H$330*(-1)</formula>
    </cfRule>
  </conditionalFormatting>
  <conditionalFormatting sqref="I331">
    <cfRule type="cellIs" dxfId="2253" priority="633" stopIfTrue="1" operator="greaterThan">
      <formula>$H$331</formula>
    </cfRule>
  </conditionalFormatting>
  <conditionalFormatting sqref="I331">
    <cfRule type="cellIs" dxfId="2252" priority="634" stopIfTrue="1" operator="lessThan">
      <formula>$H$331*(-1)</formula>
    </cfRule>
  </conditionalFormatting>
  <conditionalFormatting sqref="I332">
    <cfRule type="cellIs" dxfId="2251" priority="635" stopIfTrue="1" operator="greaterThan">
      <formula>$H$332</formula>
    </cfRule>
  </conditionalFormatting>
  <conditionalFormatting sqref="I332">
    <cfRule type="cellIs" dxfId="2250" priority="636" stopIfTrue="1" operator="lessThan">
      <formula>$H$332*(-1)</formula>
    </cfRule>
  </conditionalFormatting>
  <conditionalFormatting sqref="I333">
    <cfRule type="cellIs" dxfId="2249" priority="637" stopIfTrue="1" operator="greaterThan">
      <formula>$H$333</formula>
    </cfRule>
  </conditionalFormatting>
  <conditionalFormatting sqref="I333">
    <cfRule type="cellIs" dxfId="2248" priority="638" stopIfTrue="1" operator="lessThan">
      <formula>$H$333*(-1)</formula>
    </cfRule>
  </conditionalFormatting>
  <conditionalFormatting sqref="I334">
    <cfRule type="cellIs" dxfId="2247" priority="639" stopIfTrue="1" operator="greaterThan">
      <formula>$H$334</formula>
    </cfRule>
  </conditionalFormatting>
  <conditionalFormatting sqref="I334">
    <cfRule type="cellIs" dxfId="2246" priority="640" stopIfTrue="1" operator="lessThan">
      <formula>$H$334*(-1)</formula>
    </cfRule>
  </conditionalFormatting>
  <conditionalFormatting sqref="I335">
    <cfRule type="cellIs" dxfId="2245" priority="641" stopIfTrue="1" operator="greaterThan">
      <formula>$H$335</formula>
    </cfRule>
  </conditionalFormatting>
  <conditionalFormatting sqref="I335">
    <cfRule type="cellIs" dxfId="2244" priority="642" stopIfTrue="1" operator="lessThan">
      <formula>$H$335*(-1)</formula>
    </cfRule>
  </conditionalFormatting>
  <conditionalFormatting sqref="I336">
    <cfRule type="cellIs" dxfId="2243" priority="643" stopIfTrue="1" operator="greaterThan">
      <formula>$H$336</formula>
    </cfRule>
  </conditionalFormatting>
  <conditionalFormatting sqref="I336">
    <cfRule type="cellIs" dxfId="2242" priority="644" stopIfTrue="1" operator="lessThan">
      <formula>$H$336*(-1)</formula>
    </cfRule>
  </conditionalFormatting>
  <conditionalFormatting sqref="I337">
    <cfRule type="cellIs" dxfId="2241" priority="645" stopIfTrue="1" operator="greaterThan">
      <formula>$H$337</formula>
    </cfRule>
  </conditionalFormatting>
  <conditionalFormatting sqref="I337">
    <cfRule type="cellIs" dxfId="2240" priority="646" stopIfTrue="1" operator="lessThan">
      <formula>$H$337*(-1)</formula>
    </cfRule>
  </conditionalFormatting>
  <conditionalFormatting sqref="I338">
    <cfRule type="cellIs" dxfId="2239" priority="647" stopIfTrue="1" operator="greaterThan">
      <formula>$H$338</formula>
    </cfRule>
  </conditionalFormatting>
  <conditionalFormatting sqref="I338">
    <cfRule type="cellIs" dxfId="2238" priority="648" stopIfTrue="1" operator="lessThan">
      <formula>$H$338*(-1)</formula>
    </cfRule>
  </conditionalFormatting>
  <conditionalFormatting sqref="I339">
    <cfRule type="cellIs" dxfId="2237" priority="649" stopIfTrue="1" operator="greaterThan">
      <formula>$H$339</formula>
    </cfRule>
  </conditionalFormatting>
  <conditionalFormatting sqref="I339">
    <cfRule type="cellIs" dxfId="2236" priority="650" stopIfTrue="1" operator="lessThan">
      <formula>$H$339*(-1)</formula>
    </cfRule>
  </conditionalFormatting>
  <conditionalFormatting sqref="I340">
    <cfRule type="cellIs" dxfId="2235" priority="651" stopIfTrue="1" operator="greaterThan">
      <formula>$H$340</formula>
    </cfRule>
  </conditionalFormatting>
  <conditionalFormatting sqref="I340">
    <cfRule type="cellIs" dxfId="2234" priority="652" stopIfTrue="1" operator="lessThan">
      <formula>$H$340*(-1)</formula>
    </cfRule>
  </conditionalFormatting>
  <conditionalFormatting sqref="I341">
    <cfRule type="cellIs" dxfId="2233" priority="653" stopIfTrue="1" operator="greaterThan">
      <formula>$H$341</formula>
    </cfRule>
  </conditionalFormatting>
  <conditionalFormatting sqref="I341">
    <cfRule type="cellIs" dxfId="2232" priority="654" stopIfTrue="1" operator="lessThan">
      <formula>$H$341*(-1)</formula>
    </cfRule>
  </conditionalFormatting>
  <conditionalFormatting sqref="I342">
    <cfRule type="cellIs" dxfId="2231" priority="655" stopIfTrue="1" operator="greaterThan">
      <formula>$H$342</formula>
    </cfRule>
  </conditionalFormatting>
  <conditionalFormatting sqref="I342">
    <cfRule type="cellIs" dxfId="2230" priority="656" stopIfTrue="1" operator="lessThan">
      <formula>$H$342*(-1)</formula>
    </cfRule>
  </conditionalFormatting>
  <conditionalFormatting sqref="I343">
    <cfRule type="cellIs" dxfId="2229" priority="657" stopIfTrue="1" operator="greaterThan">
      <formula>$H$343</formula>
    </cfRule>
  </conditionalFormatting>
  <conditionalFormatting sqref="I343">
    <cfRule type="cellIs" dxfId="2228" priority="658" stopIfTrue="1" operator="lessThan">
      <formula>$H$343*(-1)</formula>
    </cfRule>
  </conditionalFormatting>
  <conditionalFormatting sqref="I344">
    <cfRule type="cellIs" dxfId="2227" priority="659" stopIfTrue="1" operator="greaterThan">
      <formula>$H$344</formula>
    </cfRule>
  </conditionalFormatting>
  <conditionalFormatting sqref="I344">
    <cfRule type="cellIs" dxfId="2226" priority="660" stopIfTrue="1" operator="lessThan">
      <formula>$H$344*(-1)</formula>
    </cfRule>
  </conditionalFormatting>
  <conditionalFormatting sqref="I345">
    <cfRule type="cellIs" dxfId="2225" priority="661" stopIfTrue="1" operator="greaterThan">
      <formula>$H$345</formula>
    </cfRule>
  </conditionalFormatting>
  <conditionalFormatting sqref="I345">
    <cfRule type="cellIs" dxfId="2224" priority="662" stopIfTrue="1" operator="lessThan">
      <formula>$H$345*(-1)</formula>
    </cfRule>
  </conditionalFormatting>
  <conditionalFormatting sqref="I346">
    <cfRule type="cellIs" dxfId="2223" priority="663" stopIfTrue="1" operator="greaterThan">
      <formula>$H$346</formula>
    </cfRule>
  </conditionalFormatting>
  <conditionalFormatting sqref="I346">
    <cfRule type="cellIs" dxfId="2222" priority="664" stopIfTrue="1" operator="lessThan">
      <formula>$H$346*(-1)</formula>
    </cfRule>
  </conditionalFormatting>
  <conditionalFormatting sqref="I347">
    <cfRule type="cellIs" dxfId="2221" priority="665" stopIfTrue="1" operator="greaterThan">
      <formula>$H$347</formula>
    </cfRule>
  </conditionalFormatting>
  <conditionalFormatting sqref="I347">
    <cfRule type="cellIs" dxfId="2220" priority="666" stopIfTrue="1" operator="lessThan">
      <formula>$H$347*(-1)</formula>
    </cfRule>
  </conditionalFormatting>
  <conditionalFormatting sqref="I348">
    <cfRule type="cellIs" dxfId="2219" priority="667" stopIfTrue="1" operator="greaterThan">
      <formula>$H$348</formula>
    </cfRule>
  </conditionalFormatting>
  <conditionalFormatting sqref="I348">
    <cfRule type="cellIs" dxfId="2218" priority="668" stopIfTrue="1" operator="lessThan">
      <formula>$H$348*(-1)</formula>
    </cfRule>
  </conditionalFormatting>
  <conditionalFormatting sqref="I349">
    <cfRule type="cellIs" dxfId="2217" priority="669" stopIfTrue="1" operator="greaterThan">
      <formula>$H$349</formula>
    </cfRule>
  </conditionalFormatting>
  <conditionalFormatting sqref="I349">
    <cfRule type="cellIs" dxfId="2216" priority="670" stopIfTrue="1" operator="lessThan">
      <formula>$H$349*(-1)</formula>
    </cfRule>
  </conditionalFormatting>
  <conditionalFormatting sqref="I350">
    <cfRule type="cellIs" dxfId="2215" priority="671" stopIfTrue="1" operator="greaterThan">
      <formula>$H$350</formula>
    </cfRule>
  </conditionalFormatting>
  <conditionalFormatting sqref="I350">
    <cfRule type="cellIs" dxfId="2214" priority="672" stopIfTrue="1" operator="lessThan">
      <formula>$H$350*(-1)</formula>
    </cfRule>
  </conditionalFormatting>
  <conditionalFormatting sqref="I351">
    <cfRule type="cellIs" dxfId="2213" priority="673" stopIfTrue="1" operator="greaterThan">
      <formula>$H$351</formula>
    </cfRule>
  </conditionalFormatting>
  <conditionalFormatting sqref="I351">
    <cfRule type="cellIs" dxfId="2212" priority="674" stopIfTrue="1" operator="lessThan">
      <formula>$H$351*(-1)</formula>
    </cfRule>
  </conditionalFormatting>
  <conditionalFormatting sqref="I352">
    <cfRule type="cellIs" dxfId="2211" priority="675" stopIfTrue="1" operator="greaterThan">
      <formula>$H$352</formula>
    </cfRule>
  </conditionalFormatting>
  <conditionalFormatting sqref="I352">
    <cfRule type="cellIs" dxfId="2210" priority="676" stopIfTrue="1" operator="lessThan">
      <formula>$H$352*(-1)</formula>
    </cfRule>
  </conditionalFormatting>
  <conditionalFormatting sqref="I353">
    <cfRule type="cellIs" dxfId="2209" priority="677" stopIfTrue="1" operator="greaterThan">
      <formula>$H$353</formula>
    </cfRule>
  </conditionalFormatting>
  <conditionalFormatting sqref="I353">
    <cfRule type="cellIs" dxfId="2208" priority="678" stopIfTrue="1" operator="lessThan">
      <formula>$H$353*(-1)</formula>
    </cfRule>
  </conditionalFormatting>
  <conditionalFormatting sqref="I354">
    <cfRule type="cellIs" dxfId="2207" priority="679" stopIfTrue="1" operator="greaterThan">
      <formula>$H$354</formula>
    </cfRule>
  </conditionalFormatting>
  <conditionalFormatting sqref="I354">
    <cfRule type="cellIs" dxfId="2206" priority="680" stopIfTrue="1" operator="lessThan">
      <formula>$H$354*(-1)</formula>
    </cfRule>
  </conditionalFormatting>
  <conditionalFormatting sqref="I355">
    <cfRule type="cellIs" dxfId="2205" priority="681" stopIfTrue="1" operator="greaterThan">
      <formula>$H$355</formula>
    </cfRule>
  </conditionalFormatting>
  <conditionalFormatting sqref="I355">
    <cfRule type="cellIs" dxfId="2204" priority="682" stopIfTrue="1" operator="lessThan">
      <formula>$H$355*(-1)</formula>
    </cfRule>
  </conditionalFormatting>
  <conditionalFormatting sqref="I356">
    <cfRule type="cellIs" dxfId="2203" priority="683" stopIfTrue="1" operator="greaterThan">
      <formula>$H$356</formula>
    </cfRule>
  </conditionalFormatting>
  <conditionalFormatting sqref="I356">
    <cfRule type="cellIs" dxfId="2202" priority="684" stopIfTrue="1" operator="lessThan">
      <formula>$H$356*(-1)</formula>
    </cfRule>
  </conditionalFormatting>
  <conditionalFormatting sqref="I357">
    <cfRule type="cellIs" dxfId="2201" priority="685" stopIfTrue="1" operator="greaterThan">
      <formula>$H$357</formula>
    </cfRule>
  </conditionalFormatting>
  <conditionalFormatting sqref="I357">
    <cfRule type="cellIs" dxfId="2200" priority="686" stopIfTrue="1" operator="lessThan">
      <formula>$H$357*(-1)</formula>
    </cfRule>
  </conditionalFormatting>
  <conditionalFormatting sqref="I358">
    <cfRule type="cellIs" dxfId="2199" priority="687" stopIfTrue="1" operator="greaterThan">
      <formula>$H$358</formula>
    </cfRule>
  </conditionalFormatting>
  <conditionalFormatting sqref="I358">
    <cfRule type="cellIs" dxfId="2198" priority="688" stopIfTrue="1" operator="lessThan">
      <formula>$H$358*(-1)</formula>
    </cfRule>
  </conditionalFormatting>
  <conditionalFormatting sqref="I359">
    <cfRule type="cellIs" dxfId="2197" priority="689" stopIfTrue="1" operator="greaterThan">
      <formula>$H$359</formula>
    </cfRule>
  </conditionalFormatting>
  <conditionalFormatting sqref="I359">
    <cfRule type="cellIs" dxfId="2196" priority="690" stopIfTrue="1" operator="lessThan">
      <formula>$H$359*(-1)</formula>
    </cfRule>
  </conditionalFormatting>
  <conditionalFormatting sqref="I360">
    <cfRule type="cellIs" dxfId="2195" priority="691" stopIfTrue="1" operator="greaterThan">
      <formula>$H$360</formula>
    </cfRule>
  </conditionalFormatting>
  <conditionalFormatting sqref="I360">
    <cfRule type="cellIs" dxfId="2194" priority="692" stopIfTrue="1" operator="lessThan">
      <formula>$H$360*(-1)</formula>
    </cfRule>
  </conditionalFormatting>
  <conditionalFormatting sqref="I361">
    <cfRule type="cellIs" dxfId="2193" priority="693" stopIfTrue="1" operator="greaterThan">
      <formula>$H$361</formula>
    </cfRule>
  </conditionalFormatting>
  <conditionalFormatting sqref="I361">
    <cfRule type="cellIs" dxfId="2192" priority="694" stopIfTrue="1" operator="lessThan">
      <formula>$H$361*(-1)</formula>
    </cfRule>
  </conditionalFormatting>
  <conditionalFormatting sqref="I362">
    <cfRule type="cellIs" dxfId="2191" priority="695" stopIfTrue="1" operator="greaterThan">
      <formula>$H$362</formula>
    </cfRule>
  </conditionalFormatting>
  <conditionalFormatting sqref="I362">
    <cfRule type="cellIs" dxfId="2190" priority="696" stopIfTrue="1" operator="lessThan">
      <formula>$H$362*(-1)</formula>
    </cfRule>
  </conditionalFormatting>
  <conditionalFormatting sqref="I363">
    <cfRule type="cellIs" dxfId="2189" priority="697" stopIfTrue="1" operator="greaterThan">
      <formula>$H$363</formula>
    </cfRule>
  </conditionalFormatting>
  <conditionalFormatting sqref="I363">
    <cfRule type="cellIs" dxfId="2188" priority="698" stopIfTrue="1" operator="lessThan">
      <formula>$H$363*(-1)</formula>
    </cfRule>
  </conditionalFormatting>
  <conditionalFormatting sqref="I364">
    <cfRule type="cellIs" dxfId="2187" priority="699" stopIfTrue="1" operator="greaterThan">
      <formula>$H$364</formula>
    </cfRule>
  </conditionalFormatting>
  <conditionalFormatting sqref="I364">
    <cfRule type="cellIs" dxfId="2186" priority="700" stopIfTrue="1" operator="lessThan">
      <formula>$H$364*(-1)</formula>
    </cfRule>
  </conditionalFormatting>
  <conditionalFormatting sqref="I365">
    <cfRule type="cellIs" dxfId="2185" priority="701" stopIfTrue="1" operator="greaterThan">
      <formula>$H$365</formula>
    </cfRule>
  </conditionalFormatting>
  <conditionalFormatting sqref="I365">
    <cfRule type="cellIs" dxfId="2184" priority="702" stopIfTrue="1" operator="lessThan">
      <formula>$H$365*(-1)</formula>
    </cfRule>
  </conditionalFormatting>
  <conditionalFormatting sqref="I366">
    <cfRule type="cellIs" dxfId="2183" priority="703" stopIfTrue="1" operator="greaterThan">
      <formula>$H$366</formula>
    </cfRule>
  </conditionalFormatting>
  <conditionalFormatting sqref="I366">
    <cfRule type="cellIs" dxfId="2182" priority="704" stopIfTrue="1" operator="lessThan">
      <formula>$H$366*(-1)</formula>
    </cfRule>
  </conditionalFormatting>
  <conditionalFormatting sqref="I367">
    <cfRule type="cellIs" dxfId="2181" priority="705" stopIfTrue="1" operator="greaterThan">
      <formula>$H$367</formula>
    </cfRule>
  </conditionalFormatting>
  <conditionalFormatting sqref="I367">
    <cfRule type="cellIs" dxfId="2180" priority="706" stopIfTrue="1" operator="lessThan">
      <formula>$H$367*(-1)</formula>
    </cfRule>
  </conditionalFormatting>
  <conditionalFormatting sqref="I368">
    <cfRule type="cellIs" dxfId="2179" priority="707" stopIfTrue="1" operator="greaterThan">
      <formula>$H$368</formula>
    </cfRule>
  </conditionalFormatting>
  <conditionalFormatting sqref="I368">
    <cfRule type="cellIs" dxfId="2178" priority="708" stopIfTrue="1" operator="lessThan">
      <formula>$H$368*(-1)</formula>
    </cfRule>
  </conditionalFormatting>
  <conditionalFormatting sqref="I369">
    <cfRule type="cellIs" dxfId="2177" priority="709" stopIfTrue="1" operator="greaterThan">
      <formula>$H$369</formula>
    </cfRule>
  </conditionalFormatting>
  <conditionalFormatting sqref="I369">
    <cfRule type="cellIs" dxfId="2176" priority="710" stopIfTrue="1" operator="lessThan">
      <formula>$H$369*(-1)</formula>
    </cfRule>
  </conditionalFormatting>
  <conditionalFormatting sqref="I370">
    <cfRule type="cellIs" dxfId="2175" priority="711" stopIfTrue="1" operator="greaterThan">
      <formula>$H$370</formula>
    </cfRule>
  </conditionalFormatting>
  <conditionalFormatting sqref="I370">
    <cfRule type="cellIs" dxfId="2174" priority="712" stopIfTrue="1" operator="lessThan">
      <formula>$H$370*(-1)</formula>
    </cfRule>
  </conditionalFormatting>
  <conditionalFormatting sqref="I371">
    <cfRule type="cellIs" dxfId="2173" priority="713" stopIfTrue="1" operator="greaterThan">
      <formula>$H$371</formula>
    </cfRule>
  </conditionalFormatting>
  <conditionalFormatting sqref="I371">
    <cfRule type="cellIs" dxfId="2172" priority="714" stopIfTrue="1" operator="lessThan">
      <formula>$H$371*(-1)</formula>
    </cfRule>
  </conditionalFormatting>
  <conditionalFormatting sqref="I372">
    <cfRule type="cellIs" dxfId="2171" priority="715" stopIfTrue="1" operator="greaterThan">
      <formula>$H$372</formula>
    </cfRule>
  </conditionalFormatting>
  <conditionalFormatting sqref="I372">
    <cfRule type="cellIs" dxfId="2170" priority="716" stopIfTrue="1" operator="lessThan">
      <formula>$H$372*(-1)</formula>
    </cfRule>
  </conditionalFormatting>
  <conditionalFormatting sqref="I373">
    <cfRule type="cellIs" dxfId="2169" priority="717" stopIfTrue="1" operator="greaterThan">
      <formula>$H$373</formula>
    </cfRule>
  </conditionalFormatting>
  <conditionalFormatting sqref="I373">
    <cfRule type="cellIs" dxfId="2168" priority="718" stopIfTrue="1" operator="lessThan">
      <formula>$H$373*(-1)</formula>
    </cfRule>
  </conditionalFormatting>
  <conditionalFormatting sqref="I374">
    <cfRule type="cellIs" dxfId="2167" priority="719" stopIfTrue="1" operator="greaterThan">
      <formula>$H$374</formula>
    </cfRule>
  </conditionalFormatting>
  <conditionalFormatting sqref="I374">
    <cfRule type="cellIs" dxfId="2166" priority="720" stopIfTrue="1" operator="lessThan">
      <formula>$H$374*(-1)</formula>
    </cfRule>
  </conditionalFormatting>
  <conditionalFormatting sqref="I375">
    <cfRule type="cellIs" dxfId="2165" priority="721" stopIfTrue="1" operator="greaterThan">
      <formula>$H$375</formula>
    </cfRule>
  </conditionalFormatting>
  <conditionalFormatting sqref="I375">
    <cfRule type="cellIs" dxfId="2164" priority="722" stopIfTrue="1" operator="lessThan">
      <formula>$H$375*(-1)</formula>
    </cfRule>
  </conditionalFormatting>
  <conditionalFormatting sqref="I376">
    <cfRule type="cellIs" dxfId="2163" priority="723" stopIfTrue="1" operator="greaterThan">
      <formula>$H$376</formula>
    </cfRule>
  </conditionalFormatting>
  <conditionalFormatting sqref="I376">
    <cfRule type="cellIs" dxfId="2162" priority="724" stopIfTrue="1" operator="lessThan">
      <formula>$H$376*(-1)</formula>
    </cfRule>
  </conditionalFormatting>
  <conditionalFormatting sqref="I377">
    <cfRule type="cellIs" dxfId="2161" priority="725" stopIfTrue="1" operator="greaterThan">
      <formula>$H$377</formula>
    </cfRule>
  </conditionalFormatting>
  <conditionalFormatting sqref="I377">
    <cfRule type="cellIs" dxfId="2160" priority="726" stopIfTrue="1" operator="lessThan">
      <formula>$H$377*(-1)</formula>
    </cfRule>
  </conditionalFormatting>
  <conditionalFormatting sqref="I378">
    <cfRule type="cellIs" dxfId="2159" priority="727" stopIfTrue="1" operator="greaterThan">
      <formula>$H$378</formula>
    </cfRule>
  </conditionalFormatting>
  <conditionalFormatting sqref="I378">
    <cfRule type="cellIs" dxfId="2158" priority="728" stopIfTrue="1" operator="lessThan">
      <formula>$H$378*(-1)</formula>
    </cfRule>
  </conditionalFormatting>
  <conditionalFormatting sqref="I379">
    <cfRule type="cellIs" dxfId="2157" priority="729" stopIfTrue="1" operator="greaterThan">
      <formula>$H$379</formula>
    </cfRule>
  </conditionalFormatting>
  <conditionalFormatting sqref="I379">
    <cfRule type="cellIs" dxfId="2156" priority="730" stopIfTrue="1" operator="lessThan">
      <formula>$H$379*(-1)</formula>
    </cfRule>
  </conditionalFormatting>
  <conditionalFormatting sqref="I380">
    <cfRule type="cellIs" dxfId="2155" priority="731" stopIfTrue="1" operator="greaterThan">
      <formula>$H$380</formula>
    </cfRule>
  </conditionalFormatting>
  <conditionalFormatting sqref="I380">
    <cfRule type="cellIs" dxfId="2154" priority="732" stopIfTrue="1" operator="lessThan">
      <formula>$H$380*(-1)</formula>
    </cfRule>
  </conditionalFormatting>
  <conditionalFormatting sqref="I381">
    <cfRule type="cellIs" dxfId="2153" priority="733" stopIfTrue="1" operator="greaterThan">
      <formula>$H$381</formula>
    </cfRule>
  </conditionalFormatting>
  <conditionalFormatting sqref="I381">
    <cfRule type="cellIs" dxfId="2152" priority="734" stopIfTrue="1" operator="lessThan">
      <formula>$H$381*(-1)</formula>
    </cfRule>
  </conditionalFormatting>
  <conditionalFormatting sqref="I382">
    <cfRule type="cellIs" dxfId="2151" priority="735" stopIfTrue="1" operator="greaterThan">
      <formula>$H$382</formula>
    </cfRule>
  </conditionalFormatting>
  <conditionalFormatting sqref="I382">
    <cfRule type="cellIs" dxfId="2150" priority="736" stopIfTrue="1" operator="lessThan">
      <formula>$H$382*(-1)</formula>
    </cfRule>
  </conditionalFormatting>
  <conditionalFormatting sqref="I383">
    <cfRule type="cellIs" dxfId="2149" priority="737" stopIfTrue="1" operator="greaterThan">
      <formula>$H$383</formula>
    </cfRule>
  </conditionalFormatting>
  <conditionalFormatting sqref="I383">
    <cfRule type="cellIs" dxfId="2148" priority="738" stopIfTrue="1" operator="lessThan">
      <formula>$H$383*(-1)</formula>
    </cfRule>
  </conditionalFormatting>
  <conditionalFormatting sqref="I384">
    <cfRule type="cellIs" dxfId="2147" priority="739" stopIfTrue="1" operator="greaterThan">
      <formula>$H$384</formula>
    </cfRule>
  </conditionalFormatting>
  <conditionalFormatting sqref="I384">
    <cfRule type="cellIs" dxfId="2146" priority="740" stopIfTrue="1" operator="lessThan">
      <formula>$H$384*(-1)</formula>
    </cfRule>
  </conditionalFormatting>
  <conditionalFormatting sqref="I385">
    <cfRule type="cellIs" dxfId="2145" priority="741" stopIfTrue="1" operator="greaterThan">
      <formula>$H$385</formula>
    </cfRule>
  </conditionalFormatting>
  <conditionalFormatting sqref="I385">
    <cfRule type="cellIs" dxfId="2144" priority="742" stopIfTrue="1" operator="lessThan">
      <formula>$H$385*(-1)</formula>
    </cfRule>
  </conditionalFormatting>
  <conditionalFormatting sqref="I386">
    <cfRule type="cellIs" dxfId="2143" priority="743" stopIfTrue="1" operator="greaterThan">
      <formula>$H$386</formula>
    </cfRule>
  </conditionalFormatting>
  <conditionalFormatting sqref="I386">
    <cfRule type="cellIs" dxfId="2142" priority="744" stopIfTrue="1" operator="lessThan">
      <formula>$H$386*(-1)</formula>
    </cfRule>
  </conditionalFormatting>
  <conditionalFormatting sqref="I387">
    <cfRule type="cellIs" dxfId="2141" priority="745" stopIfTrue="1" operator="greaterThan">
      <formula>$H$387</formula>
    </cfRule>
  </conditionalFormatting>
  <conditionalFormatting sqref="I387">
    <cfRule type="cellIs" dxfId="2140" priority="746" stopIfTrue="1" operator="lessThan">
      <formula>$H$387*(-1)</formula>
    </cfRule>
  </conditionalFormatting>
  <conditionalFormatting sqref="I388">
    <cfRule type="cellIs" dxfId="2139" priority="747" stopIfTrue="1" operator="greaterThan">
      <formula>$H$388</formula>
    </cfRule>
  </conditionalFormatting>
  <conditionalFormatting sqref="I388">
    <cfRule type="cellIs" dxfId="2138" priority="748" stopIfTrue="1" operator="lessThan">
      <formula>$H$388*(-1)</formula>
    </cfRule>
  </conditionalFormatting>
  <conditionalFormatting sqref="I389">
    <cfRule type="cellIs" dxfId="2137" priority="749" stopIfTrue="1" operator="greaterThan">
      <formula>$H$389</formula>
    </cfRule>
  </conditionalFormatting>
  <conditionalFormatting sqref="I389">
    <cfRule type="cellIs" dxfId="2136" priority="750" stopIfTrue="1" operator="lessThan">
      <formula>$H$389*(-1)</formula>
    </cfRule>
  </conditionalFormatting>
  <conditionalFormatting sqref="I390">
    <cfRule type="cellIs" dxfId="2135" priority="751" stopIfTrue="1" operator="greaterThan">
      <formula>$H$390</formula>
    </cfRule>
  </conditionalFormatting>
  <conditionalFormatting sqref="I390">
    <cfRule type="cellIs" dxfId="2134" priority="752" stopIfTrue="1" operator="lessThan">
      <formula>$H$390*(-1)</formula>
    </cfRule>
  </conditionalFormatting>
  <conditionalFormatting sqref="I391">
    <cfRule type="cellIs" dxfId="2133" priority="753" stopIfTrue="1" operator="greaterThan">
      <formula>$H$391</formula>
    </cfRule>
  </conditionalFormatting>
  <conditionalFormatting sqref="I391">
    <cfRule type="cellIs" dxfId="2132" priority="754" stopIfTrue="1" operator="lessThan">
      <formula>$H$391*(-1)</formula>
    </cfRule>
  </conditionalFormatting>
  <conditionalFormatting sqref="I392">
    <cfRule type="cellIs" dxfId="2131" priority="755" stopIfTrue="1" operator="greaterThan">
      <formula>$H$392</formula>
    </cfRule>
  </conditionalFormatting>
  <conditionalFormatting sqref="I392">
    <cfRule type="cellIs" dxfId="2130" priority="756" stopIfTrue="1" operator="lessThan">
      <formula>$H$392*(-1)</formula>
    </cfRule>
  </conditionalFormatting>
  <conditionalFormatting sqref="I393">
    <cfRule type="cellIs" dxfId="2129" priority="757" stopIfTrue="1" operator="greaterThan">
      <formula>$H$393</formula>
    </cfRule>
  </conditionalFormatting>
  <conditionalFormatting sqref="I393">
    <cfRule type="cellIs" dxfId="2128" priority="758" stopIfTrue="1" operator="lessThan">
      <formula>$H$393*(-1)</formula>
    </cfRule>
  </conditionalFormatting>
  <conditionalFormatting sqref="I394">
    <cfRule type="cellIs" dxfId="2127" priority="759" stopIfTrue="1" operator="greaterThan">
      <formula>$H$394</formula>
    </cfRule>
  </conditionalFormatting>
  <conditionalFormatting sqref="I394">
    <cfRule type="cellIs" dxfId="2126" priority="760" stopIfTrue="1" operator="lessThan">
      <formula>$H$394*(-1)</formula>
    </cfRule>
  </conditionalFormatting>
  <conditionalFormatting sqref="I395">
    <cfRule type="cellIs" dxfId="2125" priority="761" stopIfTrue="1" operator="greaterThan">
      <formula>$H$395</formula>
    </cfRule>
  </conditionalFormatting>
  <conditionalFormatting sqref="I395">
    <cfRule type="cellIs" dxfId="2124" priority="762" stopIfTrue="1" operator="lessThan">
      <formula>$H$395*(-1)</formula>
    </cfRule>
  </conditionalFormatting>
  <conditionalFormatting sqref="I396">
    <cfRule type="cellIs" dxfId="2123" priority="763" stopIfTrue="1" operator="greaterThan">
      <formula>$H$396</formula>
    </cfRule>
  </conditionalFormatting>
  <conditionalFormatting sqref="I396">
    <cfRule type="cellIs" dxfId="2122" priority="764" stopIfTrue="1" operator="lessThan">
      <formula>$H$396*(-1)</formula>
    </cfRule>
  </conditionalFormatting>
  <conditionalFormatting sqref="I397">
    <cfRule type="cellIs" dxfId="2121" priority="765" stopIfTrue="1" operator="greaterThan">
      <formula>$H$397</formula>
    </cfRule>
  </conditionalFormatting>
  <conditionalFormatting sqref="I397">
    <cfRule type="cellIs" dxfId="2120" priority="766" stopIfTrue="1" operator="lessThan">
      <formula>$H$397*(-1)</formula>
    </cfRule>
  </conditionalFormatting>
  <conditionalFormatting sqref="I398">
    <cfRule type="cellIs" dxfId="2119" priority="767" stopIfTrue="1" operator="greaterThan">
      <formula>$H$398</formula>
    </cfRule>
  </conditionalFormatting>
  <conditionalFormatting sqref="I398">
    <cfRule type="cellIs" dxfId="2118" priority="768" stopIfTrue="1" operator="lessThan">
      <formula>$H$398*(-1)</formula>
    </cfRule>
  </conditionalFormatting>
  <conditionalFormatting sqref="I399">
    <cfRule type="cellIs" dxfId="2117" priority="769" stopIfTrue="1" operator="greaterThan">
      <formula>$H$399</formula>
    </cfRule>
  </conditionalFormatting>
  <conditionalFormatting sqref="I399">
    <cfRule type="cellIs" dxfId="2116" priority="770" stopIfTrue="1" operator="lessThan">
      <formula>$H$399*(-1)</formula>
    </cfRule>
  </conditionalFormatting>
  <conditionalFormatting sqref="I400">
    <cfRule type="cellIs" dxfId="2115" priority="771" stopIfTrue="1" operator="greaterThan">
      <formula>$H$400</formula>
    </cfRule>
  </conditionalFormatting>
  <conditionalFormatting sqref="I400">
    <cfRule type="cellIs" dxfId="2114" priority="772" stopIfTrue="1" operator="lessThan">
      <formula>$H$400*(-1)</formula>
    </cfRule>
  </conditionalFormatting>
  <conditionalFormatting sqref="I401">
    <cfRule type="cellIs" dxfId="2113" priority="773" stopIfTrue="1" operator="greaterThan">
      <formula>$H$401</formula>
    </cfRule>
  </conditionalFormatting>
  <conditionalFormatting sqref="I401">
    <cfRule type="cellIs" dxfId="2112" priority="774" stopIfTrue="1" operator="lessThan">
      <formula>$H$401*(-1)</formula>
    </cfRule>
  </conditionalFormatting>
  <conditionalFormatting sqref="I402">
    <cfRule type="cellIs" dxfId="2111" priority="775" stopIfTrue="1" operator="greaterThan">
      <formula>$H$402</formula>
    </cfRule>
  </conditionalFormatting>
  <conditionalFormatting sqref="I402">
    <cfRule type="cellIs" dxfId="2110" priority="776" stopIfTrue="1" operator="lessThan">
      <formula>$H$402*(-1)</formula>
    </cfRule>
  </conditionalFormatting>
  <conditionalFormatting sqref="I403">
    <cfRule type="cellIs" dxfId="2109" priority="777" stopIfTrue="1" operator="greaterThan">
      <formula>$H$403</formula>
    </cfRule>
  </conditionalFormatting>
  <conditionalFormatting sqref="I403">
    <cfRule type="cellIs" dxfId="2108" priority="778" stopIfTrue="1" operator="lessThan">
      <formula>$H$403*(-1)</formula>
    </cfRule>
  </conditionalFormatting>
  <conditionalFormatting sqref="I404">
    <cfRule type="cellIs" dxfId="2107" priority="779" stopIfTrue="1" operator="greaterThan">
      <formula>$H$404</formula>
    </cfRule>
  </conditionalFormatting>
  <conditionalFormatting sqref="I404">
    <cfRule type="cellIs" dxfId="2106" priority="780" stopIfTrue="1" operator="lessThan">
      <formula>$H$404*(-1)</formula>
    </cfRule>
  </conditionalFormatting>
  <conditionalFormatting sqref="I405">
    <cfRule type="cellIs" dxfId="2105" priority="781" stopIfTrue="1" operator="greaterThan">
      <formula>$H$405</formula>
    </cfRule>
  </conditionalFormatting>
  <conditionalFormatting sqref="I405">
    <cfRule type="cellIs" dxfId="2104" priority="782" stopIfTrue="1" operator="lessThan">
      <formula>$H$405*(-1)</formula>
    </cfRule>
  </conditionalFormatting>
  <conditionalFormatting sqref="I406">
    <cfRule type="cellIs" dxfId="2103" priority="783" stopIfTrue="1" operator="greaterThan">
      <formula>$H$406</formula>
    </cfRule>
  </conditionalFormatting>
  <conditionalFormatting sqref="I406">
    <cfRule type="cellIs" dxfId="2102" priority="784" stopIfTrue="1" operator="lessThan">
      <formula>$H$406*(-1)</formula>
    </cfRule>
  </conditionalFormatting>
  <conditionalFormatting sqref="I407">
    <cfRule type="cellIs" dxfId="2101" priority="785" stopIfTrue="1" operator="greaterThan">
      <formula>$H$407</formula>
    </cfRule>
  </conditionalFormatting>
  <conditionalFormatting sqref="I407">
    <cfRule type="cellIs" dxfId="2100" priority="786" stopIfTrue="1" operator="lessThan">
      <formula>$H$407*(-1)</formula>
    </cfRule>
  </conditionalFormatting>
  <conditionalFormatting sqref="I408">
    <cfRule type="cellIs" dxfId="2099" priority="787" stopIfTrue="1" operator="greaterThan">
      <formula>$H$408</formula>
    </cfRule>
  </conditionalFormatting>
  <conditionalFormatting sqref="I408">
    <cfRule type="cellIs" dxfId="2098" priority="788" stopIfTrue="1" operator="lessThan">
      <formula>$H$408*(-1)</formula>
    </cfRule>
  </conditionalFormatting>
  <conditionalFormatting sqref="I409">
    <cfRule type="cellIs" dxfId="2097" priority="789" stopIfTrue="1" operator="greaterThan">
      <formula>$H$409</formula>
    </cfRule>
  </conditionalFormatting>
  <conditionalFormatting sqref="I409">
    <cfRule type="cellIs" dxfId="2096" priority="790" stopIfTrue="1" operator="lessThan">
      <formula>$H$409*(-1)</formula>
    </cfRule>
  </conditionalFormatting>
  <conditionalFormatting sqref="I410">
    <cfRule type="cellIs" dxfId="2095" priority="791" stopIfTrue="1" operator="greaterThan">
      <formula>$H$410</formula>
    </cfRule>
  </conditionalFormatting>
  <conditionalFormatting sqref="I410">
    <cfRule type="cellIs" dxfId="2094" priority="792" stopIfTrue="1" operator="lessThan">
      <formula>$H$410*(-1)</formula>
    </cfRule>
  </conditionalFormatting>
  <conditionalFormatting sqref="I411">
    <cfRule type="cellIs" dxfId="2093" priority="793" stopIfTrue="1" operator="greaterThan">
      <formula>$H$411</formula>
    </cfRule>
  </conditionalFormatting>
  <conditionalFormatting sqref="I411">
    <cfRule type="cellIs" dxfId="2092" priority="794" stopIfTrue="1" operator="lessThan">
      <formula>$H$411*(-1)</formula>
    </cfRule>
  </conditionalFormatting>
  <conditionalFormatting sqref="I412">
    <cfRule type="cellIs" dxfId="2091" priority="795" stopIfTrue="1" operator="greaterThan">
      <formula>$H$412</formula>
    </cfRule>
  </conditionalFormatting>
  <conditionalFormatting sqref="I412">
    <cfRule type="cellIs" dxfId="2090" priority="796" stopIfTrue="1" operator="lessThan">
      <formula>$H$412*(-1)</formula>
    </cfRule>
  </conditionalFormatting>
  <conditionalFormatting sqref="I413">
    <cfRule type="cellIs" dxfId="2089" priority="797" stopIfTrue="1" operator="greaterThan">
      <formula>$H$413</formula>
    </cfRule>
  </conditionalFormatting>
  <conditionalFormatting sqref="I413">
    <cfRule type="cellIs" dxfId="2088" priority="798" stopIfTrue="1" operator="lessThan">
      <formula>$H$413*(-1)</formula>
    </cfRule>
  </conditionalFormatting>
  <conditionalFormatting sqref="I414">
    <cfRule type="cellIs" dxfId="2087" priority="799" stopIfTrue="1" operator="greaterThan">
      <formula>$H$414</formula>
    </cfRule>
  </conditionalFormatting>
  <conditionalFormatting sqref="I414">
    <cfRule type="cellIs" dxfId="2086" priority="800" stopIfTrue="1" operator="lessThan">
      <formula>$H$414*(-1)</formula>
    </cfRule>
  </conditionalFormatting>
  <conditionalFormatting sqref="I415">
    <cfRule type="cellIs" dxfId="2085" priority="801" stopIfTrue="1" operator="greaterThan">
      <formula>$H$415</formula>
    </cfRule>
  </conditionalFormatting>
  <conditionalFormatting sqref="I415">
    <cfRule type="cellIs" dxfId="2084" priority="802" stopIfTrue="1" operator="lessThan">
      <formula>$H$415*(-1)</formula>
    </cfRule>
  </conditionalFormatting>
  <conditionalFormatting sqref="I416">
    <cfRule type="cellIs" dxfId="2083" priority="803" stopIfTrue="1" operator="greaterThan">
      <formula>$H$416</formula>
    </cfRule>
  </conditionalFormatting>
  <conditionalFormatting sqref="I416">
    <cfRule type="cellIs" dxfId="2082" priority="804" stopIfTrue="1" operator="lessThan">
      <formula>$H$416*(-1)</formula>
    </cfRule>
  </conditionalFormatting>
  <conditionalFormatting sqref="I417">
    <cfRule type="cellIs" dxfId="2081" priority="805" stopIfTrue="1" operator="greaterThan">
      <formula>$H$417</formula>
    </cfRule>
  </conditionalFormatting>
  <conditionalFormatting sqref="I417">
    <cfRule type="cellIs" dxfId="2080" priority="806" stopIfTrue="1" operator="lessThan">
      <formula>$H$417*(-1)</formula>
    </cfRule>
  </conditionalFormatting>
  <conditionalFormatting sqref="I418">
    <cfRule type="cellIs" dxfId="2079" priority="807" stopIfTrue="1" operator="greaterThan">
      <formula>$H$418</formula>
    </cfRule>
  </conditionalFormatting>
  <conditionalFormatting sqref="I418">
    <cfRule type="cellIs" dxfId="2078" priority="808" stopIfTrue="1" operator="lessThan">
      <formula>$H$418*(-1)</formula>
    </cfRule>
  </conditionalFormatting>
  <conditionalFormatting sqref="I419">
    <cfRule type="cellIs" dxfId="2077" priority="809" stopIfTrue="1" operator="greaterThan">
      <formula>$H$419</formula>
    </cfRule>
  </conditionalFormatting>
  <conditionalFormatting sqref="I419">
    <cfRule type="cellIs" dxfId="2076" priority="810" stopIfTrue="1" operator="lessThan">
      <formula>$H$419*(-1)</formula>
    </cfRule>
  </conditionalFormatting>
  <conditionalFormatting sqref="I420">
    <cfRule type="cellIs" dxfId="2075" priority="811" stopIfTrue="1" operator="greaterThan">
      <formula>$H$420</formula>
    </cfRule>
  </conditionalFormatting>
  <conditionalFormatting sqref="I420">
    <cfRule type="cellIs" dxfId="2074" priority="812" stopIfTrue="1" operator="lessThan">
      <formula>$H$420*(-1)</formula>
    </cfRule>
  </conditionalFormatting>
  <conditionalFormatting sqref="I421">
    <cfRule type="cellIs" dxfId="2073" priority="813" stopIfTrue="1" operator="greaterThan">
      <formula>$H$421</formula>
    </cfRule>
  </conditionalFormatting>
  <conditionalFormatting sqref="I421">
    <cfRule type="cellIs" dxfId="2072" priority="814" stopIfTrue="1" operator="lessThan">
      <formula>$H$421*(-1)</formula>
    </cfRule>
  </conditionalFormatting>
  <conditionalFormatting sqref="I422">
    <cfRule type="cellIs" dxfId="2071" priority="815" stopIfTrue="1" operator="greaterThan">
      <formula>$H$422</formula>
    </cfRule>
  </conditionalFormatting>
  <conditionalFormatting sqref="I422">
    <cfRule type="cellIs" dxfId="2070" priority="816" stopIfTrue="1" operator="lessThan">
      <formula>$H$422*(-1)</formula>
    </cfRule>
  </conditionalFormatting>
  <conditionalFormatting sqref="I423">
    <cfRule type="cellIs" dxfId="2069" priority="817" stopIfTrue="1" operator="greaterThan">
      <formula>$H$423</formula>
    </cfRule>
  </conditionalFormatting>
  <conditionalFormatting sqref="I423">
    <cfRule type="cellIs" dxfId="2068" priority="818" stopIfTrue="1" operator="lessThan">
      <formula>$H$423*(-1)</formula>
    </cfRule>
  </conditionalFormatting>
  <conditionalFormatting sqref="I424">
    <cfRule type="cellIs" dxfId="2067" priority="819" stopIfTrue="1" operator="greaterThan">
      <formula>$H$424</formula>
    </cfRule>
  </conditionalFormatting>
  <conditionalFormatting sqref="I424">
    <cfRule type="cellIs" dxfId="2066" priority="820" stopIfTrue="1" operator="lessThan">
      <formula>$H$424*(-1)</formula>
    </cfRule>
  </conditionalFormatting>
  <conditionalFormatting sqref="I425">
    <cfRule type="cellIs" dxfId="2065" priority="821" stopIfTrue="1" operator="greaterThan">
      <formula>$H$425</formula>
    </cfRule>
  </conditionalFormatting>
  <conditionalFormatting sqref="I425">
    <cfRule type="cellIs" dxfId="2064" priority="822" stopIfTrue="1" operator="lessThan">
      <formula>$H$425*(-1)</formula>
    </cfRule>
  </conditionalFormatting>
  <conditionalFormatting sqref="I426">
    <cfRule type="cellIs" dxfId="2063" priority="823" stopIfTrue="1" operator="greaterThan">
      <formula>$H$426</formula>
    </cfRule>
  </conditionalFormatting>
  <conditionalFormatting sqref="I426">
    <cfRule type="cellIs" dxfId="2062" priority="824" stopIfTrue="1" operator="lessThan">
      <formula>$H$426*(-1)</formula>
    </cfRule>
  </conditionalFormatting>
  <conditionalFormatting sqref="I427">
    <cfRule type="cellIs" dxfId="2061" priority="825" stopIfTrue="1" operator="greaterThan">
      <formula>$H$427</formula>
    </cfRule>
  </conditionalFormatting>
  <conditionalFormatting sqref="I427">
    <cfRule type="cellIs" dxfId="2060" priority="826" stopIfTrue="1" operator="lessThan">
      <formula>$H$427*(-1)</formula>
    </cfRule>
  </conditionalFormatting>
  <conditionalFormatting sqref="I428">
    <cfRule type="cellIs" dxfId="2059" priority="827" stopIfTrue="1" operator="greaterThan">
      <formula>$H$428</formula>
    </cfRule>
  </conditionalFormatting>
  <conditionalFormatting sqref="I428">
    <cfRule type="cellIs" dxfId="2058" priority="828" stopIfTrue="1" operator="lessThan">
      <formula>$H$428*(-1)</formula>
    </cfRule>
  </conditionalFormatting>
  <conditionalFormatting sqref="I429">
    <cfRule type="cellIs" dxfId="2057" priority="829" stopIfTrue="1" operator="greaterThan">
      <formula>$H$429</formula>
    </cfRule>
  </conditionalFormatting>
  <conditionalFormatting sqref="I429">
    <cfRule type="cellIs" dxfId="2056" priority="830" stopIfTrue="1" operator="lessThan">
      <formula>$H$429*(-1)</formula>
    </cfRule>
  </conditionalFormatting>
  <conditionalFormatting sqref="I430">
    <cfRule type="cellIs" dxfId="2055" priority="831" stopIfTrue="1" operator="greaterThan">
      <formula>$H$430</formula>
    </cfRule>
  </conditionalFormatting>
  <conditionalFormatting sqref="I430">
    <cfRule type="cellIs" dxfId="2054" priority="832" stopIfTrue="1" operator="lessThan">
      <formula>$H$430*(-1)</formula>
    </cfRule>
  </conditionalFormatting>
  <conditionalFormatting sqref="I431">
    <cfRule type="cellIs" dxfId="2053" priority="833" stopIfTrue="1" operator="greaterThan">
      <formula>$H$431</formula>
    </cfRule>
  </conditionalFormatting>
  <conditionalFormatting sqref="I431">
    <cfRule type="cellIs" dxfId="2052" priority="834" stopIfTrue="1" operator="lessThan">
      <formula>$H$431*(-1)</formula>
    </cfRule>
  </conditionalFormatting>
  <conditionalFormatting sqref="I432">
    <cfRule type="cellIs" dxfId="2051" priority="835" stopIfTrue="1" operator="greaterThan">
      <formula>$H$432</formula>
    </cfRule>
  </conditionalFormatting>
  <conditionalFormatting sqref="I432">
    <cfRule type="cellIs" dxfId="2050" priority="836" stopIfTrue="1" operator="lessThan">
      <formula>$H$432*(-1)</formula>
    </cfRule>
  </conditionalFormatting>
  <conditionalFormatting sqref="I433">
    <cfRule type="cellIs" dxfId="2049" priority="837" stopIfTrue="1" operator="greaterThan">
      <formula>$H$433</formula>
    </cfRule>
  </conditionalFormatting>
  <conditionalFormatting sqref="I433">
    <cfRule type="cellIs" dxfId="2048" priority="838" stopIfTrue="1" operator="lessThan">
      <formula>$H$433*(-1)</formula>
    </cfRule>
  </conditionalFormatting>
  <conditionalFormatting sqref="I434">
    <cfRule type="cellIs" dxfId="2047" priority="839" stopIfTrue="1" operator="greaterThan">
      <formula>$H$434</formula>
    </cfRule>
  </conditionalFormatting>
  <conditionalFormatting sqref="I434">
    <cfRule type="cellIs" dxfId="2046" priority="840" stopIfTrue="1" operator="lessThan">
      <formula>$H$434*(-1)</formula>
    </cfRule>
  </conditionalFormatting>
  <conditionalFormatting sqref="I435">
    <cfRule type="cellIs" dxfId="2045" priority="841" stopIfTrue="1" operator="greaterThan">
      <formula>$H$435</formula>
    </cfRule>
  </conditionalFormatting>
  <conditionalFormatting sqref="I435">
    <cfRule type="cellIs" dxfId="2044" priority="842" stopIfTrue="1" operator="lessThan">
      <formula>$H$435*(-1)</formula>
    </cfRule>
  </conditionalFormatting>
  <conditionalFormatting sqref="I436">
    <cfRule type="cellIs" dxfId="2043" priority="843" stopIfTrue="1" operator="greaterThan">
      <formula>$H$436</formula>
    </cfRule>
  </conditionalFormatting>
  <conditionalFormatting sqref="I436">
    <cfRule type="cellIs" dxfId="2042" priority="844" stopIfTrue="1" operator="lessThan">
      <formula>$H$436*(-1)</formula>
    </cfRule>
  </conditionalFormatting>
  <conditionalFormatting sqref="I437">
    <cfRule type="cellIs" dxfId="2041" priority="845" stopIfTrue="1" operator="greaterThan">
      <formula>$H$437</formula>
    </cfRule>
  </conditionalFormatting>
  <conditionalFormatting sqref="I437">
    <cfRule type="cellIs" dxfId="2040" priority="846" stopIfTrue="1" operator="lessThan">
      <formula>$H$437*(-1)</formula>
    </cfRule>
  </conditionalFormatting>
  <conditionalFormatting sqref="I438">
    <cfRule type="cellIs" dxfId="2039" priority="847" stopIfTrue="1" operator="greaterThan">
      <formula>$H$438</formula>
    </cfRule>
  </conditionalFormatting>
  <conditionalFormatting sqref="I438">
    <cfRule type="cellIs" dxfId="2038" priority="848" stopIfTrue="1" operator="lessThan">
      <formula>$H$438*(-1)</formula>
    </cfRule>
  </conditionalFormatting>
  <conditionalFormatting sqref="I439">
    <cfRule type="cellIs" dxfId="2037" priority="849" stopIfTrue="1" operator="greaterThan">
      <formula>$H$439</formula>
    </cfRule>
  </conditionalFormatting>
  <conditionalFormatting sqref="I439">
    <cfRule type="cellIs" dxfId="2036" priority="850" stopIfTrue="1" operator="lessThan">
      <formula>$H$439*(-1)</formula>
    </cfRule>
  </conditionalFormatting>
  <conditionalFormatting sqref="I440">
    <cfRule type="cellIs" dxfId="2035" priority="851" stopIfTrue="1" operator="greaterThan">
      <formula>$H$440</formula>
    </cfRule>
  </conditionalFormatting>
  <conditionalFormatting sqref="I440">
    <cfRule type="cellIs" dxfId="2034" priority="852" stopIfTrue="1" operator="lessThan">
      <formula>$H$440*(-1)</formula>
    </cfRule>
  </conditionalFormatting>
  <conditionalFormatting sqref="I441">
    <cfRule type="cellIs" dxfId="2033" priority="853" stopIfTrue="1" operator="greaterThan">
      <formula>$H$441</formula>
    </cfRule>
  </conditionalFormatting>
  <conditionalFormatting sqref="I441">
    <cfRule type="cellIs" dxfId="2032" priority="854" stopIfTrue="1" operator="lessThan">
      <formula>$H$441*(-1)</formula>
    </cfRule>
  </conditionalFormatting>
  <conditionalFormatting sqref="I442">
    <cfRule type="cellIs" dxfId="2031" priority="855" stopIfTrue="1" operator="greaterThan">
      <formula>$H$442</formula>
    </cfRule>
  </conditionalFormatting>
  <conditionalFormatting sqref="I442">
    <cfRule type="cellIs" dxfId="2030" priority="856" stopIfTrue="1" operator="lessThan">
      <formula>$H$442*(-1)</formula>
    </cfRule>
  </conditionalFormatting>
  <conditionalFormatting sqref="I443">
    <cfRule type="cellIs" dxfId="2029" priority="857" stopIfTrue="1" operator="greaterThan">
      <formula>$H$443</formula>
    </cfRule>
  </conditionalFormatting>
  <conditionalFormatting sqref="I443">
    <cfRule type="cellIs" dxfId="2028" priority="858" stopIfTrue="1" operator="lessThan">
      <formula>$H$443*(-1)</formula>
    </cfRule>
  </conditionalFormatting>
  <conditionalFormatting sqref="I444">
    <cfRule type="cellIs" dxfId="2027" priority="859" stopIfTrue="1" operator="greaterThan">
      <formula>$H$444</formula>
    </cfRule>
  </conditionalFormatting>
  <conditionalFormatting sqref="I444">
    <cfRule type="cellIs" dxfId="2026" priority="860" stopIfTrue="1" operator="lessThan">
      <formula>$H$444*(-1)</formula>
    </cfRule>
  </conditionalFormatting>
  <conditionalFormatting sqref="I445">
    <cfRule type="cellIs" dxfId="2025" priority="861" stopIfTrue="1" operator="greaterThan">
      <formula>$H$445</formula>
    </cfRule>
  </conditionalFormatting>
  <conditionalFormatting sqref="I445">
    <cfRule type="cellIs" dxfId="2024" priority="862" stopIfTrue="1" operator="lessThan">
      <formula>$H$445*(-1)</formula>
    </cfRule>
  </conditionalFormatting>
  <conditionalFormatting sqref="I446">
    <cfRule type="cellIs" dxfId="2023" priority="863" stopIfTrue="1" operator="greaterThan">
      <formula>$H$446</formula>
    </cfRule>
  </conditionalFormatting>
  <conditionalFormatting sqref="I446">
    <cfRule type="cellIs" dxfId="2022" priority="864" stopIfTrue="1" operator="lessThan">
      <formula>$H$446*(-1)</formula>
    </cfRule>
  </conditionalFormatting>
  <conditionalFormatting sqref="I447">
    <cfRule type="cellIs" dxfId="2021" priority="865" stopIfTrue="1" operator="greaterThan">
      <formula>$H$447</formula>
    </cfRule>
  </conditionalFormatting>
  <conditionalFormatting sqref="I447">
    <cfRule type="cellIs" dxfId="2020" priority="866" stopIfTrue="1" operator="lessThan">
      <formula>$H$447*(-1)</formula>
    </cfRule>
  </conditionalFormatting>
  <conditionalFormatting sqref="I448">
    <cfRule type="cellIs" dxfId="2019" priority="867" stopIfTrue="1" operator="greaterThan">
      <formula>$H$448</formula>
    </cfRule>
  </conditionalFormatting>
  <conditionalFormatting sqref="I448">
    <cfRule type="cellIs" dxfId="2018" priority="868" stopIfTrue="1" operator="lessThan">
      <formula>$H$448*(-1)</formula>
    </cfRule>
  </conditionalFormatting>
  <conditionalFormatting sqref="I449">
    <cfRule type="cellIs" dxfId="2017" priority="869" stopIfTrue="1" operator="greaterThan">
      <formula>$H$449</formula>
    </cfRule>
  </conditionalFormatting>
  <conditionalFormatting sqref="I449">
    <cfRule type="cellIs" dxfId="2016" priority="870" stopIfTrue="1" operator="lessThan">
      <formula>$H$449*(-1)</formula>
    </cfRule>
  </conditionalFormatting>
  <conditionalFormatting sqref="I450">
    <cfRule type="cellIs" dxfId="2015" priority="871" stopIfTrue="1" operator="greaterThan">
      <formula>$H$450</formula>
    </cfRule>
  </conditionalFormatting>
  <conditionalFormatting sqref="I450">
    <cfRule type="cellIs" dxfId="2014" priority="872" stopIfTrue="1" operator="lessThan">
      <formula>$H$450*(-1)</formula>
    </cfRule>
  </conditionalFormatting>
  <conditionalFormatting sqref="I451">
    <cfRule type="cellIs" dxfId="2013" priority="873" stopIfTrue="1" operator="greaterThan">
      <formula>$H$451</formula>
    </cfRule>
  </conditionalFormatting>
  <conditionalFormatting sqref="I451">
    <cfRule type="cellIs" dxfId="2012" priority="874" stopIfTrue="1" operator="lessThan">
      <formula>$H$451*(-1)</formula>
    </cfRule>
  </conditionalFormatting>
  <conditionalFormatting sqref="I452">
    <cfRule type="cellIs" dxfId="2011" priority="875" stopIfTrue="1" operator="greaterThan">
      <formula>$H$452</formula>
    </cfRule>
  </conditionalFormatting>
  <conditionalFormatting sqref="I452">
    <cfRule type="cellIs" dxfId="2010" priority="876" stopIfTrue="1" operator="lessThan">
      <formula>$H$452*(-1)</formula>
    </cfRule>
  </conditionalFormatting>
  <conditionalFormatting sqref="I453">
    <cfRule type="cellIs" dxfId="2009" priority="877" stopIfTrue="1" operator="greaterThan">
      <formula>$H$453</formula>
    </cfRule>
  </conditionalFormatting>
  <conditionalFormatting sqref="I453">
    <cfRule type="cellIs" dxfId="2008" priority="878" stopIfTrue="1" operator="lessThan">
      <formula>$H$453*(-1)</formula>
    </cfRule>
  </conditionalFormatting>
  <conditionalFormatting sqref="I454">
    <cfRule type="cellIs" dxfId="2007" priority="879" stopIfTrue="1" operator="greaterThan">
      <formula>$H$454</formula>
    </cfRule>
  </conditionalFormatting>
  <conditionalFormatting sqref="I454">
    <cfRule type="cellIs" dxfId="2006" priority="880" stopIfTrue="1" operator="lessThan">
      <formula>$H$454*(-1)</formula>
    </cfRule>
  </conditionalFormatting>
  <conditionalFormatting sqref="I455">
    <cfRule type="cellIs" dxfId="2005" priority="881" stopIfTrue="1" operator="greaterThan">
      <formula>$H$455</formula>
    </cfRule>
  </conditionalFormatting>
  <conditionalFormatting sqref="I455">
    <cfRule type="cellIs" dxfId="2004" priority="882" stopIfTrue="1" operator="lessThan">
      <formula>$H$455*(-1)</formula>
    </cfRule>
  </conditionalFormatting>
  <conditionalFormatting sqref="I456">
    <cfRule type="cellIs" dxfId="2003" priority="883" stopIfTrue="1" operator="greaterThan">
      <formula>$H$456</formula>
    </cfRule>
  </conditionalFormatting>
  <conditionalFormatting sqref="I456">
    <cfRule type="cellIs" dxfId="2002" priority="884" stopIfTrue="1" operator="lessThan">
      <formula>$H$456*(-1)</formula>
    </cfRule>
  </conditionalFormatting>
  <conditionalFormatting sqref="I457">
    <cfRule type="cellIs" dxfId="2001" priority="885" stopIfTrue="1" operator="greaterThan">
      <formula>$H$457</formula>
    </cfRule>
  </conditionalFormatting>
  <conditionalFormatting sqref="I457">
    <cfRule type="cellIs" dxfId="2000" priority="886" stopIfTrue="1" operator="lessThan">
      <formula>$H$457*(-1)</formula>
    </cfRule>
  </conditionalFormatting>
  <conditionalFormatting sqref="I458">
    <cfRule type="cellIs" dxfId="1999" priority="887" stopIfTrue="1" operator="greaterThan">
      <formula>$H$458</formula>
    </cfRule>
  </conditionalFormatting>
  <conditionalFormatting sqref="I458">
    <cfRule type="cellIs" dxfId="1998" priority="888" stopIfTrue="1" operator="lessThan">
      <formula>$H$458*(-1)</formula>
    </cfRule>
  </conditionalFormatting>
  <conditionalFormatting sqref="I459">
    <cfRule type="cellIs" dxfId="1997" priority="889" stopIfTrue="1" operator="greaterThan">
      <formula>$H$459</formula>
    </cfRule>
  </conditionalFormatting>
  <conditionalFormatting sqref="I459">
    <cfRule type="cellIs" dxfId="1996" priority="890" stopIfTrue="1" operator="lessThan">
      <formula>$H$459*(-1)</formula>
    </cfRule>
  </conditionalFormatting>
  <conditionalFormatting sqref="I460">
    <cfRule type="cellIs" dxfId="1995" priority="891" stopIfTrue="1" operator="greaterThan">
      <formula>$H$460</formula>
    </cfRule>
  </conditionalFormatting>
  <conditionalFormatting sqref="I460">
    <cfRule type="cellIs" dxfId="1994" priority="892" stopIfTrue="1" operator="lessThan">
      <formula>$H$460*(-1)</formula>
    </cfRule>
  </conditionalFormatting>
  <conditionalFormatting sqref="I461">
    <cfRule type="cellIs" dxfId="1993" priority="893" stopIfTrue="1" operator="greaterThan">
      <formula>$H$461</formula>
    </cfRule>
  </conditionalFormatting>
  <conditionalFormatting sqref="I461">
    <cfRule type="cellIs" dxfId="1992" priority="894" stopIfTrue="1" operator="lessThan">
      <formula>$H$461*(-1)</formula>
    </cfRule>
  </conditionalFormatting>
  <conditionalFormatting sqref="I462">
    <cfRule type="cellIs" dxfId="1991" priority="895" stopIfTrue="1" operator="greaterThan">
      <formula>$H$462</formula>
    </cfRule>
  </conditionalFormatting>
  <conditionalFormatting sqref="I462">
    <cfRule type="cellIs" dxfId="1990" priority="896" stopIfTrue="1" operator="lessThan">
      <formula>$H$462*(-1)</formula>
    </cfRule>
  </conditionalFormatting>
  <conditionalFormatting sqref="I463">
    <cfRule type="cellIs" dxfId="1989" priority="897" stopIfTrue="1" operator="greaterThan">
      <formula>$H$463</formula>
    </cfRule>
  </conditionalFormatting>
  <conditionalFormatting sqref="I463">
    <cfRule type="cellIs" dxfId="1988" priority="898" stopIfTrue="1" operator="lessThan">
      <formula>$H$463*(-1)</formula>
    </cfRule>
  </conditionalFormatting>
  <conditionalFormatting sqref="I464">
    <cfRule type="cellIs" dxfId="1987" priority="899" stopIfTrue="1" operator="greaterThan">
      <formula>$H$464</formula>
    </cfRule>
  </conditionalFormatting>
  <conditionalFormatting sqref="I464">
    <cfRule type="cellIs" dxfId="1986" priority="900" stopIfTrue="1" operator="lessThan">
      <formula>$H$464*(-1)</formula>
    </cfRule>
  </conditionalFormatting>
  <conditionalFormatting sqref="I465">
    <cfRule type="cellIs" dxfId="1985" priority="901" stopIfTrue="1" operator="greaterThan">
      <formula>$H$465</formula>
    </cfRule>
  </conditionalFormatting>
  <conditionalFormatting sqref="I465">
    <cfRule type="cellIs" dxfId="1984" priority="902" stopIfTrue="1" operator="lessThan">
      <formula>$H$465*(-1)</formula>
    </cfRule>
  </conditionalFormatting>
  <conditionalFormatting sqref="I466">
    <cfRule type="cellIs" dxfId="1983" priority="903" stopIfTrue="1" operator="greaterThan">
      <formula>$H$466</formula>
    </cfRule>
  </conditionalFormatting>
  <conditionalFormatting sqref="I466">
    <cfRule type="cellIs" dxfId="1982" priority="904" stopIfTrue="1" operator="lessThan">
      <formula>$H$466*(-1)</formula>
    </cfRule>
  </conditionalFormatting>
  <conditionalFormatting sqref="I467">
    <cfRule type="cellIs" dxfId="1981" priority="905" stopIfTrue="1" operator="greaterThan">
      <formula>$H$467</formula>
    </cfRule>
  </conditionalFormatting>
  <conditionalFormatting sqref="I467">
    <cfRule type="cellIs" dxfId="1980" priority="906" stopIfTrue="1" operator="lessThan">
      <formula>$H$467*(-1)</formula>
    </cfRule>
  </conditionalFormatting>
  <conditionalFormatting sqref="I468">
    <cfRule type="cellIs" dxfId="1979" priority="907" stopIfTrue="1" operator="greaterThan">
      <formula>$H$468</formula>
    </cfRule>
  </conditionalFormatting>
  <conditionalFormatting sqref="I468">
    <cfRule type="cellIs" dxfId="1978" priority="908" stopIfTrue="1" operator="lessThan">
      <formula>$H$468*(-1)</formula>
    </cfRule>
  </conditionalFormatting>
  <conditionalFormatting sqref="I469">
    <cfRule type="cellIs" dxfId="1977" priority="909" stopIfTrue="1" operator="greaterThan">
      <formula>$H$469</formula>
    </cfRule>
  </conditionalFormatting>
  <conditionalFormatting sqref="I469">
    <cfRule type="cellIs" dxfId="1976" priority="910" stopIfTrue="1" operator="lessThan">
      <formula>$H$469*(-1)</formula>
    </cfRule>
  </conditionalFormatting>
  <conditionalFormatting sqref="I470">
    <cfRule type="cellIs" dxfId="1975" priority="911" stopIfTrue="1" operator="greaterThan">
      <formula>$H$470</formula>
    </cfRule>
  </conditionalFormatting>
  <conditionalFormatting sqref="I470">
    <cfRule type="cellIs" dxfId="1974" priority="912" stopIfTrue="1" operator="lessThan">
      <formula>$H$470*(-1)</formula>
    </cfRule>
  </conditionalFormatting>
  <conditionalFormatting sqref="I471">
    <cfRule type="cellIs" dxfId="1973" priority="913" stopIfTrue="1" operator="greaterThan">
      <formula>$H$471</formula>
    </cfRule>
  </conditionalFormatting>
  <conditionalFormatting sqref="I471">
    <cfRule type="cellIs" dxfId="1972" priority="914" stopIfTrue="1" operator="lessThan">
      <formula>$H$471*(-1)</formula>
    </cfRule>
  </conditionalFormatting>
  <conditionalFormatting sqref="I472">
    <cfRule type="cellIs" dxfId="1971" priority="915" stopIfTrue="1" operator="greaterThan">
      <formula>$H$472</formula>
    </cfRule>
  </conditionalFormatting>
  <conditionalFormatting sqref="I472">
    <cfRule type="cellIs" dxfId="1970" priority="916" stopIfTrue="1" operator="lessThan">
      <formula>$H$472*(-1)</formula>
    </cfRule>
  </conditionalFormatting>
  <conditionalFormatting sqref="I473">
    <cfRule type="cellIs" dxfId="1969" priority="917" stopIfTrue="1" operator="greaterThan">
      <formula>$H$473</formula>
    </cfRule>
  </conditionalFormatting>
  <conditionalFormatting sqref="I473">
    <cfRule type="cellIs" dxfId="1968" priority="918" stopIfTrue="1" operator="lessThan">
      <formula>$H$473*(-1)</formula>
    </cfRule>
  </conditionalFormatting>
  <conditionalFormatting sqref="I474">
    <cfRule type="cellIs" dxfId="1967" priority="919" stopIfTrue="1" operator="greaterThan">
      <formula>$H$474</formula>
    </cfRule>
  </conditionalFormatting>
  <conditionalFormatting sqref="I474">
    <cfRule type="cellIs" dxfId="1966" priority="920" stopIfTrue="1" operator="lessThan">
      <formula>$H$474*(-1)</formula>
    </cfRule>
  </conditionalFormatting>
  <conditionalFormatting sqref="I475">
    <cfRule type="cellIs" dxfId="1965" priority="921" stopIfTrue="1" operator="greaterThan">
      <formula>$H$475</formula>
    </cfRule>
  </conditionalFormatting>
  <conditionalFormatting sqref="I475">
    <cfRule type="cellIs" dxfId="1964" priority="922" stopIfTrue="1" operator="lessThan">
      <formula>$H$475*(-1)</formula>
    </cfRule>
  </conditionalFormatting>
  <conditionalFormatting sqref="I476">
    <cfRule type="cellIs" dxfId="1963" priority="923" stopIfTrue="1" operator="greaterThan">
      <formula>$H$476</formula>
    </cfRule>
  </conditionalFormatting>
  <conditionalFormatting sqref="I476">
    <cfRule type="cellIs" dxfId="1962" priority="924" stopIfTrue="1" operator="lessThan">
      <formula>$H$476*(-1)</formula>
    </cfRule>
  </conditionalFormatting>
  <conditionalFormatting sqref="I477">
    <cfRule type="cellIs" dxfId="1961" priority="925" stopIfTrue="1" operator="greaterThan">
      <formula>$H$477</formula>
    </cfRule>
  </conditionalFormatting>
  <conditionalFormatting sqref="I477">
    <cfRule type="cellIs" dxfId="1960" priority="926" stopIfTrue="1" operator="lessThan">
      <formula>$H$477*(-1)</formula>
    </cfRule>
  </conditionalFormatting>
  <conditionalFormatting sqref="I478">
    <cfRule type="cellIs" dxfId="1959" priority="927" stopIfTrue="1" operator="greaterThan">
      <formula>$H$478</formula>
    </cfRule>
  </conditionalFormatting>
  <conditionalFormatting sqref="I478">
    <cfRule type="cellIs" dxfId="1958" priority="928" stopIfTrue="1" operator="lessThan">
      <formula>$H$478*(-1)</formula>
    </cfRule>
  </conditionalFormatting>
  <conditionalFormatting sqref="I479">
    <cfRule type="cellIs" dxfId="1957" priority="929" stopIfTrue="1" operator="greaterThan">
      <formula>$H$479</formula>
    </cfRule>
  </conditionalFormatting>
  <conditionalFormatting sqref="I479">
    <cfRule type="cellIs" dxfId="1956" priority="930" stopIfTrue="1" operator="lessThan">
      <formula>$H$479*(-1)</formula>
    </cfRule>
  </conditionalFormatting>
  <conditionalFormatting sqref="I480">
    <cfRule type="cellIs" dxfId="1955" priority="931" stopIfTrue="1" operator="greaterThan">
      <formula>$H$480</formula>
    </cfRule>
  </conditionalFormatting>
  <conditionalFormatting sqref="I480">
    <cfRule type="cellIs" dxfId="1954" priority="932" stopIfTrue="1" operator="lessThan">
      <formula>$H$480*(-1)</formula>
    </cfRule>
  </conditionalFormatting>
  <conditionalFormatting sqref="I481">
    <cfRule type="cellIs" dxfId="1953" priority="933" stopIfTrue="1" operator="greaterThan">
      <formula>$H$481</formula>
    </cfRule>
  </conditionalFormatting>
  <conditionalFormatting sqref="I481">
    <cfRule type="cellIs" dxfId="1952" priority="934" stopIfTrue="1" operator="lessThan">
      <formula>$H$481*(-1)</formula>
    </cfRule>
  </conditionalFormatting>
  <conditionalFormatting sqref="I482">
    <cfRule type="cellIs" dxfId="1951" priority="935" stopIfTrue="1" operator="greaterThan">
      <formula>$H$482</formula>
    </cfRule>
  </conditionalFormatting>
  <conditionalFormatting sqref="I482">
    <cfRule type="cellIs" dxfId="1950" priority="936" stopIfTrue="1" operator="lessThan">
      <formula>$H$482*(-1)</formula>
    </cfRule>
  </conditionalFormatting>
  <conditionalFormatting sqref="I483">
    <cfRule type="cellIs" dxfId="1949" priority="937" stopIfTrue="1" operator="greaterThan">
      <formula>$H$483</formula>
    </cfRule>
  </conditionalFormatting>
  <conditionalFormatting sqref="I483">
    <cfRule type="cellIs" dxfId="1948" priority="938" stopIfTrue="1" operator="lessThan">
      <formula>$H$483*(-1)</formula>
    </cfRule>
  </conditionalFormatting>
  <conditionalFormatting sqref="I484">
    <cfRule type="cellIs" dxfId="1947" priority="939" stopIfTrue="1" operator="greaterThan">
      <formula>$H$484</formula>
    </cfRule>
  </conditionalFormatting>
  <conditionalFormatting sqref="I484">
    <cfRule type="cellIs" dxfId="1946" priority="940" stopIfTrue="1" operator="lessThan">
      <formula>$H$484*(-1)</formula>
    </cfRule>
  </conditionalFormatting>
  <conditionalFormatting sqref="I485">
    <cfRule type="cellIs" dxfId="1945" priority="941" stopIfTrue="1" operator="greaterThan">
      <formula>$H$485</formula>
    </cfRule>
  </conditionalFormatting>
  <conditionalFormatting sqref="I485">
    <cfRule type="cellIs" dxfId="1944" priority="942" stopIfTrue="1" operator="lessThan">
      <formula>$H$485*(-1)</formula>
    </cfRule>
  </conditionalFormatting>
  <conditionalFormatting sqref="I486">
    <cfRule type="cellIs" dxfId="1943" priority="943" stopIfTrue="1" operator="greaterThan">
      <formula>$H$486</formula>
    </cfRule>
  </conditionalFormatting>
  <conditionalFormatting sqref="I486">
    <cfRule type="cellIs" dxfId="1942" priority="944" stopIfTrue="1" operator="lessThan">
      <formula>$H$486*(-1)</formula>
    </cfRule>
  </conditionalFormatting>
  <conditionalFormatting sqref="I487">
    <cfRule type="cellIs" dxfId="1941" priority="945" stopIfTrue="1" operator="greaterThan">
      <formula>$H$487</formula>
    </cfRule>
  </conditionalFormatting>
  <conditionalFormatting sqref="I487">
    <cfRule type="cellIs" dxfId="1940" priority="946" stopIfTrue="1" operator="lessThan">
      <formula>$H$487*(-1)</formula>
    </cfRule>
  </conditionalFormatting>
  <conditionalFormatting sqref="I488">
    <cfRule type="cellIs" dxfId="1939" priority="947" stopIfTrue="1" operator="greaterThan">
      <formula>$H$488</formula>
    </cfRule>
  </conditionalFormatting>
  <conditionalFormatting sqref="I488">
    <cfRule type="cellIs" dxfId="1938" priority="948" stopIfTrue="1" operator="lessThan">
      <formula>$H$488*(-1)</formula>
    </cfRule>
  </conditionalFormatting>
  <conditionalFormatting sqref="I489">
    <cfRule type="cellIs" dxfId="1937" priority="949" stopIfTrue="1" operator="greaterThan">
      <formula>$H$489</formula>
    </cfRule>
  </conditionalFormatting>
  <conditionalFormatting sqref="I489">
    <cfRule type="cellIs" dxfId="1936" priority="950" stopIfTrue="1" operator="lessThan">
      <formula>$H$489*(-1)</formula>
    </cfRule>
  </conditionalFormatting>
  <conditionalFormatting sqref="I490">
    <cfRule type="cellIs" dxfId="1935" priority="951" stopIfTrue="1" operator="greaterThan">
      <formula>$H$490</formula>
    </cfRule>
  </conditionalFormatting>
  <conditionalFormatting sqref="I490">
    <cfRule type="cellIs" dxfId="1934" priority="952" stopIfTrue="1" operator="lessThan">
      <formula>$H$490*(-1)</formula>
    </cfRule>
  </conditionalFormatting>
  <conditionalFormatting sqref="I491">
    <cfRule type="cellIs" dxfId="1933" priority="953" stopIfTrue="1" operator="greaterThan">
      <formula>$H$491</formula>
    </cfRule>
  </conditionalFormatting>
  <conditionalFormatting sqref="I491">
    <cfRule type="cellIs" dxfId="1932" priority="954" stopIfTrue="1" operator="lessThan">
      <formula>$H$491*(-1)</formula>
    </cfRule>
  </conditionalFormatting>
  <conditionalFormatting sqref="I492">
    <cfRule type="cellIs" dxfId="1931" priority="955" stopIfTrue="1" operator="greaterThan">
      <formula>$H$492</formula>
    </cfRule>
  </conditionalFormatting>
  <conditionalFormatting sqref="I492">
    <cfRule type="cellIs" dxfId="1930" priority="956" stopIfTrue="1" operator="lessThan">
      <formula>$H$492*(-1)</formula>
    </cfRule>
  </conditionalFormatting>
  <conditionalFormatting sqref="I493">
    <cfRule type="cellIs" dxfId="1929" priority="957" stopIfTrue="1" operator="greaterThan">
      <formula>$H$493</formula>
    </cfRule>
  </conditionalFormatting>
  <conditionalFormatting sqref="I493">
    <cfRule type="cellIs" dxfId="1928" priority="958" stopIfTrue="1" operator="lessThan">
      <formula>$H$493*(-1)</formula>
    </cfRule>
  </conditionalFormatting>
  <conditionalFormatting sqref="I494">
    <cfRule type="cellIs" dxfId="1927" priority="959" stopIfTrue="1" operator="greaterThan">
      <formula>$H$494</formula>
    </cfRule>
  </conditionalFormatting>
  <conditionalFormatting sqref="I494">
    <cfRule type="cellIs" dxfId="1926" priority="960" stopIfTrue="1" operator="lessThan">
      <formula>$H$494*(-1)</formula>
    </cfRule>
  </conditionalFormatting>
  <conditionalFormatting sqref="I495">
    <cfRule type="cellIs" dxfId="1925" priority="961" stopIfTrue="1" operator="greaterThan">
      <formula>$H$495</formula>
    </cfRule>
  </conditionalFormatting>
  <conditionalFormatting sqref="I495">
    <cfRule type="cellIs" dxfId="1924" priority="962" stopIfTrue="1" operator="lessThan">
      <formula>$H$495*(-1)</formula>
    </cfRule>
  </conditionalFormatting>
  <conditionalFormatting sqref="I496">
    <cfRule type="cellIs" dxfId="1923" priority="963" stopIfTrue="1" operator="greaterThan">
      <formula>$H$496</formula>
    </cfRule>
  </conditionalFormatting>
  <conditionalFormatting sqref="I496">
    <cfRule type="cellIs" dxfId="1922" priority="964" stopIfTrue="1" operator="lessThan">
      <formula>$H$496*(-1)</formula>
    </cfRule>
  </conditionalFormatting>
  <conditionalFormatting sqref="I497">
    <cfRule type="cellIs" dxfId="1921" priority="965" stopIfTrue="1" operator="greaterThan">
      <formula>$H$497</formula>
    </cfRule>
  </conditionalFormatting>
  <conditionalFormatting sqref="I497">
    <cfRule type="cellIs" dxfId="1920" priority="966" stopIfTrue="1" operator="lessThan">
      <formula>$H$497*(-1)</formula>
    </cfRule>
  </conditionalFormatting>
  <conditionalFormatting sqref="I498">
    <cfRule type="cellIs" dxfId="1919" priority="967" stopIfTrue="1" operator="greaterThan">
      <formula>$H$498</formula>
    </cfRule>
  </conditionalFormatting>
  <conditionalFormatting sqref="I498">
    <cfRule type="cellIs" dxfId="1918" priority="968" stopIfTrue="1" operator="lessThan">
      <formula>$H$498*(-1)</formula>
    </cfRule>
  </conditionalFormatting>
  <conditionalFormatting sqref="I499">
    <cfRule type="cellIs" dxfId="1917" priority="969" stopIfTrue="1" operator="greaterThan">
      <formula>$H$499</formula>
    </cfRule>
  </conditionalFormatting>
  <conditionalFormatting sqref="I499">
    <cfRule type="cellIs" dxfId="1916" priority="970" stopIfTrue="1" operator="lessThan">
      <formula>$H$499*(-1)</formula>
    </cfRule>
  </conditionalFormatting>
  <conditionalFormatting sqref="I500">
    <cfRule type="cellIs" dxfId="1915" priority="971" stopIfTrue="1" operator="greaterThan">
      <formula>$H$500</formula>
    </cfRule>
  </conditionalFormatting>
  <conditionalFormatting sqref="I500">
    <cfRule type="cellIs" dxfId="1914" priority="972" stopIfTrue="1" operator="lessThan">
      <formula>$H$500*(-1)</formula>
    </cfRule>
  </conditionalFormatting>
  <conditionalFormatting sqref="I501">
    <cfRule type="cellIs" dxfId="1913" priority="973" stopIfTrue="1" operator="greaterThan">
      <formula>$H$501</formula>
    </cfRule>
  </conditionalFormatting>
  <conditionalFormatting sqref="I501">
    <cfRule type="cellIs" dxfId="1912" priority="974" stopIfTrue="1" operator="lessThan">
      <formula>$H$501*(-1)</formula>
    </cfRule>
  </conditionalFormatting>
  <conditionalFormatting sqref="I502">
    <cfRule type="cellIs" dxfId="1911" priority="975" stopIfTrue="1" operator="greaterThan">
      <formula>$H$502</formula>
    </cfRule>
  </conditionalFormatting>
  <conditionalFormatting sqref="I502">
    <cfRule type="cellIs" dxfId="1910" priority="976" stopIfTrue="1" operator="lessThan">
      <formula>$H$502*(-1)</formula>
    </cfRule>
  </conditionalFormatting>
  <conditionalFormatting sqref="I503">
    <cfRule type="cellIs" dxfId="1909" priority="977" stopIfTrue="1" operator="greaterThan">
      <formula>$H$503</formula>
    </cfRule>
  </conditionalFormatting>
  <conditionalFormatting sqref="I503">
    <cfRule type="cellIs" dxfId="1908" priority="978" stopIfTrue="1" operator="lessThan">
      <formula>$H$503*(-1)</formula>
    </cfRule>
  </conditionalFormatting>
  <conditionalFormatting sqref="I504">
    <cfRule type="cellIs" dxfId="1907" priority="979" stopIfTrue="1" operator="greaterThan">
      <formula>$H$504</formula>
    </cfRule>
  </conditionalFormatting>
  <conditionalFormatting sqref="I504">
    <cfRule type="cellIs" dxfId="1906" priority="980" stopIfTrue="1" operator="lessThan">
      <formula>$H$504*(-1)</formula>
    </cfRule>
  </conditionalFormatting>
  <conditionalFormatting sqref="I505">
    <cfRule type="cellIs" dxfId="1905" priority="981" stopIfTrue="1" operator="greaterThan">
      <formula>$H$505</formula>
    </cfRule>
  </conditionalFormatting>
  <conditionalFormatting sqref="I505">
    <cfRule type="cellIs" dxfId="1904" priority="982" stopIfTrue="1" operator="lessThan">
      <formula>$H$505*(-1)</formula>
    </cfRule>
  </conditionalFormatting>
  <conditionalFormatting sqref="I506">
    <cfRule type="cellIs" dxfId="1903" priority="983" stopIfTrue="1" operator="greaterThan">
      <formula>$H$506</formula>
    </cfRule>
  </conditionalFormatting>
  <conditionalFormatting sqref="I506">
    <cfRule type="cellIs" dxfId="1902" priority="984" stopIfTrue="1" operator="lessThan">
      <formula>$H$506*(-1)</formula>
    </cfRule>
  </conditionalFormatting>
  <conditionalFormatting sqref="I507">
    <cfRule type="cellIs" dxfId="1901" priority="985" stopIfTrue="1" operator="greaterThan">
      <formula>$H$507</formula>
    </cfRule>
  </conditionalFormatting>
  <conditionalFormatting sqref="I507">
    <cfRule type="cellIs" dxfId="1900" priority="986" stopIfTrue="1" operator="lessThan">
      <formula>$H$507*(-1)</formula>
    </cfRule>
  </conditionalFormatting>
  <conditionalFormatting sqref="I508">
    <cfRule type="cellIs" dxfId="1899" priority="987" stopIfTrue="1" operator="greaterThan">
      <formula>$H$508</formula>
    </cfRule>
  </conditionalFormatting>
  <conditionalFormatting sqref="I508">
    <cfRule type="cellIs" dxfId="1898" priority="988" stopIfTrue="1" operator="lessThan">
      <formula>$H$508*(-1)</formula>
    </cfRule>
  </conditionalFormatting>
  <conditionalFormatting sqref="I509">
    <cfRule type="cellIs" dxfId="1897" priority="989" stopIfTrue="1" operator="greaterThan">
      <formula>$H$509</formula>
    </cfRule>
  </conditionalFormatting>
  <conditionalFormatting sqref="I509">
    <cfRule type="cellIs" dxfId="1896" priority="990" stopIfTrue="1" operator="lessThan">
      <formula>$H$509*(-1)</formula>
    </cfRule>
  </conditionalFormatting>
  <conditionalFormatting sqref="I510">
    <cfRule type="cellIs" dxfId="1895" priority="991" stopIfTrue="1" operator="greaterThan">
      <formula>$H$510</formula>
    </cfRule>
  </conditionalFormatting>
  <conditionalFormatting sqref="I510">
    <cfRule type="cellIs" dxfId="1894" priority="992" stopIfTrue="1" operator="lessThan">
      <formula>$H$510*(-1)</formula>
    </cfRule>
  </conditionalFormatting>
  <conditionalFormatting sqref="I511">
    <cfRule type="cellIs" dxfId="1893" priority="993" stopIfTrue="1" operator="greaterThan">
      <formula>$H$511</formula>
    </cfRule>
  </conditionalFormatting>
  <conditionalFormatting sqref="I511">
    <cfRule type="cellIs" dxfId="1892" priority="994" stopIfTrue="1" operator="lessThan">
      <formula>$H$511*(-1)</formula>
    </cfRule>
  </conditionalFormatting>
  <conditionalFormatting sqref="I512">
    <cfRule type="cellIs" dxfId="1891" priority="995" stopIfTrue="1" operator="greaterThan">
      <formula>$H$512</formula>
    </cfRule>
  </conditionalFormatting>
  <conditionalFormatting sqref="I512">
    <cfRule type="cellIs" dxfId="1890" priority="996" stopIfTrue="1" operator="lessThan">
      <formula>$H$512*(-1)</formula>
    </cfRule>
  </conditionalFormatting>
  <conditionalFormatting sqref="I513">
    <cfRule type="cellIs" dxfId="1889" priority="997" stopIfTrue="1" operator="greaterThan">
      <formula>$H$513</formula>
    </cfRule>
  </conditionalFormatting>
  <conditionalFormatting sqref="I513">
    <cfRule type="cellIs" dxfId="1888" priority="998" stopIfTrue="1" operator="lessThan">
      <formula>$H$513*(-1)</formula>
    </cfRule>
  </conditionalFormatting>
  <conditionalFormatting sqref="I514">
    <cfRule type="cellIs" dxfId="1887" priority="999" stopIfTrue="1" operator="greaterThan">
      <formula>$H$514</formula>
    </cfRule>
  </conditionalFormatting>
  <conditionalFormatting sqref="I514">
    <cfRule type="cellIs" dxfId="1886" priority="1000" stopIfTrue="1" operator="lessThan">
      <formula>$H$514*(-1)</formula>
    </cfRule>
  </conditionalFormatting>
  <conditionalFormatting sqref="I515">
    <cfRule type="cellIs" dxfId="1885" priority="1001" stopIfTrue="1" operator="greaterThan">
      <formula>$H$515</formula>
    </cfRule>
  </conditionalFormatting>
  <conditionalFormatting sqref="I515">
    <cfRule type="cellIs" dxfId="1884" priority="1002" stopIfTrue="1" operator="lessThan">
      <formula>$H$515*(-1)</formula>
    </cfRule>
  </conditionalFormatting>
  <conditionalFormatting sqref="I516">
    <cfRule type="cellIs" dxfId="1883" priority="1003" stopIfTrue="1" operator="greaterThan">
      <formula>$H$516</formula>
    </cfRule>
  </conditionalFormatting>
  <conditionalFormatting sqref="I516">
    <cfRule type="cellIs" dxfId="1882" priority="1004" stopIfTrue="1" operator="lessThan">
      <formula>$H$516*(-1)</formula>
    </cfRule>
  </conditionalFormatting>
  <conditionalFormatting sqref="I517">
    <cfRule type="cellIs" dxfId="1881" priority="1005" stopIfTrue="1" operator="greaterThan">
      <formula>$H$517</formula>
    </cfRule>
  </conditionalFormatting>
  <conditionalFormatting sqref="I517">
    <cfRule type="cellIs" dxfId="1880" priority="1006" stopIfTrue="1" operator="lessThan">
      <formula>$H$517*(-1)</formula>
    </cfRule>
  </conditionalFormatting>
  <conditionalFormatting sqref="I518">
    <cfRule type="cellIs" dxfId="1879" priority="1007" stopIfTrue="1" operator="greaterThan">
      <formula>$H$518</formula>
    </cfRule>
  </conditionalFormatting>
  <conditionalFormatting sqref="I518">
    <cfRule type="cellIs" dxfId="1878" priority="1008" stopIfTrue="1" operator="lessThan">
      <formula>$H$518*(-1)</formula>
    </cfRule>
  </conditionalFormatting>
  <conditionalFormatting sqref="I519">
    <cfRule type="cellIs" dxfId="1877" priority="1009" stopIfTrue="1" operator="greaterThan">
      <formula>$H$519</formula>
    </cfRule>
  </conditionalFormatting>
  <conditionalFormatting sqref="I519">
    <cfRule type="cellIs" dxfId="1876" priority="1010" stopIfTrue="1" operator="lessThan">
      <formula>$H$519*(-1)</formula>
    </cfRule>
  </conditionalFormatting>
  <conditionalFormatting sqref="I520">
    <cfRule type="cellIs" dxfId="1875" priority="1011" stopIfTrue="1" operator="greaterThan">
      <formula>$H$520</formula>
    </cfRule>
  </conditionalFormatting>
  <conditionalFormatting sqref="I520">
    <cfRule type="cellIs" dxfId="1874" priority="1012" stopIfTrue="1" operator="lessThan">
      <formula>$H$520*(-1)</formula>
    </cfRule>
  </conditionalFormatting>
  <conditionalFormatting sqref="I521">
    <cfRule type="cellIs" dxfId="1873" priority="1013" stopIfTrue="1" operator="greaterThan">
      <formula>$H$521</formula>
    </cfRule>
  </conditionalFormatting>
  <conditionalFormatting sqref="I521">
    <cfRule type="cellIs" dxfId="1872" priority="1014" stopIfTrue="1" operator="lessThan">
      <formula>$H$521*(-1)</formula>
    </cfRule>
  </conditionalFormatting>
  <conditionalFormatting sqref="I522">
    <cfRule type="cellIs" dxfId="1871" priority="1015" stopIfTrue="1" operator="greaterThan">
      <formula>$H$522</formula>
    </cfRule>
  </conditionalFormatting>
  <conditionalFormatting sqref="I522">
    <cfRule type="cellIs" dxfId="1870" priority="1016" stopIfTrue="1" operator="lessThan">
      <formula>$H$522*(-1)</formula>
    </cfRule>
  </conditionalFormatting>
  <conditionalFormatting sqref="I523">
    <cfRule type="cellIs" dxfId="1869" priority="1017" stopIfTrue="1" operator="greaterThan">
      <formula>$H$523</formula>
    </cfRule>
  </conditionalFormatting>
  <conditionalFormatting sqref="I523">
    <cfRule type="cellIs" dxfId="1868" priority="1018" stopIfTrue="1" operator="lessThan">
      <formula>$H$523*(-1)</formula>
    </cfRule>
  </conditionalFormatting>
  <conditionalFormatting sqref="I524">
    <cfRule type="cellIs" dxfId="1867" priority="1019" stopIfTrue="1" operator="greaterThan">
      <formula>$H$524</formula>
    </cfRule>
  </conditionalFormatting>
  <conditionalFormatting sqref="I524">
    <cfRule type="cellIs" dxfId="1866" priority="1020" stopIfTrue="1" operator="lessThan">
      <formula>$H$524*(-1)</formula>
    </cfRule>
  </conditionalFormatting>
  <conditionalFormatting sqref="I525">
    <cfRule type="cellIs" dxfId="1865" priority="1021" stopIfTrue="1" operator="greaterThan">
      <formula>$H$525</formula>
    </cfRule>
  </conditionalFormatting>
  <conditionalFormatting sqref="I525">
    <cfRule type="cellIs" dxfId="1864" priority="1022" stopIfTrue="1" operator="lessThan">
      <formula>$H$525*(-1)</formula>
    </cfRule>
  </conditionalFormatting>
  <conditionalFormatting sqref="I526">
    <cfRule type="cellIs" dxfId="1863" priority="1023" stopIfTrue="1" operator="greaterThan">
      <formula>$H$526</formula>
    </cfRule>
  </conditionalFormatting>
  <conditionalFormatting sqref="I526">
    <cfRule type="cellIs" dxfId="1862" priority="1024" stopIfTrue="1" operator="lessThan">
      <formula>$H$526*(-1)</formula>
    </cfRule>
  </conditionalFormatting>
  <conditionalFormatting sqref="I527">
    <cfRule type="cellIs" dxfId="1861" priority="1025" stopIfTrue="1" operator="greaterThan">
      <formula>$H$527</formula>
    </cfRule>
  </conditionalFormatting>
  <conditionalFormatting sqref="I527">
    <cfRule type="cellIs" dxfId="1860" priority="1026" stopIfTrue="1" operator="lessThan">
      <formula>$H$527*(-1)</formula>
    </cfRule>
  </conditionalFormatting>
  <conditionalFormatting sqref="I528">
    <cfRule type="cellIs" dxfId="1859" priority="1027" stopIfTrue="1" operator="greaterThan">
      <formula>$H$528</formula>
    </cfRule>
  </conditionalFormatting>
  <conditionalFormatting sqref="I528">
    <cfRule type="cellIs" dxfId="1858" priority="1028" stopIfTrue="1" operator="lessThan">
      <formula>$H$528*(-1)</formula>
    </cfRule>
  </conditionalFormatting>
  <conditionalFormatting sqref="I529">
    <cfRule type="cellIs" dxfId="1857" priority="1029" stopIfTrue="1" operator="greaterThan">
      <formula>$H$529</formula>
    </cfRule>
  </conditionalFormatting>
  <conditionalFormatting sqref="I529">
    <cfRule type="cellIs" dxfId="1856" priority="1030" stopIfTrue="1" operator="lessThan">
      <formula>$H$529*(-1)</formula>
    </cfRule>
  </conditionalFormatting>
  <conditionalFormatting sqref="I530">
    <cfRule type="cellIs" dxfId="1855" priority="1031" stopIfTrue="1" operator="greaterThan">
      <formula>$H$530</formula>
    </cfRule>
  </conditionalFormatting>
  <conditionalFormatting sqref="I530">
    <cfRule type="cellIs" dxfId="1854" priority="1032" stopIfTrue="1" operator="lessThan">
      <formula>$H$530*(-1)</formula>
    </cfRule>
  </conditionalFormatting>
  <conditionalFormatting sqref="I531">
    <cfRule type="cellIs" dxfId="1853" priority="1033" stopIfTrue="1" operator="greaterThan">
      <formula>$H$531</formula>
    </cfRule>
  </conditionalFormatting>
  <conditionalFormatting sqref="I531">
    <cfRule type="cellIs" dxfId="1852" priority="1034" stopIfTrue="1" operator="lessThan">
      <formula>$H$531*(-1)</formula>
    </cfRule>
  </conditionalFormatting>
  <conditionalFormatting sqref="I532">
    <cfRule type="cellIs" dxfId="1851" priority="1035" stopIfTrue="1" operator="greaterThan">
      <formula>$H$532</formula>
    </cfRule>
  </conditionalFormatting>
  <conditionalFormatting sqref="I532">
    <cfRule type="cellIs" dxfId="1850" priority="1036" stopIfTrue="1" operator="lessThan">
      <formula>$H$532*(-1)</formula>
    </cfRule>
  </conditionalFormatting>
  <conditionalFormatting sqref="I533">
    <cfRule type="cellIs" dxfId="1849" priority="1037" stopIfTrue="1" operator="greaterThan">
      <formula>$H$533</formula>
    </cfRule>
  </conditionalFormatting>
  <conditionalFormatting sqref="I533">
    <cfRule type="cellIs" dxfId="1848" priority="1038" stopIfTrue="1" operator="lessThan">
      <formula>$H$533*(-1)</formula>
    </cfRule>
  </conditionalFormatting>
  <conditionalFormatting sqref="I534">
    <cfRule type="cellIs" dxfId="1847" priority="1039" stopIfTrue="1" operator="greaterThan">
      <formula>$H$534</formula>
    </cfRule>
  </conditionalFormatting>
  <conditionalFormatting sqref="I534">
    <cfRule type="cellIs" dxfId="1846" priority="1040" stopIfTrue="1" operator="lessThan">
      <formula>$H$534*(-1)</formula>
    </cfRule>
  </conditionalFormatting>
  <conditionalFormatting sqref="I535">
    <cfRule type="cellIs" dxfId="1845" priority="1041" stopIfTrue="1" operator="greaterThan">
      <formula>$H$535</formula>
    </cfRule>
  </conditionalFormatting>
  <conditionalFormatting sqref="I535">
    <cfRule type="cellIs" dxfId="1844" priority="1042" stopIfTrue="1" operator="lessThan">
      <formula>$H$535*(-1)</formula>
    </cfRule>
  </conditionalFormatting>
  <conditionalFormatting sqref="I536">
    <cfRule type="cellIs" dxfId="1843" priority="1043" stopIfTrue="1" operator="greaterThan">
      <formula>$H$536</formula>
    </cfRule>
  </conditionalFormatting>
  <conditionalFormatting sqref="I536">
    <cfRule type="cellIs" dxfId="1842" priority="1044" stopIfTrue="1" operator="lessThan">
      <formula>$H$536*(-1)</formula>
    </cfRule>
  </conditionalFormatting>
  <conditionalFormatting sqref="I537">
    <cfRule type="cellIs" dxfId="1841" priority="1045" stopIfTrue="1" operator="greaterThan">
      <formula>$H$537</formula>
    </cfRule>
  </conditionalFormatting>
  <conditionalFormatting sqref="I537">
    <cfRule type="cellIs" dxfId="1840" priority="1046" stopIfTrue="1" operator="lessThan">
      <formula>$H$537*(-1)</formula>
    </cfRule>
  </conditionalFormatting>
  <conditionalFormatting sqref="I538">
    <cfRule type="cellIs" dxfId="1839" priority="1047" stopIfTrue="1" operator="greaterThan">
      <formula>$H$538</formula>
    </cfRule>
  </conditionalFormatting>
  <conditionalFormatting sqref="I538">
    <cfRule type="cellIs" dxfId="1838" priority="1048" stopIfTrue="1" operator="lessThan">
      <formula>$H$538*(-1)</formula>
    </cfRule>
  </conditionalFormatting>
  <conditionalFormatting sqref="I539">
    <cfRule type="cellIs" dxfId="1837" priority="1049" stopIfTrue="1" operator="greaterThan">
      <formula>$H$539</formula>
    </cfRule>
  </conditionalFormatting>
  <conditionalFormatting sqref="I539">
    <cfRule type="cellIs" dxfId="1836" priority="1050" stopIfTrue="1" operator="lessThan">
      <formula>$H$539*(-1)</formula>
    </cfRule>
  </conditionalFormatting>
  <conditionalFormatting sqref="I540">
    <cfRule type="cellIs" dxfId="1835" priority="1051" stopIfTrue="1" operator="greaterThan">
      <formula>$H$540</formula>
    </cfRule>
  </conditionalFormatting>
  <conditionalFormatting sqref="I540">
    <cfRule type="cellIs" dxfId="1834" priority="1052" stopIfTrue="1" operator="lessThan">
      <formula>$H$540*(-1)</formula>
    </cfRule>
  </conditionalFormatting>
  <conditionalFormatting sqref="I541">
    <cfRule type="cellIs" dxfId="1833" priority="1053" stopIfTrue="1" operator="greaterThan">
      <formula>$H$541</formula>
    </cfRule>
  </conditionalFormatting>
  <conditionalFormatting sqref="I541">
    <cfRule type="cellIs" dxfId="1832" priority="1054" stopIfTrue="1" operator="lessThan">
      <formula>$H$541*(-1)</formula>
    </cfRule>
  </conditionalFormatting>
  <conditionalFormatting sqref="I542">
    <cfRule type="cellIs" dxfId="1831" priority="1055" stopIfTrue="1" operator="greaterThan">
      <formula>$H$542</formula>
    </cfRule>
  </conditionalFormatting>
  <conditionalFormatting sqref="I542">
    <cfRule type="cellIs" dxfId="1830" priority="1056" stopIfTrue="1" operator="lessThan">
      <formula>$H$542*(-1)</formula>
    </cfRule>
  </conditionalFormatting>
  <conditionalFormatting sqref="I543">
    <cfRule type="cellIs" dxfId="1829" priority="1057" stopIfTrue="1" operator="greaterThan">
      <formula>$H$543</formula>
    </cfRule>
  </conditionalFormatting>
  <conditionalFormatting sqref="I543">
    <cfRule type="cellIs" dxfId="1828" priority="1058" stopIfTrue="1" operator="lessThan">
      <formula>$H$543*(-1)</formula>
    </cfRule>
  </conditionalFormatting>
  <conditionalFormatting sqref="I544">
    <cfRule type="cellIs" dxfId="1827" priority="1059" stopIfTrue="1" operator="greaterThan">
      <formula>$H$544</formula>
    </cfRule>
  </conditionalFormatting>
  <conditionalFormatting sqref="I544">
    <cfRule type="cellIs" dxfId="1826" priority="1060" stopIfTrue="1" operator="lessThan">
      <formula>$H$544*(-1)</formula>
    </cfRule>
  </conditionalFormatting>
  <conditionalFormatting sqref="I545">
    <cfRule type="cellIs" dxfId="1825" priority="1061" stopIfTrue="1" operator="greaterThan">
      <formula>$H$545</formula>
    </cfRule>
  </conditionalFormatting>
  <conditionalFormatting sqref="I545">
    <cfRule type="cellIs" dxfId="1824" priority="1062" stopIfTrue="1" operator="lessThan">
      <formula>$H$545*(-1)</formula>
    </cfRule>
  </conditionalFormatting>
  <conditionalFormatting sqref="I546">
    <cfRule type="cellIs" dxfId="1823" priority="1063" stopIfTrue="1" operator="greaterThan">
      <formula>$H$546</formula>
    </cfRule>
  </conditionalFormatting>
  <conditionalFormatting sqref="I546">
    <cfRule type="cellIs" dxfId="1822" priority="1064" stopIfTrue="1" operator="lessThan">
      <formula>$H$546*(-1)</formula>
    </cfRule>
  </conditionalFormatting>
  <conditionalFormatting sqref="I547">
    <cfRule type="cellIs" dxfId="1821" priority="1065" stopIfTrue="1" operator="greaterThan">
      <formula>$H$547</formula>
    </cfRule>
  </conditionalFormatting>
  <conditionalFormatting sqref="I547">
    <cfRule type="cellIs" dxfId="1820" priority="1066" stopIfTrue="1" operator="lessThan">
      <formula>$H$547*(-1)</formula>
    </cfRule>
  </conditionalFormatting>
  <conditionalFormatting sqref="I548">
    <cfRule type="cellIs" dxfId="1819" priority="1067" stopIfTrue="1" operator="greaterThan">
      <formula>$H$548</formula>
    </cfRule>
  </conditionalFormatting>
  <conditionalFormatting sqref="I548">
    <cfRule type="cellIs" dxfId="1818" priority="1068" stopIfTrue="1" operator="lessThan">
      <formula>$H$548*(-1)</formula>
    </cfRule>
  </conditionalFormatting>
  <conditionalFormatting sqref="I549">
    <cfRule type="cellIs" dxfId="1817" priority="1069" stopIfTrue="1" operator="greaterThan">
      <formula>$H$549</formula>
    </cfRule>
  </conditionalFormatting>
  <conditionalFormatting sqref="I549">
    <cfRule type="cellIs" dxfId="1816" priority="1070" stopIfTrue="1" operator="lessThan">
      <formula>$H$549*(-1)</formula>
    </cfRule>
  </conditionalFormatting>
  <conditionalFormatting sqref="I550">
    <cfRule type="cellIs" dxfId="1815" priority="1071" stopIfTrue="1" operator="greaterThan">
      <formula>$H$550</formula>
    </cfRule>
  </conditionalFormatting>
  <conditionalFormatting sqref="I550">
    <cfRule type="cellIs" dxfId="1814" priority="1072" stopIfTrue="1" operator="lessThan">
      <formula>$H$550*(-1)</formula>
    </cfRule>
  </conditionalFormatting>
  <conditionalFormatting sqref="I551">
    <cfRule type="cellIs" dxfId="1813" priority="1073" stopIfTrue="1" operator="greaterThan">
      <formula>$H$551</formula>
    </cfRule>
  </conditionalFormatting>
  <conditionalFormatting sqref="I551">
    <cfRule type="cellIs" dxfId="1812" priority="1074" stopIfTrue="1" operator="lessThan">
      <formula>$H$551*(-1)</formula>
    </cfRule>
  </conditionalFormatting>
  <conditionalFormatting sqref="I552">
    <cfRule type="cellIs" dxfId="1811" priority="1075" stopIfTrue="1" operator="greaterThan">
      <formula>$H$552</formula>
    </cfRule>
  </conditionalFormatting>
  <conditionalFormatting sqref="I552">
    <cfRule type="cellIs" dxfId="1810" priority="1076" stopIfTrue="1" operator="lessThan">
      <formula>$H$552*(-1)</formula>
    </cfRule>
  </conditionalFormatting>
  <conditionalFormatting sqref="I553">
    <cfRule type="cellIs" dxfId="1809" priority="1077" stopIfTrue="1" operator="greaterThan">
      <formula>$H$553</formula>
    </cfRule>
  </conditionalFormatting>
  <conditionalFormatting sqref="I553">
    <cfRule type="cellIs" dxfId="1808" priority="1078" stopIfTrue="1" operator="lessThan">
      <formula>$H$553*(-1)</formula>
    </cfRule>
  </conditionalFormatting>
  <conditionalFormatting sqref="I554">
    <cfRule type="cellIs" dxfId="1807" priority="1079" stopIfTrue="1" operator="greaterThan">
      <formula>$H$554</formula>
    </cfRule>
  </conditionalFormatting>
  <conditionalFormatting sqref="I554">
    <cfRule type="cellIs" dxfId="1806" priority="1080" stopIfTrue="1" operator="lessThan">
      <formula>$H$554*(-1)</formula>
    </cfRule>
  </conditionalFormatting>
  <conditionalFormatting sqref="I555">
    <cfRule type="cellIs" dxfId="1805" priority="1081" stopIfTrue="1" operator="greaterThan">
      <formula>$H$555</formula>
    </cfRule>
  </conditionalFormatting>
  <conditionalFormatting sqref="I555">
    <cfRule type="cellIs" dxfId="1804" priority="1082" stopIfTrue="1" operator="lessThan">
      <formula>$H$555*(-1)</formula>
    </cfRule>
  </conditionalFormatting>
  <conditionalFormatting sqref="I556">
    <cfRule type="cellIs" dxfId="1803" priority="1083" stopIfTrue="1" operator="greaterThan">
      <formula>$H$556</formula>
    </cfRule>
  </conditionalFormatting>
  <conditionalFormatting sqref="I556">
    <cfRule type="cellIs" dxfId="1802" priority="1084" stopIfTrue="1" operator="lessThan">
      <formula>$H$556*(-1)</formula>
    </cfRule>
  </conditionalFormatting>
  <conditionalFormatting sqref="I557">
    <cfRule type="cellIs" dxfId="1801" priority="1085" stopIfTrue="1" operator="greaterThan">
      <formula>$H$557</formula>
    </cfRule>
  </conditionalFormatting>
  <conditionalFormatting sqref="I557">
    <cfRule type="cellIs" dxfId="1800" priority="1086" stopIfTrue="1" operator="lessThan">
      <formula>$H$557*(-1)</formula>
    </cfRule>
  </conditionalFormatting>
  <conditionalFormatting sqref="I558">
    <cfRule type="cellIs" dxfId="1799" priority="1087" stopIfTrue="1" operator="greaterThan">
      <formula>$H$558</formula>
    </cfRule>
  </conditionalFormatting>
  <conditionalFormatting sqref="I558">
    <cfRule type="cellIs" dxfId="1798" priority="1088" stopIfTrue="1" operator="lessThan">
      <formula>$H$558*(-1)</formula>
    </cfRule>
  </conditionalFormatting>
  <conditionalFormatting sqref="I559">
    <cfRule type="cellIs" dxfId="1797" priority="1089" stopIfTrue="1" operator="greaterThan">
      <formula>$H$559</formula>
    </cfRule>
  </conditionalFormatting>
  <conditionalFormatting sqref="I559">
    <cfRule type="cellIs" dxfId="1796" priority="1090" stopIfTrue="1" operator="lessThan">
      <formula>$H$559*(-1)</formula>
    </cfRule>
  </conditionalFormatting>
  <conditionalFormatting sqref="I560">
    <cfRule type="cellIs" dxfId="1795" priority="1091" stopIfTrue="1" operator="greaterThan">
      <formula>$H$560</formula>
    </cfRule>
  </conditionalFormatting>
  <conditionalFormatting sqref="I560">
    <cfRule type="cellIs" dxfId="1794" priority="1092" stopIfTrue="1" operator="lessThan">
      <formula>$H$560*(-1)</formula>
    </cfRule>
  </conditionalFormatting>
  <conditionalFormatting sqref="I561">
    <cfRule type="cellIs" dxfId="1793" priority="1093" stopIfTrue="1" operator="greaterThan">
      <formula>$H$561</formula>
    </cfRule>
  </conditionalFormatting>
  <conditionalFormatting sqref="I561">
    <cfRule type="cellIs" dxfId="1792" priority="1094" stopIfTrue="1" operator="lessThan">
      <formula>$H$561*(-1)</formula>
    </cfRule>
  </conditionalFormatting>
  <conditionalFormatting sqref="I562">
    <cfRule type="cellIs" dxfId="1791" priority="1095" stopIfTrue="1" operator="greaterThan">
      <formula>$H$562</formula>
    </cfRule>
  </conditionalFormatting>
  <conditionalFormatting sqref="I562">
    <cfRule type="cellIs" dxfId="1790" priority="1096" stopIfTrue="1" operator="lessThan">
      <formula>$H$562*(-1)</formula>
    </cfRule>
  </conditionalFormatting>
  <conditionalFormatting sqref="I563">
    <cfRule type="cellIs" dxfId="1789" priority="1097" stopIfTrue="1" operator="greaterThan">
      <formula>$H$563</formula>
    </cfRule>
  </conditionalFormatting>
  <conditionalFormatting sqref="I563">
    <cfRule type="cellIs" dxfId="1788" priority="1098" stopIfTrue="1" operator="lessThan">
      <formula>$H$563*(-1)</formula>
    </cfRule>
  </conditionalFormatting>
  <conditionalFormatting sqref="I564">
    <cfRule type="cellIs" dxfId="1787" priority="1099" stopIfTrue="1" operator="greaterThan">
      <formula>$H$564</formula>
    </cfRule>
  </conditionalFormatting>
  <conditionalFormatting sqref="I564">
    <cfRule type="cellIs" dxfId="1786" priority="1100" stopIfTrue="1" operator="lessThan">
      <formula>$H$564*(-1)</formula>
    </cfRule>
  </conditionalFormatting>
  <conditionalFormatting sqref="I565">
    <cfRule type="cellIs" dxfId="1785" priority="1101" stopIfTrue="1" operator="greaterThan">
      <formula>$H$565</formula>
    </cfRule>
  </conditionalFormatting>
  <conditionalFormatting sqref="I565">
    <cfRule type="cellIs" dxfId="1784" priority="1102" stopIfTrue="1" operator="lessThan">
      <formula>$H$565*(-1)</formula>
    </cfRule>
  </conditionalFormatting>
  <conditionalFormatting sqref="I566">
    <cfRule type="cellIs" dxfId="1783" priority="1103" stopIfTrue="1" operator="greaterThan">
      <formula>$H$566</formula>
    </cfRule>
  </conditionalFormatting>
  <conditionalFormatting sqref="I566">
    <cfRule type="cellIs" dxfId="1782" priority="1104" stopIfTrue="1" operator="lessThan">
      <formula>$H$566*(-1)</formula>
    </cfRule>
  </conditionalFormatting>
  <conditionalFormatting sqref="I567">
    <cfRule type="cellIs" dxfId="1781" priority="1105" stopIfTrue="1" operator="greaterThan">
      <formula>$H$567</formula>
    </cfRule>
  </conditionalFormatting>
  <conditionalFormatting sqref="I567">
    <cfRule type="cellIs" dxfId="1780" priority="1106" stopIfTrue="1" operator="lessThan">
      <formula>$H$567*(-1)</formula>
    </cfRule>
  </conditionalFormatting>
  <conditionalFormatting sqref="I568">
    <cfRule type="cellIs" dxfId="1779" priority="1107" stopIfTrue="1" operator="greaterThan">
      <formula>$H$568</formula>
    </cfRule>
  </conditionalFormatting>
  <conditionalFormatting sqref="I568">
    <cfRule type="cellIs" dxfId="1778" priority="1108" stopIfTrue="1" operator="lessThan">
      <formula>$H$568*(-1)</formula>
    </cfRule>
  </conditionalFormatting>
  <conditionalFormatting sqref="I569">
    <cfRule type="cellIs" dxfId="1777" priority="1109" stopIfTrue="1" operator="greaterThan">
      <formula>$H$569</formula>
    </cfRule>
  </conditionalFormatting>
  <conditionalFormatting sqref="I569">
    <cfRule type="cellIs" dxfId="1776" priority="1110" stopIfTrue="1" operator="lessThan">
      <formula>$H$569*(-1)</formula>
    </cfRule>
  </conditionalFormatting>
  <conditionalFormatting sqref="I570">
    <cfRule type="cellIs" dxfId="1775" priority="1111" stopIfTrue="1" operator="greaterThan">
      <formula>$H$570</formula>
    </cfRule>
  </conditionalFormatting>
  <conditionalFormatting sqref="I570">
    <cfRule type="cellIs" dxfId="1774" priority="1112" stopIfTrue="1" operator="lessThan">
      <formula>$H$570*(-1)</formula>
    </cfRule>
  </conditionalFormatting>
  <conditionalFormatting sqref="I571">
    <cfRule type="cellIs" dxfId="1773" priority="1113" stopIfTrue="1" operator="greaterThan">
      <formula>$H$571</formula>
    </cfRule>
  </conditionalFormatting>
  <conditionalFormatting sqref="I571">
    <cfRule type="cellIs" dxfId="1772" priority="1114" stopIfTrue="1" operator="lessThan">
      <formula>$H$571*(-1)</formula>
    </cfRule>
  </conditionalFormatting>
  <conditionalFormatting sqref="I572">
    <cfRule type="cellIs" dxfId="1771" priority="1115" stopIfTrue="1" operator="greaterThan">
      <formula>$H$572</formula>
    </cfRule>
  </conditionalFormatting>
  <conditionalFormatting sqref="I572">
    <cfRule type="cellIs" dxfId="1770" priority="1116" stopIfTrue="1" operator="lessThan">
      <formula>$H$572*(-1)</formula>
    </cfRule>
  </conditionalFormatting>
  <conditionalFormatting sqref="I573">
    <cfRule type="cellIs" dxfId="1769" priority="1117" stopIfTrue="1" operator="greaterThan">
      <formula>$H$573</formula>
    </cfRule>
  </conditionalFormatting>
  <conditionalFormatting sqref="I573">
    <cfRule type="cellIs" dxfId="1768" priority="1118" stopIfTrue="1" operator="lessThan">
      <formula>$H$573*(-1)</formula>
    </cfRule>
  </conditionalFormatting>
  <conditionalFormatting sqref="I574">
    <cfRule type="cellIs" dxfId="1767" priority="1119" stopIfTrue="1" operator="greaterThan">
      <formula>$H$574</formula>
    </cfRule>
  </conditionalFormatting>
  <conditionalFormatting sqref="I574">
    <cfRule type="cellIs" dxfId="1766" priority="1120" stopIfTrue="1" operator="lessThan">
      <formula>$H$574*(-1)</formula>
    </cfRule>
  </conditionalFormatting>
  <conditionalFormatting sqref="I575">
    <cfRule type="cellIs" dxfId="1765" priority="1121" stopIfTrue="1" operator="greaterThan">
      <formula>$H$575</formula>
    </cfRule>
  </conditionalFormatting>
  <conditionalFormatting sqref="I575">
    <cfRule type="cellIs" dxfId="1764" priority="1122" stopIfTrue="1" operator="lessThan">
      <formula>$H$575*(-1)</formula>
    </cfRule>
  </conditionalFormatting>
  <conditionalFormatting sqref="I576">
    <cfRule type="cellIs" dxfId="1763" priority="1123" stopIfTrue="1" operator="greaterThan">
      <formula>$H$576</formula>
    </cfRule>
  </conditionalFormatting>
  <conditionalFormatting sqref="I576">
    <cfRule type="cellIs" dxfId="1762" priority="1124" stopIfTrue="1" operator="lessThan">
      <formula>$H$576*(-1)</formula>
    </cfRule>
  </conditionalFormatting>
  <conditionalFormatting sqref="I577">
    <cfRule type="cellIs" dxfId="1761" priority="1125" stopIfTrue="1" operator="greaterThan">
      <formula>$H$577</formula>
    </cfRule>
  </conditionalFormatting>
  <conditionalFormatting sqref="I577">
    <cfRule type="cellIs" dxfId="1760" priority="1126" stopIfTrue="1" operator="lessThan">
      <formula>$H$577*(-1)</formula>
    </cfRule>
  </conditionalFormatting>
  <conditionalFormatting sqref="I578">
    <cfRule type="cellIs" dxfId="1759" priority="1127" stopIfTrue="1" operator="greaterThan">
      <formula>$H$578</formula>
    </cfRule>
  </conditionalFormatting>
  <conditionalFormatting sqref="I578">
    <cfRule type="cellIs" dxfId="1758" priority="1128" stopIfTrue="1" operator="lessThan">
      <formula>$H$578*(-1)</formula>
    </cfRule>
  </conditionalFormatting>
  <conditionalFormatting sqref="I579">
    <cfRule type="cellIs" dxfId="1757" priority="1129" stopIfTrue="1" operator="greaterThan">
      <formula>$H$579</formula>
    </cfRule>
  </conditionalFormatting>
  <conditionalFormatting sqref="I579">
    <cfRule type="cellIs" dxfId="1756" priority="1130" stopIfTrue="1" operator="lessThan">
      <formula>$H$579*(-1)</formula>
    </cfRule>
  </conditionalFormatting>
  <conditionalFormatting sqref="I580">
    <cfRule type="cellIs" dxfId="1755" priority="1131" stopIfTrue="1" operator="greaterThan">
      <formula>$H$580</formula>
    </cfRule>
  </conditionalFormatting>
  <conditionalFormatting sqref="I580">
    <cfRule type="cellIs" dxfId="1754" priority="1132" stopIfTrue="1" operator="lessThan">
      <formula>$H$580*(-1)</formula>
    </cfRule>
  </conditionalFormatting>
  <conditionalFormatting sqref="I581">
    <cfRule type="cellIs" dxfId="1753" priority="1133" stopIfTrue="1" operator="greaterThan">
      <formula>$H$581</formula>
    </cfRule>
  </conditionalFormatting>
  <conditionalFormatting sqref="I581">
    <cfRule type="cellIs" dxfId="1752" priority="1134" stopIfTrue="1" operator="lessThan">
      <formula>$H$581*(-1)</formula>
    </cfRule>
  </conditionalFormatting>
  <conditionalFormatting sqref="I582">
    <cfRule type="cellIs" dxfId="1751" priority="1135" stopIfTrue="1" operator="greaterThan">
      <formula>$H$582</formula>
    </cfRule>
  </conditionalFormatting>
  <conditionalFormatting sqref="I582">
    <cfRule type="cellIs" dxfId="1750" priority="1136" stopIfTrue="1" operator="lessThan">
      <formula>$H$582*(-1)</formula>
    </cfRule>
  </conditionalFormatting>
  <conditionalFormatting sqref="I583">
    <cfRule type="cellIs" dxfId="1749" priority="1137" stopIfTrue="1" operator="greaterThan">
      <formula>$H$583</formula>
    </cfRule>
  </conditionalFormatting>
  <conditionalFormatting sqref="I583">
    <cfRule type="cellIs" dxfId="1748" priority="1138" stopIfTrue="1" operator="lessThan">
      <formula>$H$583*(-1)</formula>
    </cfRule>
  </conditionalFormatting>
  <conditionalFormatting sqref="I584">
    <cfRule type="cellIs" dxfId="1747" priority="1139" stopIfTrue="1" operator="greaterThan">
      <formula>$H$584</formula>
    </cfRule>
  </conditionalFormatting>
  <conditionalFormatting sqref="I584">
    <cfRule type="cellIs" dxfId="1746" priority="1140" stopIfTrue="1" operator="lessThan">
      <formula>$H$584*(-1)</formula>
    </cfRule>
  </conditionalFormatting>
  <conditionalFormatting sqref="I585">
    <cfRule type="cellIs" dxfId="1745" priority="1141" stopIfTrue="1" operator="greaterThan">
      <formula>$H$585</formula>
    </cfRule>
  </conditionalFormatting>
  <conditionalFormatting sqref="I585">
    <cfRule type="cellIs" dxfId="1744" priority="1142" stopIfTrue="1" operator="lessThan">
      <formula>$H$585*(-1)</formula>
    </cfRule>
  </conditionalFormatting>
  <conditionalFormatting sqref="I586">
    <cfRule type="cellIs" dxfId="1743" priority="1143" stopIfTrue="1" operator="greaterThan">
      <formula>$H$586</formula>
    </cfRule>
  </conditionalFormatting>
  <conditionalFormatting sqref="I586">
    <cfRule type="cellIs" dxfId="1742" priority="1144" stopIfTrue="1" operator="lessThan">
      <formula>$H$586*(-1)</formula>
    </cfRule>
  </conditionalFormatting>
  <conditionalFormatting sqref="I587">
    <cfRule type="cellIs" dxfId="1741" priority="1145" stopIfTrue="1" operator="greaterThan">
      <formula>$H$587</formula>
    </cfRule>
  </conditionalFormatting>
  <conditionalFormatting sqref="I587">
    <cfRule type="cellIs" dxfId="1740" priority="1146" stopIfTrue="1" operator="lessThan">
      <formula>$H$587*(-1)</formula>
    </cfRule>
  </conditionalFormatting>
  <conditionalFormatting sqref="I588">
    <cfRule type="cellIs" dxfId="1739" priority="1147" stopIfTrue="1" operator="greaterThan">
      <formula>$H$588</formula>
    </cfRule>
  </conditionalFormatting>
  <conditionalFormatting sqref="I588">
    <cfRule type="cellIs" dxfId="1738" priority="1148" stopIfTrue="1" operator="lessThan">
      <formula>$H$588*(-1)</formula>
    </cfRule>
  </conditionalFormatting>
  <conditionalFormatting sqref="I589">
    <cfRule type="cellIs" dxfId="1737" priority="1149" stopIfTrue="1" operator="greaterThan">
      <formula>$H$589</formula>
    </cfRule>
  </conditionalFormatting>
  <conditionalFormatting sqref="I589">
    <cfRule type="cellIs" dxfId="1736" priority="1150" stopIfTrue="1" operator="lessThan">
      <formula>$H$589*(-1)</formula>
    </cfRule>
  </conditionalFormatting>
  <conditionalFormatting sqref="I590">
    <cfRule type="cellIs" dxfId="1735" priority="1151" stopIfTrue="1" operator="greaterThan">
      <formula>$H$590</formula>
    </cfRule>
  </conditionalFormatting>
  <conditionalFormatting sqref="I590">
    <cfRule type="cellIs" dxfId="1734" priority="1152" stopIfTrue="1" operator="lessThan">
      <formula>$H$590*(-1)</formula>
    </cfRule>
  </conditionalFormatting>
  <conditionalFormatting sqref="I591">
    <cfRule type="cellIs" dxfId="1733" priority="1153" stopIfTrue="1" operator="greaterThan">
      <formula>$H$591</formula>
    </cfRule>
  </conditionalFormatting>
  <conditionalFormatting sqref="I591">
    <cfRule type="cellIs" dxfId="1732" priority="1154" stopIfTrue="1" operator="lessThan">
      <formula>$H$591*(-1)</formula>
    </cfRule>
  </conditionalFormatting>
  <conditionalFormatting sqref="I592">
    <cfRule type="cellIs" dxfId="1731" priority="1155" stopIfTrue="1" operator="greaterThan">
      <formula>$H$592</formula>
    </cfRule>
  </conditionalFormatting>
  <conditionalFormatting sqref="I592">
    <cfRule type="cellIs" dxfId="1730" priority="1156" stopIfTrue="1" operator="lessThan">
      <formula>$H$592*(-1)</formula>
    </cfRule>
  </conditionalFormatting>
  <conditionalFormatting sqref="I593">
    <cfRule type="cellIs" dxfId="1729" priority="1157" stopIfTrue="1" operator="greaterThan">
      <formula>$H$593</formula>
    </cfRule>
  </conditionalFormatting>
  <conditionalFormatting sqref="I593">
    <cfRule type="cellIs" dxfId="1728" priority="1158" stopIfTrue="1" operator="lessThan">
      <formula>$H$593*(-1)</formula>
    </cfRule>
  </conditionalFormatting>
  <conditionalFormatting sqref="I594">
    <cfRule type="cellIs" dxfId="1727" priority="1159" stopIfTrue="1" operator="greaterThan">
      <formula>$H$594</formula>
    </cfRule>
  </conditionalFormatting>
  <conditionalFormatting sqref="I594">
    <cfRule type="cellIs" dxfId="1726" priority="1160" stopIfTrue="1" operator="lessThan">
      <formula>$H$594*(-1)</formula>
    </cfRule>
  </conditionalFormatting>
  <conditionalFormatting sqref="I595">
    <cfRule type="cellIs" dxfId="1725" priority="1161" stopIfTrue="1" operator="greaterThan">
      <formula>$H$595</formula>
    </cfRule>
  </conditionalFormatting>
  <conditionalFormatting sqref="I595">
    <cfRule type="cellIs" dxfId="1724" priority="1162" stopIfTrue="1" operator="lessThan">
      <formula>$H$595*(-1)</formula>
    </cfRule>
  </conditionalFormatting>
  <conditionalFormatting sqref="I596">
    <cfRule type="cellIs" dxfId="1723" priority="1163" stopIfTrue="1" operator="greaterThan">
      <formula>$H$596</formula>
    </cfRule>
  </conditionalFormatting>
  <conditionalFormatting sqref="I596">
    <cfRule type="cellIs" dxfId="1722" priority="1164" stopIfTrue="1" operator="lessThan">
      <formula>$H$596*(-1)</formula>
    </cfRule>
  </conditionalFormatting>
  <conditionalFormatting sqref="I597">
    <cfRule type="cellIs" dxfId="1721" priority="1165" stopIfTrue="1" operator="greaterThan">
      <formula>$H$597</formula>
    </cfRule>
  </conditionalFormatting>
  <conditionalFormatting sqref="I597">
    <cfRule type="cellIs" dxfId="1720" priority="1166" stopIfTrue="1" operator="lessThan">
      <formula>$H$597*(-1)</formula>
    </cfRule>
  </conditionalFormatting>
  <conditionalFormatting sqref="I598">
    <cfRule type="cellIs" dxfId="1719" priority="1167" stopIfTrue="1" operator="greaterThan">
      <formula>$H$598</formula>
    </cfRule>
  </conditionalFormatting>
  <conditionalFormatting sqref="I598">
    <cfRule type="cellIs" dxfId="1718" priority="1168" stopIfTrue="1" operator="lessThan">
      <formula>$H$598*(-1)</formula>
    </cfRule>
  </conditionalFormatting>
  <conditionalFormatting sqref="I599">
    <cfRule type="cellIs" dxfId="1717" priority="1169" stopIfTrue="1" operator="greaterThan">
      <formula>$H$599</formula>
    </cfRule>
  </conditionalFormatting>
  <conditionalFormatting sqref="I599">
    <cfRule type="cellIs" dxfId="1716" priority="1170" stopIfTrue="1" operator="lessThan">
      <formula>$H$599*(-1)</formula>
    </cfRule>
  </conditionalFormatting>
  <conditionalFormatting sqref="I600">
    <cfRule type="cellIs" dxfId="1715" priority="1171" stopIfTrue="1" operator="greaterThan">
      <formula>$H$600</formula>
    </cfRule>
  </conditionalFormatting>
  <conditionalFormatting sqref="I600">
    <cfRule type="cellIs" dxfId="1714" priority="1172" stopIfTrue="1" operator="lessThan">
      <formula>$H$600*(-1)</formula>
    </cfRule>
  </conditionalFormatting>
  <conditionalFormatting sqref="I601">
    <cfRule type="cellIs" dxfId="1713" priority="1173" stopIfTrue="1" operator="greaterThan">
      <formula>$H$601</formula>
    </cfRule>
  </conditionalFormatting>
  <conditionalFormatting sqref="I601">
    <cfRule type="cellIs" dxfId="1712" priority="1174" stopIfTrue="1" operator="lessThan">
      <formula>$H$601*(-1)</formula>
    </cfRule>
  </conditionalFormatting>
  <conditionalFormatting sqref="I602">
    <cfRule type="cellIs" dxfId="1711" priority="1175" stopIfTrue="1" operator="greaterThan">
      <formula>$H$602</formula>
    </cfRule>
  </conditionalFormatting>
  <conditionalFormatting sqref="I602">
    <cfRule type="cellIs" dxfId="1710" priority="1176" stopIfTrue="1" operator="lessThan">
      <formula>$H$602*(-1)</formula>
    </cfRule>
  </conditionalFormatting>
  <conditionalFormatting sqref="I603">
    <cfRule type="cellIs" dxfId="1709" priority="1177" stopIfTrue="1" operator="greaterThan">
      <formula>$H$603</formula>
    </cfRule>
  </conditionalFormatting>
  <conditionalFormatting sqref="I603">
    <cfRule type="cellIs" dxfId="1708" priority="1178" stopIfTrue="1" operator="lessThan">
      <formula>$H$603*(-1)</formula>
    </cfRule>
  </conditionalFormatting>
  <conditionalFormatting sqref="I604">
    <cfRule type="cellIs" dxfId="1707" priority="1179" stopIfTrue="1" operator="greaterThan">
      <formula>$H$604</formula>
    </cfRule>
  </conditionalFormatting>
  <conditionalFormatting sqref="I604">
    <cfRule type="cellIs" dxfId="1706" priority="1180" stopIfTrue="1" operator="lessThan">
      <formula>$H$604*(-1)</formula>
    </cfRule>
  </conditionalFormatting>
  <conditionalFormatting sqref="I605">
    <cfRule type="cellIs" dxfId="1705" priority="1181" stopIfTrue="1" operator="greaterThan">
      <formula>$H$605</formula>
    </cfRule>
  </conditionalFormatting>
  <conditionalFormatting sqref="I605">
    <cfRule type="cellIs" dxfId="1704" priority="1182" stopIfTrue="1" operator="lessThan">
      <formula>$H$605*(-1)</formula>
    </cfRule>
  </conditionalFormatting>
  <conditionalFormatting sqref="I606">
    <cfRule type="cellIs" dxfId="1703" priority="1183" stopIfTrue="1" operator="greaterThan">
      <formula>$H$606</formula>
    </cfRule>
  </conditionalFormatting>
  <conditionalFormatting sqref="I606">
    <cfRule type="cellIs" dxfId="1702" priority="1184" stopIfTrue="1" operator="lessThan">
      <formula>$H$606*(-1)</formula>
    </cfRule>
  </conditionalFormatting>
  <conditionalFormatting sqref="I607">
    <cfRule type="cellIs" dxfId="1701" priority="1185" stopIfTrue="1" operator="greaterThan">
      <formula>$H$607</formula>
    </cfRule>
  </conditionalFormatting>
  <conditionalFormatting sqref="I607">
    <cfRule type="cellIs" dxfId="1700" priority="1186" stopIfTrue="1" operator="lessThan">
      <formula>$H$607*(-1)</formula>
    </cfRule>
  </conditionalFormatting>
  <conditionalFormatting sqref="I608">
    <cfRule type="cellIs" dxfId="1699" priority="1187" stopIfTrue="1" operator="greaterThan">
      <formula>$H$608</formula>
    </cfRule>
  </conditionalFormatting>
  <conditionalFormatting sqref="I608">
    <cfRule type="cellIs" dxfId="1698" priority="1188" stopIfTrue="1" operator="lessThan">
      <formula>$H$608*(-1)</formula>
    </cfRule>
  </conditionalFormatting>
  <conditionalFormatting sqref="I609">
    <cfRule type="cellIs" dxfId="1697" priority="1189" stopIfTrue="1" operator="greaterThan">
      <formula>$H$609</formula>
    </cfRule>
  </conditionalFormatting>
  <conditionalFormatting sqref="I609">
    <cfRule type="cellIs" dxfId="1696" priority="1190" stopIfTrue="1" operator="lessThan">
      <formula>$H$609*(-1)</formula>
    </cfRule>
  </conditionalFormatting>
  <conditionalFormatting sqref="I610">
    <cfRule type="cellIs" dxfId="1695" priority="1191" stopIfTrue="1" operator="greaterThan">
      <formula>$H$610</formula>
    </cfRule>
  </conditionalFormatting>
  <conditionalFormatting sqref="I610">
    <cfRule type="cellIs" dxfId="1694" priority="1192" stopIfTrue="1" operator="lessThan">
      <formula>$H$610*(-1)</formula>
    </cfRule>
  </conditionalFormatting>
  <conditionalFormatting sqref="I611">
    <cfRule type="cellIs" dxfId="1693" priority="1193" stopIfTrue="1" operator="greaterThan">
      <formula>$H$611</formula>
    </cfRule>
  </conditionalFormatting>
  <conditionalFormatting sqref="I611">
    <cfRule type="cellIs" dxfId="1692" priority="1194" stopIfTrue="1" operator="lessThan">
      <formula>$H$611*(-1)</formula>
    </cfRule>
  </conditionalFormatting>
  <conditionalFormatting sqref="I612">
    <cfRule type="cellIs" dxfId="1691" priority="1195" stopIfTrue="1" operator="greaterThan">
      <formula>$H$612</formula>
    </cfRule>
  </conditionalFormatting>
  <conditionalFormatting sqref="I612">
    <cfRule type="cellIs" dxfId="1690" priority="1196" stopIfTrue="1" operator="lessThan">
      <formula>$H$612*(-1)</formula>
    </cfRule>
  </conditionalFormatting>
  <conditionalFormatting sqref="I613">
    <cfRule type="cellIs" dxfId="1689" priority="1197" stopIfTrue="1" operator="greaterThan">
      <formula>$H$613</formula>
    </cfRule>
  </conditionalFormatting>
  <conditionalFormatting sqref="I613">
    <cfRule type="cellIs" dxfId="1688" priority="1198" stopIfTrue="1" operator="lessThan">
      <formula>$H$613*(-1)</formula>
    </cfRule>
  </conditionalFormatting>
  <conditionalFormatting sqref="I614">
    <cfRule type="cellIs" dxfId="1687" priority="1199" stopIfTrue="1" operator="greaterThan">
      <formula>$H$614</formula>
    </cfRule>
  </conditionalFormatting>
  <conditionalFormatting sqref="I614">
    <cfRule type="cellIs" dxfId="1686" priority="1200" stopIfTrue="1" operator="lessThan">
      <formula>$H$614*(-1)</formula>
    </cfRule>
  </conditionalFormatting>
  <conditionalFormatting sqref="I615">
    <cfRule type="cellIs" dxfId="1685" priority="1201" stopIfTrue="1" operator="greaterThan">
      <formula>$H$615</formula>
    </cfRule>
  </conditionalFormatting>
  <conditionalFormatting sqref="I615">
    <cfRule type="cellIs" dxfId="1684" priority="1202" stopIfTrue="1" operator="lessThan">
      <formula>$H$615*(-1)</formula>
    </cfRule>
  </conditionalFormatting>
  <conditionalFormatting sqref="I616">
    <cfRule type="cellIs" dxfId="1683" priority="1203" stopIfTrue="1" operator="greaterThan">
      <formula>$H$616</formula>
    </cfRule>
  </conditionalFormatting>
  <conditionalFormatting sqref="I616">
    <cfRule type="cellIs" dxfId="1682" priority="1204" stopIfTrue="1" operator="lessThan">
      <formula>$H$616*(-1)</formula>
    </cfRule>
  </conditionalFormatting>
  <conditionalFormatting sqref="I617">
    <cfRule type="cellIs" dxfId="1681" priority="1205" stopIfTrue="1" operator="greaterThan">
      <formula>$H$617</formula>
    </cfRule>
  </conditionalFormatting>
  <conditionalFormatting sqref="I617">
    <cfRule type="cellIs" dxfId="1680" priority="1206" stopIfTrue="1" operator="lessThan">
      <formula>$H$617*(-1)</formula>
    </cfRule>
  </conditionalFormatting>
  <conditionalFormatting sqref="I618">
    <cfRule type="cellIs" dxfId="1679" priority="1207" stopIfTrue="1" operator="greaterThan">
      <formula>$H$618</formula>
    </cfRule>
  </conditionalFormatting>
  <conditionalFormatting sqref="I618">
    <cfRule type="cellIs" dxfId="1678" priority="1208" stopIfTrue="1" operator="lessThan">
      <formula>$H$618*(-1)</formula>
    </cfRule>
  </conditionalFormatting>
  <conditionalFormatting sqref="I619">
    <cfRule type="cellIs" dxfId="1677" priority="1209" stopIfTrue="1" operator="greaterThan">
      <formula>$H$619</formula>
    </cfRule>
  </conditionalFormatting>
  <conditionalFormatting sqref="I619">
    <cfRule type="cellIs" dxfId="1676" priority="1210" stopIfTrue="1" operator="lessThan">
      <formula>$H$619*(-1)</formula>
    </cfRule>
  </conditionalFormatting>
  <conditionalFormatting sqref="I620">
    <cfRule type="cellIs" dxfId="1675" priority="1211" stopIfTrue="1" operator="greaterThan">
      <formula>$H$620</formula>
    </cfRule>
  </conditionalFormatting>
  <conditionalFormatting sqref="I620">
    <cfRule type="cellIs" dxfId="1674" priority="1212" stopIfTrue="1" operator="lessThan">
      <formula>$H$620*(-1)</formula>
    </cfRule>
  </conditionalFormatting>
  <conditionalFormatting sqref="I621">
    <cfRule type="cellIs" dxfId="1673" priority="1213" stopIfTrue="1" operator="greaterThan">
      <formula>$H$621</formula>
    </cfRule>
  </conditionalFormatting>
  <conditionalFormatting sqref="I621">
    <cfRule type="cellIs" dxfId="1672" priority="1214" stopIfTrue="1" operator="lessThan">
      <formula>$H$621*(-1)</formula>
    </cfRule>
  </conditionalFormatting>
  <conditionalFormatting sqref="I622">
    <cfRule type="cellIs" dxfId="1671" priority="1215" stopIfTrue="1" operator="greaterThan">
      <formula>$H$622</formula>
    </cfRule>
  </conditionalFormatting>
  <conditionalFormatting sqref="I622">
    <cfRule type="cellIs" dxfId="1670" priority="1216" stopIfTrue="1" operator="lessThan">
      <formula>$H$622*(-1)</formula>
    </cfRule>
  </conditionalFormatting>
  <conditionalFormatting sqref="I623">
    <cfRule type="cellIs" dxfId="1669" priority="1217" stopIfTrue="1" operator="greaterThan">
      <formula>$H$623</formula>
    </cfRule>
  </conditionalFormatting>
  <conditionalFormatting sqref="I623">
    <cfRule type="cellIs" dxfId="1668" priority="1218" stopIfTrue="1" operator="lessThan">
      <formula>$H$623*(-1)</formula>
    </cfRule>
  </conditionalFormatting>
  <conditionalFormatting sqref="I624">
    <cfRule type="cellIs" dxfId="1667" priority="1219" stopIfTrue="1" operator="greaterThan">
      <formula>$H$624</formula>
    </cfRule>
  </conditionalFormatting>
  <conditionalFormatting sqref="I624">
    <cfRule type="cellIs" dxfId="1666" priority="1220" stopIfTrue="1" operator="lessThan">
      <formula>$H$624*(-1)</formula>
    </cfRule>
  </conditionalFormatting>
  <conditionalFormatting sqref="I625">
    <cfRule type="cellIs" dxfId="1665" priority="1221" stopIfTrue="1" operator="greaterThan">
      <formula>$H$625</formula>
    </cfRule>
  </conditionalFormatting>
  <conditionalFormatting sqref="I625">
    <cfRule type="cellIs" dxfId="1664" priority="1222" stopIfTrue="1" operator="lessThan">
      <formula>$H$625*(-1)</formula>
    </cfRule>
  </conditionalFormatting>
  <conditionalFormatting sqref="I626">
    <cfRule type="cellIs" dxfId="1663" priority="1223" stopIfTrue="1" operator="greaterThan">
      <formula>$H$626</formula>
    </cfRule>
  </conditionalFormatting>
  <conditionalFormatting sqref="I626">
    <cfRule type="cellIs" dxfId="1662" priority="1224" stopIfTrue="1" operator="lessThan">
      <formula>$H$626*(-1)</formula>
    </cfRule>
  </conditionalFormatting>
  <conditionalFormatting sqref="I627">
    <cfRule type="cellIs" dxfId="1661" priority="1225" stopIfTrue="1" operator="greaterThan">
      <formula>$H$627</formula>
    </cfRule>
  </conditionalFormatting>
  <conditionalFormatting sqref="I627">
    <cfRule type="cellIs" dxfId="1660" priority="1226" stopIfTrue="1" operator="lessThan">
      <formula>$H$627*(-1)</formula>
    </cfRule>
  </conditionalFormatting>
  <conditionalFormatting sqref="I628">
    <cfRule type="cellIs" dxfId="1659" priority="1227" stopIfTrue="1" operator="greaterThan">
      <formula>$H$628</formula>
    </cfRule>
  </conditionalFormatting>
  <conditionalFormatting sqref="I628">
    <cfRule type="cellIs" dxfId="1658" priority="1228" stopIfTrue="1" operator="lessThan">
      <formula>$H$628*(-1)</formula>
    </cfRule>
  </conditionalFormatting>
  <conditionalFormatting sqref="I629">
    <cfRule type="cellIs" dxfId="1657" priority="1229" stopIfTrue="1" operator="greaterThan">
      <formula>$H$629</formula>
    </cfRule>
  </conditionalFormatting>
  <conditionalFormatting sqref="I629">
    <cfRule type="cellIs" dxfId="1656" priority="1230" stopIfTrue="1" operator="lessThan">
      <formula>$H$629*(-1)</formula>
    </cfRule>
  </conditionalFormatting>
  <conditionalFormatting sqref="I630">
    <cfRule type="cellIs" dxfId="1655" priority="1231" stopIfTrue="1" operator="greaterThan">
      <formula>$H$630</formula>
    </cfRule>
  </conditionalFormatting>
  <conditionalFormatting sqref="I630">
    <cfRule type="cellIs" dxfId="1654" priority="1232" stopIfTrue="1" operator="lessThan">
      <formula>$H$630*(-1)</formula>
    </cfRule>
  </conditionalFormatting>
  <conditionalFormatting sqref="I631">
    <cfRule type="cellIs" dxfId="1653" priority="1233" stopIfTrue="1" operator="greaterThan">
      <formula>$H$631</formula>
    </cfRule>
  </conditionalFormatting>
  <conditionalFormatting sqref="I631">
    <cfRule type="cellIs" dxfId="1652" priority="1234" stopIfTrue="1" operator="lessThan">
      <formula>$H$631*(-1)</formula>
    </cfRule>
  </conditionalFormatting>
  <conditionalFormatting sqref="I632">
    <cfRule type="cellIs" dxfId="1651" priority="1235" stopIfTrue="1" operator="greaterThan">
      <formula>$H$632</formula>
    </cfRule>
  </conditionalFormatting>
  <conditionalFormatting sqref="I632">
    <cfRule type="cellIs" dxfId="1650" priority="1236" stopIfTrue="1" operator="lessThan">
      <formula>$H$632*(-1)</formula>
    </cfRule>
  </conditionalFormatting>
  <conditionalFormatting sqref="I633">
    <cfRule type="cellIs" dxfId="1649" priority="1237" stopIfTrue="1" operator="greaterThan">
      <formula>$H$633</formula>
    </cfRule>
  </conditionalFormatting>
  <conditionalFormatting sqref="I633">
    <cfRule type="cellIs" dxfId="1648" priority="1238" stopIfTrue="1" operator="lessThan">
      <formula>$H$633*(-1)</formula>
    </cfRule>
  </conditionalFormatting>
  <conditionalFormatting sqref="I634">
    <cfRule type="cellIs" dxfId="1647" priority="1239" stopIfTrue="1" operator="greaterThan">
      <formula>$H$634</formula>
    </cfRule>
  </conditionalFormatting>
  <conditionalFormatting sqref="I634">
    <cfRule type="cellIs" dxfId="1646" priority="1240" stopIfTrue="1" operator="lessThan">
      <formula>$H$634*(-1)</formula>
    </cfRule>
  </conditionalFormatting>
  <conditionalFormatting sqref="I635">
    <cfRule type="cellIs" dxfId="1645" priority="1241" stopIfTrue="1" operator="greaterThan">
      <formula>$H$635</formula>
    </cfRule>
  </conditionalFormatting>
  <conditionalFormatting sqref="I635">
    <cfRule type="cellIs" dxfId="1644" priority="1242" stopIfTrue="1" operator="lessThan">
      <formula>$H$635*(-1)</formula>
    </cfRule>
  </conditionalFormatting>
  <conditionalFormatting sqref="I636">
    <cfRule type="cellIs" dxfId="1643" priority="1243" stopIfTrue="1" operator="greaterThan">
      <formula>$H$636</formula>
    </cfRule>
  </conditionalFormatting>
  <conditionalFormatting sqref="I636">
    <cfRule type="cellIs" dxfId="1642" priority="1244" stopIfTrue="1" operator="lessThan">
      <formula>$H$636*(-1)</formula>
    </cfRule>
  </conditionalFormatting>
  <conditionalFormatting sqref="I637">
    <cfRule type="cellIs" dxfId="1641" priority="1245" stopIfTrue="1" operator="greaterThan">
      <formula>$H$637</formula>
    </cfRule>
  </conditionalFormatting>
  <conditionalFormatting sqref="I637">
    <cfRule type="cellIs" dxfId="1640" priority="1246" stopIfTrue="1" operator="lessThan">
      <formula>$H$637*(-1)</formula>
    </cfRule>
  </conditionalFormatting>
  <conditionalFormatting sqref="I638">
    <cfRule type="cellIs" dxfId="1639" priority="1247" stopIfTrue="1" operator="greaterThan">
      <formula>$H$638</formula>
    </cfRule>
  </conditionalFormatting>
  <conditionalFormatting sqref="I638">
    <cfRule type="cellIs" dxfId="1638" priority="1248" stopIfTrue="1" operator="lessThan">
      <formula>$H$638*(-1)</formula>
    </cfRule>
  </conditionalFormatting>
  <conditionalFormatting sqref="I639">
    <cfRule type="cellIs" dxfId="1637" priority="1249" stopIfTrue="1" operator="greaterThan">
      <formula>$H$639</formula>
    </cfRule>
  </conditionalFormatting>
  <conditionalFormatting sqref="I639">
    <cfRule type="cellIs" dxfId="1636" priority="1250" stopIfTrue="1" operator="lessThan">
      <formula>$H$639*(-1)</formula>
    </cfRule>
  </conditionalFormatting>
  <conditionalFormatting sqref="I640">
    <cfRule type="cellIs" dxfId="1635" priority="1251" stopIfTrue="1" operator="greaterThan">
      <formula>$H$640</formula>
    </cfRule>
  </conditionalFormatting>
  <conditionalFormatting sqref="I640">
    <cfRule type="cellIs" dxfId="1634" priority="1252" stopIfTrue="1" operator="lessThan">
      <formula>$H$640*(-1)</formula>
    </cfRule>
  </conditionalFormatting>
  <conditionalFormatting sqref="I641">
    <cfRule type="cellIs" dxfId="1633" priority="1253" stopIfTrue="1" operator="greaterThan">
      <formula>$H$641</formula>
    </cfRule>
  </conditionalFormatting>
  <conditionalFormatting sqref="I641">
    <cfRule type="cellIs" dxfId="1632" priority="1254" stopIfTrue="1" operator="lessThan">
      <formula>$H$641*(-1)</formula>
    </cfRule>
  </conditionalFormatting>
  <conditionalFormatting sqref="I642">
    <cfRule type="cellIs" dxfId="1631" priority="1255" stopIfTrue="1" operator="greaterThan">
      <formula>$H$642</formula>
    </cfRule>
  </conditionalFormatting>
  <conditionalFormatting sqref="I642">
    <cfRule type="cellIs" dxfId="1630" priority="1256" stopIfTrue="1" operator="lessThan">
      <formula>$H$642*(-1)</formula>
    </cfRule>
  </conditionalFormatting>
  <conditionalFormatting sqref="I643">
    <cfRule type="cellIs" dxfId="1629" priority="1257" stopIfTrue="1" operator="greaterThan">
      <formula>$H$643</formula>
    </cfRule>
  </conditionalFormatting>
  <conditionalFormatting sqref="I643">
    <cfRule type="cellIs" dxfId="1628" priority="1258" stopIfTrue="1" operator="lessThan">
      <formula>$H$643*(-1)</formula>
    </cfRule>
  </conditionalFormatting>
  <conditionalFormatting sqref="I644">
    <cfRule type="cellIs" dxfId="1627" priority="1259" stopIfTrue="1" operator="greaterThan">
      <formula>$H$644</formula>
    </cfRule>
  </conditionalFormatting>
  <conditionalFormatting sqref="I644">
    <cfRule type="cellIs" dxfId="1626" priority="1260" stopIfTrue="1" operator="lessThan">
      <formula>$H$644*(-1)</formula>
    </cfRule>
  </conditionalFormatting>
  <conditionalFormatting sqref="I645">
    <cfRule type="cellIs" dxfId="1625" priority="1261" stopIfTrue="1" operator="greaterThan">
      <formula>$H$645</formula>
    </cfRule>
  </conditionalFormatting>
  <conditionalFormatting sqref="I645">
    <cfRule type="cellIs" dxfId="1624" priority="1262" stopIfTrue="1" operator="lessThan">
      <formula>$H$645*(-1)</formula>
    </cfRule>
  </conditionalFormatting>
  <conditionalFormatting sqref="I646">
    <cfRule type="cellIs" dxfId="1623" priority="1263" stopIfTrue="1" operator="greaterThan">
      <formula>$H$646</formula>
    </cfRule>
  </conditionalFormatting>
  <conditionalFormatting sqref="I646">
    <cfRule type="cellIs" dxfId="1622" priority="1264" stopIfTrue="1" operator="lessThan">
      <formula>$H$646*(-1)</formula>
    </cfRule>
  </conditionalFormatting>
  <conditionalFormatting sqref="I647">
    <cfRule type="cellIs" dxfId="1621" priority="1265" stopIfTrue="1" operator="greaterThan">
      <formula>$H$647</formula>
    </cfRule>
  </conditionalFormatting>
  <conditionalFormatting sqref="I647">
    <cfRule type="cellIs" dxfId="1620" priority="1266" stopIfTrue="1" operator="lessThan">
      <formula>$H$647*(-1)</formula>
    </cfRule>
  </conditionalFormatting>
  <conditionalFormatting sqref="I648">
    <cfRule type="cellIs" dxfId="1619" priority="1267" stopIfTrue="1" operator="greaterThan">
      <formula>$H$648</formula>
    </cfRule>
  </conditionalFormatting>
  <conditionalFormatting sqref="I648">
    <cfRule type="cellIs" dxfId="1618" priority="1268" stopIfTrue="1" operator="lessThan">
      <formula>$H$648*(-1)</formula>
    </cfRule>
  </conditionalFormatting>
  <conditionalFormatting sqref="I649">
    <cfRule type="cellIs" dxfId="1617" priority="1269" stopIfTrue="1" operator="greaterThan">
      <formula>$H$649</formula>
    </cfRule>
  </conditionalFormatting>
  <conditionalFormatting sqref="I649">
    <cfRule type="cellIs" dxfId="1616" priority="1270" stopIfTrue="1" operator="lessThan">
      <formula>$H$649*(-1)</formula>
    </cfRule>
  </conditionalFormatting>
  <conditionalFormatting sqref="I650">
    <cfRule type="cellIs" dxfId="1615" priority="1271" stopIfTrue="1" operator="greaterThan">
      <formula>$H$650</formula>
    </cfRule>
  </conditionalFormatting>
  <conditionalFormatting sqref="I650">
    <cfRule type="cellIs" dxfId="1614" priority="1272" stopIfTrue="1" operator="lessThan">
      <formula>$H$650*(-1)</formula>
    </cfRule>
  </conditionalFormatting>
  <conditionalFormatting sqref="I651">
    <cfRule type="cellIs" dxfId="1613" priority="1273" stopIfTrue="1" operator="greaterThan">
      <formula>$H$651</formula>
    </cfRule>
  </conditionalFormatting>
  <conditionalFormatting sqref="I651">
    <cfRule type="cellIs" dxfId="1612" priority="1274" stopIfTrue="1" operator="lessThan">
      <formula>$H$651*(-1)</formula>
    </cfRule>
  </conditionalFormatting>
  <conditionalFormatting sqref="I652">
    <cfRule type="cellIs" dxfId="1611" priority="1275" stopIfTrue="1" operator="greaterThan">
      <formula>$H$652</formula>
    </cfRule>
  </conditionalFormatting>
  <conditionalFormatting sqref="I652">
    <cfRule type="cellIs" dxfId="1610" priority="1276" stopIfTrue="1" operator="lessThan">
      <formula>$H$652*(-1)</formula>
    </cfRule>
  </conditionalFormatting>
  <conditionalFormatting sqref="I653">
    <cfRule type="cellIs" dxfId="1609" priority="1277" stopIfTrue="1" operator="greaterThan">
      <formula>$H$653</formula>
    </cfRule>
  </conditionalFormatting>
  <conditionalFormatting sqref="I653">
    <cfRule type="cellIs" dxfId="1608" priority="1278" stopIfTrue="1" operator="lessThan">
      <formula>$H$653*(-1)</formula>
    </cfRule>
  </conditionalFormatting>
  <conditionalFormatting sqref="I654">
    <cfRule type="cellIs" dxfId="1607" priority="1279" stopIfTrue="1" operator="greaterThan">
      <formula>$H$654</formula>
    </cfRule>
  </conditionalFormatting>
  <conditionalFormatting sqref="I654">
    <cfRule type="cellIs" dxfId="1606" priority="1280" stopIfTrue="1" operator="lessThan">
      <formula>$H$654*(-1)</formula>
    </cfRule>
  </conditionalFormatting>
  <conditionalFormatting sqref="I655">
    <cfRule type="cellIs" dxfId="1605" priority="1281" stopIfTrue="1" operator="greaterThan">
      <formula>$H$655</formula>
    </cfRule>
  </conditionalFormatting>
  <conditionalFormatting sqref="I655">
    <cfRule type="cellIs" dxfId="1604" priority="1282" stopIfTrue="1" operator="lessThan">
      <formula>$H$655*(-1)</formula>
    </cfRule>
  </conditionalFormatting>
  <conditionalFormatting sqref="I656">
    <cfRule type="cellIs" dxfId="1603" priority="1283" stopIfTrue="1" operator="greaterThan">
      <formula>$H$656</formula>
    </cfRule>
  </conditionalFormatting>
  <conditionalFormatting sqref="I656">
    <cfRule type="cellIs" dxfId="1602" priority="1284" stopIfTrue="1" operator="lessThan">
      <formula>$H$656*(-1)</formula>
    </cfRule>
  </conditionalFormatting>
  <conditionalFormatting sqref="I657">
    <cfRule type="cellIs" dxfId="1601" priority="1285" stopIfTrue="1" operator="greaterThan">
      <formula>$H$657</formula>
    </cfRule>
  </conditionalFormatting>
  <conditionalFormatting sqref="I657">
    <cfRule type="cellIs" dxfId="1600" priority="1286" stopIfTrue="1" operator="lessThan">
      <formula>$H$657*(-1)</formula>
    </cfRule>
  </conditionalFormatting>
  <conditionalFormatting sqref="I658">
    <cfRule type="cellIs" dxfId="1599" priority="1287" stopIfTrue="1" operator="greaterThan">
      <formula>$H$658</formula>
    </cfRule>
  </conditionalFormatting>
  <conditionalFormatting sqref="I658">
    <cfRule type="cellIs" dxfId="1598" priority="1288" stopIfTrue="1" operator="lessThan">
      <formula>$H$658*(-1)</formula>
    </cfRule>
  </conditionalFormatting>
  <conditionalFormatting sqref="I659">
    <cfRule type="cellIs" dxfId="1597" priority="1289" stopIfTrue="1" operator="greaterThan">
      <formula>$H$659</formula>
    </cfRule>
  </conditionalFormatting>
  <conditionalFormatting sqref="I659">
    <cfRule type="cellIs" dxfId="1596" priority="1290" stopIfTrue="1" operator="lessThan">
      <formula>$H$659*(-1)</formula>
    </cfRule>
  </conditionalFormatting>
  <conditionalFormatting sqref="I660">
    <cfRule type="cellIs" dxfId="1595" priority="1291" stopIfTrue="1" operator="greaterThan">
      <formula>$H$660</formula>
    </cfRule>
  </conditionalFormatting>
  <conditionalFormatting sqref="I660">
    <cfRule type="cellIs" dxfId="1594" priority="1292" stopIfTrue="1" operator="lessThan">
      <formula>$H$660*(-1)</formula>
    </cfRule>
  </conditionalFormatting>
  <conditionalFormatting sqref="I661">
    <cfRule type="cellIs" dxfId="1593" priority="1293" stopIfTrue="1" operator="greaterThan">
      <formula>$H$661</formula>
    </cfRule>
  </conditionalFormatting>
  <conditionalFormatting sqref="I661">
    <cfRule type="cellIs" dxfId="1592" priority="1294" stopIfTrue="1" operator="lessThan">
      <formula>$H$661*(-1)</formula>
    </cfRule>
  </conditionalFormatting>
  <conditionalFormatting sqref="I662">
    <cfRule type="cellIs" dxfId="1591" priority="1295" stopIfTrue="1" operator="greaterThan">
      <formula>$H$662</formula>
    </cfRule>
  </conditionalFormatting>
  <conditionalFormatting sqref="I662">
    <cfRule type="cellIs" dxfId="1590" priority="1296" stopIfTrue="1" operator="lessThan">
      <formula>$H$662*(-1)</formula>
    </cfRule>
  </conditionalFormatting>
  <conditionalFormatting sqref="I663">
    <cfRule type="cellIs" dxfId="1589" priority="1297" stopIfTrue="1" operator="greaterThan">
      <formula>$H$663</formula>
    </cfRule>
  </conditionalFormatting>
  <conditionalFormatting sqref="I663">
    <cfRule type="cellIs" dxfId="1588" priority="1298" stopIfTrue="1" operator="lessThan">
      <formula>$H$663*(-1)</formula>
    </cfRule>
  </conditionalFormatting>
  <conditionalFormatting sqref="I664">
    <cfRule type="cellIs" dxfId="1587" priority="1299" stopIfTrue="1" operator="greaterThan">
      <formula>$H$664</formula>
    </cfRule>
  </conditionalFormatting>
  <conditionalFormatting sqref="I664">
    <cfRule type="cellIs" dxfId="1586" priority="1300" stopIfTrue="1" operator="lessThan">
      <formula>$H$664*(-1)</formula>
    </cfRule>
  </conditionalFormatting>
  <conditionalFormatting sqref="I665">
    <cfRule type="cellIs" dxfId="1585" priority="1301" stopIfTrue="1" operator="greaterThan">
      <formula>$H$665</formula>
    </cfRule>
  </conditionalFormatting>
  <conditionalFormatting sqref="I665">
    <cfRule type="cellIs" dxfId="1584" priority="1302" stopIfTrue="1" operator="lessThan">
      <formula>$H$665*(-1)</formula>
    </cfRule>
  </conditionalFormatting>
  <conditionalFormatting sqref="I666">
    <cfRule type="cellIs" dxfId="1583" priority="1303" stopIfTrue="1" operator="greaterThan">
      <formula>$H$666</formula>
    </cfRule>
  </conditionalFormatting>
  <conditionalFormatting sqref="I666">
    <cfRule type="cellIs" dxfId="1582" priority="1304" stopIfTrue="1" operator="lessThan">
      <formula>$H$666*(-1)</formula>
    </cfRule>
  </conditionalFormatting>
  <conditionalFormatting sqref="I667">
    <cfRule type="cellIs" dxfId="1581" priority="1305" stopIfTrue="1" operator="greaterThan">
      <formula>$H$667</formula>
    </cfRule>
  </conditionalFormatting>
  <conditionalFormatting sqref="I667">
    <cfRule type="cellIs" dxfId="1580" priority="1306" stopIfTrue="1" operator="lessThan">
      <formula>$H$667*(-1)</formula>
    </cfRule>
  </conditionalFormatting>
  <conditionalFormatting sqref="I668">
    <cfRule type="cellIs" dxfId="1579" priority="1307" stopIfTrue="1" operator="greaterThan">
      <formula>$H$668</formula>
    </cfRule>
  </conditionalFormatting>
  <conditionalFormatting sqref="I668">
    <cfRule type="cellIs" dxfId="1578" priority="1308" stopIfTrue="1" operator="lessThan">
      <formula>$H$668*(-1)</formula>
    </cfRule>
  </conditionalFormatting>
  <conditionalFormatting sqref="I669">
    <cfRule type="cellIs" dxfId="1577" priority="1309" stopIfTrue="1" operator="greaterThan">
      <formula>$H$669</formula>
    </cfRule>
  </conditionalFormatting>
  <conditionalFormatting sqref="I669">
    <cfRule type="cellIs" dxfId="1576" priority="1310" stopIfTrue="1" operator="lessThan">
      <formula>$H$669*(-1)</formula>
    </cfRule>
  </conditionalFormatting>
  <conditionalFormatting sqref="I670">
    <cfRule type="cellIs" dxfId="1575" priority="1311" stopIfTrue="1" operator="greaterThan">
      <formula>$H$670</formula>
    </cfRule>
  </conditionalFormatting>
  <conditionalFormatting sqref="I670">
    <cfRule type="cellIs" dxfId="1574" priority="1312" stopIfTrue="1" operator="lessThan">
      <formula>$H$670*(-1)</formula>
    </cfRule>
  </conditionalFormatting>
  <conditionalFormatting sqref="I671">
    <cfRule type="cellIs" dxfId="1573" priority="1313" stopIfTrue="1" operator="greaterThan">
      <formula>$H$671</formula>
    </cfRule>
  </conditionalFormatting>
  <conditionalFormatting sqref="I671">
    <cfRule type="cellIs" dxfId="1572" priority="1314" stopIfTrue="1" operator="lessThan">
      <formula>$H$671*(-1)</formula>
    </cfRule>
  </conditionalFormatting>
  <conditionalFormatting sqref="I672">
    <cfRule type="cellIs" dxfId="1571" priority="1315" stopIfTrue="1" operator="greaterThan">
      <formula>$H$672</formula>
    </cfRule>
  </conditionalFormatting>
  <conditionalFormatting sqref="I672">
    <cfRule type="cellIs" dxfId="1570" priority="1316" stopIfTrue="1" operator="lessThan">
      <formula>$H$672*(-1)</formula>
    </cfRule>
  </conditionalFormatting>
  <conditionalFormatting sqref="I673">
    <cfRule type="cellIs" dxfId="1569" priority="1317" stopIfTrue="1" operator="greaterThan">
      <formula>$H$673</formula>
    </cfRule>
  </conditionalFormatting>
  <conditionalFormatting sqref="I673">
    <cfRule type="cellIs" dxfId="1568" priority="1318" stopIfTrue="1" operator="lessThan">
      <formula>$H$673*(-1)</formula>
    </cfRule>
  </conditionalFormatting>
  <conditionalFormatting sqref="I674">
    <cfRule type="cellIs" dxfId="1567" priority="1319" stopIfTrue="1" operator="greaterThan">
      <formula>$H$674</formula>
    </cfRule>
  </conditionalFormatting>
  <conditionalFormatting sqref="I674">
    <cfRule type="cellIs" dxfId="1566" priority="1320" stopIfTrue="1" operator="lessThan">
      <formula>$H$674*(-1)</formula>
    </cfRule>
  </conditionalFormatting>
  <conditionalFormatting sqref="I675">
    <cfRule type="cellIs" dxfId="1565" priority="1321" stopIfTrue="1" operator="greaterThan">
      <formula>$H$675</formula>
    </cfRule>
  </conditionalFormatting>
  <conditionalFormatting sqref="I675">
    <cfRule type="cellIs" dxfId="1564" priority="1322" stopIfTrue="1" operator="lessThan">
      <formula>$H$675*(-1)</formula>
    </cfRule>
  </conditionalFormatting>
  <conditionalFormatting sqref="I676">
    <cfRule type="cellIs" dxfId="1563" priority="1323" stopIfTrue="1" operator="greaterThan">
      <formula>$H$676</formula>
    </cfRule>
  </conditionalFormatting>
  <conditionalFormatting sqref="I676">
    <cfRule type="cellIs" dxfId="1562" priority="1324" stopIfTrue="1" operator="lessThan">
      <formula>$H$676*(-1)</formula>
    </cfRule>
  </conditionalFormatting>
  <conditionalFormatting sqref="I677">
    <cfRule type="cellIs" dxfId="1561" priority="1325" stopIfTrue="1" operator="greaterThan">
      <formula>$H$677</formula>
    </cfRule>
  </conditionalFormatting>
  <conditionalFormatting sqref="I677">
    <cfRule type="cellIs" dxfId="1560" priority="1326" stopIfTrue="1" operator="lessThan">
      <formula>$H$677*(-1)</formula>
    </cfRule>
  </conditionalFormatting>
  <conditionalFormatting sqref="I678">
    <cfRule type="cellIs" dxfId="1559" priority="1327" stopIfTrue="1" operator="greaterThan">
      <formula>$H$678</formula>
    </cfRule>
  </conditionalFormatting>
  <conditionalFormatting sqref="I678">
    <cfRule type="cellIs" dxfId="1558" priority="1328" stopIfTrue="1" operator="lessThan">
      <formula>$H$678*(-1)</formula>
    </cfRule>
  </conditionalFormatting>
  <conditionalFormatting sqref="I679">
    <cfRule type="cellIs" dxfId="1557" priority="1329" stopIfTrue="1" operator="greaterThan">
      <formula>$H$679</formula>
    </cfRule>
  </conditionalFormatting>
  <conditionalFormatting sqref="I679">
    <cfRule type="cellIs" dxfId="1556" priority="1330" stopIfTrue="1" operator="lessThan">
      <formula>$H$679*(-1)</formula>
    </cfRule>
  </conditionalFormatting>
  <conditionalFormatting sqref="I680">
    <cfRule type="cellIs" dxfId="1555" priority="1331" stopIfTrue="1" operator="greaterThan">
      <formula>$H$680</formula>
    </cfRule>
  </conditionalFormatting>
  <conditionalFormatting sqref="I680">
    <cfRule type="cellIs" dxfId="1554" priority="1332" stopIfTrue="1" operator="lessThan">
      <formula>$H$680*(-1)</formula>
    </cfRule>
  </conditionalFormatting>
  <conditionalFormatting sqref="I681">
    <cfRule type="cellIs" dxfId="1553" priority="1333" stopIfTrue="1" operator="greaterThan">
      <formula>$H$681</formula>
    </cfRule>
  </conditionalFormatting>
  <conditionalFormatting sqref="I681">
    <cfRule type="cellIs" dxfId="1552" priority="1334" stopIfTrue="1" operator="lessThan">
      <formula>$H$681*(-1)</formula>
    </cfRule>
  </conditionalFormatting>
  <conditionalFormatting sqref="I682">
    <cfRule type="cellIs" dxfId="1551" priority="1335" stopIfTrue="1" operator="greaterThan">
      <formula>$H$682</formula>
    </cfRule>
  </conditionalFormatting>
  <conditionalFormatting sqref="I682">
    <cfRule type="cellIs" dxfId="1550" priority="1336" stopIfTrue="1" operator="lessThan">
      <formula>$H$682*(-1)</formula>
    </cfRule>
  </conditionalFormatting>
  <conditionalFormatting sqref="I683">
    <cfRule type="cellIs" dxfId="1549" priority="1337" stopIfTrue="1" operator="greaterThan">
      <formula>$H$683</formula>
    </cfRule>
  </conditionalFormatting>
  <conditionalFormatting sqref="I683">
    <cfRule type="cellIs" dxfId="1548" priority="1338" stopIfTrue="1" operator="lessThan">
      <formula>$H$683*(-1)</formula>
    </cfRule>
  </conditionalFormatting>
  <conditionalFormatting sqref="I684">
    <cfRule type="cellIs" dxfId="1547" priority="1339" stopIfTrue="1" operator="greaterThan">
      <formula>$H$684</formula>
    </cfRule>
  </conditionalFormatting>
  <conditionalFormatting sqref="I684">
    <cfRule type="cellIs" dxfId="1546" priority="1340" stopIfTrue="1" operator="lessThan">
      <formula>$H$684*(-1)</formula>
    </cfRule>
  </conditionalFormatting>
  <conditionalFormatting sqref="I685">
    <cfRule type="cellIs" dxfId="1545" priority="1341" stopIfTrue="1" operator="greaterThan">
      <formula>$H$685</formula>
    </cfRule>
  </conditionalFormatting>
  <conditionalFormatting sqref="I685">
    <cfRule type="cellIs" dxfId="1544" priority="1342" stopIfTrue="1" operator="lessThan">
      <formula>$H$685*(-1)</formula>
    </cfRule>
  </conditionalFormatting>
  <conditionalFormatting sqref="I686">
    <cfRule type="cellIs" dxfId="1543" priority="1343" stopIfTrue="1" operator="greaterThan">
      <formula>$H$686</formula>
    </cfRule>
  </conditionalFormatting>
  <conditionalFormatting sqref="I686">
    <cfRule type="cellIs" dxfId="1542" priority="1344" stopIfTrue="1" operator="lessThan">
      <formula>$H$686*(-1)</formula>
    </cfRule>
  </conditionalFormatting>
  <conditionalFormatting sqref="I687">
    <cfRule type="cellIs" dxfId="1541" priority="1345" stopIfTrue="1" operator="greaterThan">
      <formula>$H$687</formula>
    </cfRule>
  </conditionalFormatting>
  <conditionalFormatting sqref="I687">
    <cfRule type="cellIs" dxfId="1540" priority="1346" stopIfTrue="1" operator="lessThan">
      <formula>$H$687*(-1)</formula>
    </cfRule>
  </conditionalFormatting>
  <conditionalFormatting sqref="I688">
    <cfRule type="cellIs" dxfId="1539" priority="1347" stopIfTrue="1" operator="greaterThan">
      <formula>$H$688</formula>
    </cfRule>
  </conditionalFormatting>
  <conditionalFormatting sqref="I688">
    <cfRule type="cellIs" dxfId="1538" priority="1348" stopIfTrue="1" operator="lessThan">
      <formula>$H$688*(-1)</formula>
    </cfRule>
  </conditionalFormatting>
  <conditionalFormatting sqref="I689">
    <cfRule type="cellIs" dxfId="1537" priority="1349" stopIfTrue="1" operator="greaterThan">
      <formula>$H$689</formula>
    </cfRule>
  </conditionalFormatting>
  <conditionalFormatting sqref="I689">
    <cfRule type="cellIs" dxfId="1536" priority="1350" stopIfTrue="1" operator="lessThan">
      <formula>$H$689*(-1)</formula>
    </cfRule>
  </conditionalFormatting>
  <conditionalFormatting sqref="I690">
    <cfRule type="cellIs" dxfId="1535" priority="1351" stopIfTrue="1" operator="greaterThan">
      <formula>$H$690</formula>
    </cfRule>
  </conditionalFormatting>
  <conditionalFormatting sqref="I690">
    <cfRule type="cellIs" dxfId="1534" priority="1352" stopIfTrue="1" operator="lessThan">
      <formula>$H$690*(-1)</formula>
    </cfRule>
  </conditionalFormatting>
  <conditionalFormatting sqref="I691">
    <cfRule type="cellIs" dxfId="1533" priority="1353" stopIfTrue="1" operator="greaterThan">
      <formula>$H$691</formula>
    </cfRule>
  </conditionalFormatting>
  <conditionalFormatting sqref="I691">
    <cfRule type="cellIs" dxfId="1532" priority="1354" stopIfTrue="1" operator="lessThan">
      <formula>$H$691*(-1)</formula>
    </cfRule>
  </conditionalFormatting>
  <conditionalFormatting sqref="I692">
    <cfRule type="cellIs" dxfId="1531" priority="1355" stopIfTrue="1" operator="greaterThan">
      <formula>$H$692</formula>
    </cfRule>
  </conditionalFormatting>
  <conditionalFormatting sqref="I692">
    <cfRule type="cellIs" dxfId="1530" priority="1356" stopIfTrue="1" operator="lessThan">
      <formula>$H$692*(-1)</formula>
    </cfRule>
  </conditionalFormatting>
  <conditionalFormatting sqref="I693">
    <cfRule type="cellIs" dxfId="1529" priority="1357" stopIfTrue="1" operator="greaterThan">
      <formula>$H$693</formula>
    </cfRule>
  </conditionalFormatting>
  <conditionalFormatting sqref="I693">
    <cfRule type="cellIs" dxfId="1528" priority="1358" stopIfTrue="1" operator="lessThan">
      <formula>$H$693*(-1)</formula>
    </cfRule>
  </conditionalFormatting>
  <conditionalFormatting sqref="I694">
    <cfRule type="cellIs" dxfId="1527" priority="1359" stopIfTrue="1" operator="greaterThan">
      <formula>$H$694</formula>
    </cfRule>
  </conditionalFormatting>
  <conditionalFormatting sqref="I694">
    <cfRule type="cellIs" dxfId="1526" priority="1360" stopIfTrue="1" operator="lessThan">
      <formula>$H$694*(-1)</formula>
    </cfRule>
  </conditionalFormatting>
  <conditionalFormatting sqref="I695">
    <cfRule type="cellIs" dxfId="1525" priority="1361" stopIfTrue="1" operator="greaterThan">
      <formula>$H$695</formula>
    </cfRule>
  </conditionalFormatting>
  <conditionalFormatting sqref="I695">
    <cfRule type="cellIs" dxfId="1524" priority="1362" stopIfTrue="1" operator="lessThan">
      <formula>$H$695*(-1)</formula>
    </cfRule>
  </conditionalFormatting>
  <conditionalFormatting sqref="I696">
    <cfRule type="cellIs" dxfId="1523" priority="1363" stopIfTrue="1" operator="greaterThan">
      <formula>$H$696</formula>
    </cfRule>
  </conditionalFormatting>
  <conditionalFormatting sqref="I696">
    <cfRule type="cellIs" dxfId="1522" priority="1364" stopIfTrue="1" operator="lessThan">
      <formula>$H$696*(-1)</formula>
    </cfRule>
  </conditionalFormatting>
  <conditionalFormatting sqref="I697">
    <cfRule type="cellIs" dxfId="1521" priority="1365" stopIfTrue="1" operator="greaterThan">
      <formula>$H$697</formula>
    </cfRule>
  </conditionalFormatting>
  <conditionalFormatting sqref="I697">
    <cfRule type="cellIs" dxfId="1520" priority="1366" stopIfTrue="1" operator="lessThan">
      <formula>$H$697*(-1)</formula>
    </cfRule>
  </conditionalFormatting>
  <conditionalFormatting sqref="I698">
    <cfRule type="cellIs" dxfId="1519" priority="1367" stopIfTrue="1" operator="greaterThan">
      <formula>$H$698</formula>
    </cfRule>
  </conditionalFormatting>
  <conditionalFormatting sqref="I698">
    <cfRule type="cellIs" dxfId="1518" priority="1368" stopIfTrue="1" operator="lessThan">
      <formula>$H$698*(-1)</formula>
    </cfRule>
  </conditionalFormatting>
  <conditionalFormatting sqref="I699">
    <cfRule type="cellIs" dxfId="1517" priority="1369" stopIfTrue="1" operator="greaterThan">
      <formula>$H$699</formula>
    </cfRule>
  </conditionalFormatting>
  <conditionalFormatting sqref="I699">
    <cfRule type="cellIs" dxfId="1516" priority="1370" stopIfTrue="1" operator="lessThan">
      <formula>$H$699*(-1)</formula>
    </cfRule>
  </conditionalFormatting>
  <conditionalFormatting sqref="I700">
    <cfRule type="cellIs" dxfId="1515" priority="1371" stopIfTrue="1" operator="greaterThan">
      <formula>$H$700</formula>
    </cfRule>
  </conditionalFormatting>
  <conditionalFormatting sqref="I700">
    <cfRule type="cellIs" dxfId="1514" priority="1372" stopIfTrue="1" operator="lessThan">
      <formula>$H$700*(-1)</formula>
    </cfRule>
  </conditionalFormatting>
  <conditionalFormatting sqref="I701">
    <cfRule type="cellIs" dxfId="1513" priority="1373" stopIfTrue="1" operator="greaterThan">
      <formula>$H$701</formula>
    </cfRule>
  </conditionalFormatting>
  <conditionalFormatting sqref="I701">
    <cfRule type="cellIs" dxfId="1512" priority="1374" stopIfTrue="1" operator="lessThan">
      <formula>$H$701*(-1)</formula>
    </cfRule>
  </conditionalFormatting>
  <conditionalFormatting sqref="I702">
    <cfRule type="cellIs" dxfId="1511" priority="1375" stopIfTrue="1" operator="greaterThan">
      <formula>$H$702</formula>
    </cfRule>
  </conditionalFormatting>
  <conditionalFormatting sqref="I702">
    <cfRule type="cellIs" dxfId="1510" priority="1376" stopIfTrue="1" operator="lessThan">
      <formula>$H$702*(-1)</formula>
    </cfRule>
  </conditionalFormatting>
  <conditionalFormatting sqref="I703">
    <cfRule type="cellIs" dxfId="1509" priority="1377" stopIfTrue="1" operator="greaterThan">
      <formula>$H$703</formula>
    </cfRule>
  </conditionalFormatting>
  <conditionalFormatting sqref="I703">
    <cfRule type="cellIs" dxfId="1508" priority="1378" stopIfTrue="1" operator="lessThan">
      <formula>$H$703*(-1)</formula>
    </cfRule>
  </conditionalFormatting>
  <conditionalFormatting sqref="I704">
    <cfRule type="cellIs" dxfId="1507" priority="1379" stopIfTrue="1" operator="greaterThan">
      <formula>$H$704</formula>
    </cfRule>
  </conditionalFormatting>
  <conditionalFormatting sqref="I704">
    <cfRule type="cellIs" dxfId="1506" priority="1380" stopIfTrue="1" operator="lessThan">
      <formula>$H$704*(-1)</formula>
    </cfRule>
  </conditionalFormatting>
  <conditionalFormatting sqref="I705">
    <cfRule type="cellIs" dxfId="1505" priority="1381" stopIfTrue="1" operator="greaterThan">
      <formula>$H$705</formula>
    </cfRule>
  </conditionalFormatting>
  <conditionalFormatting sqref="I705">
    <cfRule type="cellIs" dxfId="1504" priority="1382" stopIfTrue="1" operator="lessThan">
      <formula>$H$705*(-1)</formula>
    </cfRule>
  </conditionalFormatting>
  <conditionalFormatting sqref="I706">
    <cfRule type="cellIs" dxfId="1503" priority="1383" stopIfTrue="1" operator="greaterThan">
      <formula>$H$706</formula>
    </cfRule>
  </conditionalFormatting>
  <conditionalFormatting sqref="I706">
    <cfRule type="cellIs" dxfId="1502" priority="1384" stopIfTrue="1" operator="lessThan">
      <formula>$H$706*(-1)</formula>
    </cfRule>
  </conditionalFormatting>
  <conditionalFormatting sqref="I707">
    <cfRule type="cellIs" dxfId="1501" priority="1385" stopIfTrue="1" operator="greaterThan">
      <formula>$H$707</formula>
    </cfRule>
  </conditionalFormatting>
  <conditionalFormatting sqref="I707">
    <cfRule type="cellIs" dxfId="1500" priority="1386" stopIfTrue="1" operator="lessThan">
      <formula>$H$707*(-1)</formula>
    </cfRule>
  </conditionalFormatting>
  <conditionalFormatting sqref="I708">
    <cfRule type="cellIs" dxfId="1499" priority="1387" stopIfTrue="1" operator="greaterThan">
      <formula>$H$708</formula>
    </cfRule>
  </conditionalFormatting>
  <conditionalFormatting sqref="I708">
    <cfRule type="cellIs" dxfId="1498" priority="1388" stopIfTrue="1" operator="lessThan">
      <formula>$H$708*(-1)</formula>
    </cfRule>
  </conditionalFormatting>
  <conditionalFormatting sqref="I709">
    <cfRule type="cellIs" dxfId="1497" priority="1389" stopIfTrue="1" operator="greaterThan">
      <formula>$H$709</formula>
    </cfRule>
  </conditionalFormatting>
  <conditionalFormatting sqref="I709">
    <cfRule type="cellIs" dxfId="1496" priority="1390" stopIfTrue="1" operator="lessThan">
      <formula>$H$709*(-1)</formula>
    </cfRule>
  </conditionalFormatting>
  <conditionalFormatting sqref="I710">
    <cfRule type="cellIs" dxfId="1495" priority="1391" stopIfTrue="1" operator="greaterThan">
      <formula>$H$710</formula>
    </cfRule>
  </conditionalFormatting>
  <conditionalFormatting sqref="I710">
    <cfRule type="cellIs" dxfId="1494" priority="1392" stopIfTrue="1" operator="lessThan">
      <formula>$H$710*(-1)</formula>
    </cfRule>
  </conditionalFormatting>
  <conditionalFormatting sqref="I711">
    <cfRule type="cellIs" dxfId="1493" priority="1393" stopIfTrue="1" operator="greaterThan">
      <formula>$H$711</formula>
    </cfRule>
  </conditionalFormatting>
  <conditionalFormatting sqref="I711">
    <cfRule type="cellIs" dxfId="1492" priority="1394" stopIfTrue="1" operator="lessThan">
      <formula>$H$711*(-1)</formula>
    </cfRule>
  </conditionalFormatting>
  <conditionalFormatting sqref="I712">
    <cfRule type="cellIs" dxfId="1491" priority="1395" stopIfTrue="1" operator="greaterThan">
      <formula>$H$712</formula>
    </cfRule>
  </conditionalFormatting>
  <conditionalFormatting sqref="I712">
    <cfRule type="cellIs" dxfId="1490" priority="1396" stopIfTrue="1" operator="lessThan">
      <formula>$H$712*(-1)</formula>
    </cfRule>
  </conditionalFormatting>
  <conditionalFormatting sqref="I713">
    <cfRule type="cellIs" dxfId="1489" priority="1397" stopIfTrue="1" operator="greaterThan">
      <formula>$H$713</formula>
    </cfRule>
  </conditionalFormatting>
  <conditionalFormatting sqref="I713">
    <cfRule type="cellIs" dxfId="1488" priority="1398" stopIfTrue="1" operator="lessThan">
      <formula>$H$713*(-1)</formula>
    </cfRule>
  </conditionalFormatting>
  <conditionalFormatting sqref="I714">
    <cfRule type="cellIs" dxfId="1487" priority="1399" stopIfTrue="1" operator="greaterThan">
      <formula>$H$714</formula>
    </cfRule>
  </conditionalFormatting>
  <conditionalFormatting sqref="I714">
    <cfRule type="cellIs" dxfId="1486" priority="1400" stopIfTrue="1" operator="lessThan">
      <formula>$H$714*(-1)</formula>
    </cfRule>
  </conditionalFormatting>
  <conditionalFormatting sqref="I715">
    <cfRule type="cellIs" dxfId="1485" priority="1401" stopIfTrue="1" operator="greaterThan">
      <formula>$H$715</formula>
    </cfRule>
  </conditionalFormatting>
  <conditionalFormatting sqref="I715">
    <cfRule type="cellIs" dxfId="1484" priority="1402" stopIfTrue="1" operator="lessThan">
      <formula>$H$715*(-1)</formula>
    </cfRule>
  </conditionalFormatting>
  <conditionalFormatting sqref="I716">
    <cfRule type="cellIs" dxfId="1483" priority="1403" stopIfTrue="1" operator="greaterThan">
      <formula>$H$716</formula>
    </cfRule>
  </conditionalFormatting>
  <conditionalFormatting sqref="I716">
    <cfRule type="cellIs" dxfId="1482" priority="1404" stopIfTrue="1" operator="lessThan">
      <formula>$H$716*(-1)</formula>
    </cfRule>
  </conditionalFormatting>
  <conditionalFormatting sqref="I717">
    <cfRule type="cellIs" dxfId="1481" priority="1405" stopIfTrue="1" operator="greaterThan">
      <formula>$H$717</formula>
    </cfRule>
  </conditionalFormatting>
  <conditionalFormatting sqref="I717">
    <cfRule type="cellIs" dxfId="1480" priority="1406" stopIfTrue="1" operator="lessThan">
      <formula>$H$717*(-1)</formula>
    </cfRule>
  </conditionalFormatting>
  <conditionalFormatting sqref="I718">
    <cfRule type="cellIs" dxfId="1479" priority="1407" stopIfTrue="1" operator="greaterThan">
      <formula>$H$718</formula>
    </cfRule>
  </conditionalFormatting>
  <conditionalFormatting sqref="I718">
    <cfRule type="cellIs" dxfId="1478" priority="1408" stopIfTrue="1" operator="lessThan">
      <formula>$H$718*(-1)</formula>
    </cfRule>
  </conditionalFormatting>
  <conditionalFormatting sqref="I719">
    <cfRule type="cellIs" dxfId="1477" priority="1409" stopIfTrue="1" operator="greaterThan">
      <formula>$H$719</formula>
    </cfRule>
  </conditionalFormatting>
  <conditionalFormatting sqref="I719">
    <cfRule type="cellIs" dxfId="1476" priority="1410" stopIfTrue="1" operator="lessThan">
      <formula>$H$719*(-1)</formula>
    </cfRule>
  </conditionalFormatting>
  <conditionalFormatting sqref="I720">
    <cfRule type="cellIs" dxfId="1475" priority="1411" stopIfTrue="1" operator="greaterThan">
      <formula>$H$720</formula>
    </cfRule>
  </conditionalFormatting>
  <conditionalFormatting sqref="I720">
    <cfRule type="cellIs" dxfId="1474" priority="1412" stopIfTrue="1" operator="lessThan">
      <formula>$H$720*(-1)</formula>
    </cfRule>
  </conditionalFormatting>
  <conditionalFormatting sqref="I721">
    <cfRule type="cellIs" dxfId="1473" priority="1413" stopIfTrue="1" operator="greaterThan">
      <formula>$H$721</formula>
    </cfRule>
  </conditionalFormatting>
  <conditionalFormatting sqref="I721">
    <cfRule type="cellIs" dxfId="1472" priority="1414" stopIfTrue="1" operator="lessThan">
      <formula>$H$721*(-1)</formula>
    </cfRule>
  </conditionalFormatting>
  <conditionalFormatting sqref="I722">
    <cfRule type="cellIs" dxfId="1471" priority="1415" stopIfTrue="1" operator="greaterThan">
      <formula>$H$722</formula>
    </cfRule>
  </conditionalFormatting>
  <conditionalFormatting sqref="I722">
    <cfRule type="cellIs" dxfId="1470" priority="1416" stopIfTrue="1" operator="lessThan">
      <formula>$H$722*(-1)</formula>
    </cfRule>
  </conditionalFormatting>
  <conditionalFormatting sqref="I723">
    <cfRule type="cellIs" dxfId="1469" priority="1417" stopIfTrue="1" operator="greaterThan">
      <formula>$H$723</formula>
    </cfRule>
  </conditionalFormatting>
  <conditionalFormatting sqref="I723">
    <cfRule type="cellIs" dxfId="1468" priority="1418" stopIfTrue="1" operator="lessThan">
      <formula>$H$723*(-1)</formula>
    </cfRule>
  </conditionalFormatting>
  <conditionalFormatting sqref="I724">
    <cfRule type="cellIs" dxfId="1467" priority="1419" stopIfTrue="1" operator="greaterThan">
      <formula>$H$724</formula>
    </cfRule>
  </conditionalFormatting>
  <conditionalFormatting sqref="I724">
    <cfRule type="cellIs" dxfId="1466" priority="1420" stopIfTrue="1" operator="lessThan">
      <formula>$H$724*(-1)</formula>
    </cfRule>
  </conditionalFormatting>
  <conditionalFormatting sqref="I725">
    <cfRule type="cellIs" dxfId="1465" priority="1421" stopIfTrue="1" operator="greaterThan">
      <formula>$H$725</formula>
    </cfRule>
  </conditionalFormatting>
  <conditionalFormatting sqref="I725">
    <cfRule type="cellIs" dxfId="1464" priority="1422" stopIfTrue="1" operator="lessThan">
      <formula>$H$725*(-1)</formula>
    </cfRule>
  </conditionalFormatting>
  <conditionalFormatting sqref="I726">
    <cfRule type="cellIs" dxfId="1463" priority="1423" stopIfTrue="1" operator="greaterThan">
      <formula>$H$726</formula>
    </cfRule>
  </conditionalFormatting>
  <conditionalFormatting sqref="I726">
    <cfRule type="cellIs" dxfId="1462" priority="1424" stopIfTrue="1" operator="lessThan">
      <formula>$H$726*(-1)</formula>
    </cfRule>
  </conditionalFormatting>
  <conditionalFormatting sqref="I727">
    <cfRule type="cellIs" dxfId="1461" priority="1425" stopIfTrue="1" operator="greaterThan">
      <formula>$H$727</formula>
    </cfRule>
  </conditionalFormatting>
  <conditionalFormatting sqref="I727">
    <cfRule type="cellIs" dxfId="1460" priority="1426" stopIfTrue="1" operator="lessThan">
      <formula>$H$727*(-1)</formula>
    </cfRule>
  </conditionalFormatting>
  <conditionalFormatting sqref="I728">
    <cfRule type="cellIs" dxfId="1459" priority="1427" stopIfTrue="1" operator="greaterThan">
      <formula>$H$728</formula>
    </cfRule>
  </conditionalFormatting>
  <conditionalFormatting sqref="I728">
    <cfRule type="cellIs" dxfId="1458" priority="1428" stopIfTrue="1" operator="lessThan">
      <formula>$H$728*(-1)</formula>
    </cfRule>
  </conditionalFormatting>
  <conditionalFormatting sqref="I729">
    <cfRule type="cellIs" dxfId="1457" priority="1429" stopIfTrue="1" operator="greaterThan">
      <formula>$H$729</formula>
    </cfRule>
  </conditionalFormatting>
  <conditionalFormatting sqref="I729">
    <cfRule type="cellIs" dxfId="1456" priority="1430" stopIfTrue="1" operator="lessThan">
      <formula>$H$729*(-1)</formula>
    </cfRule>
  </conditionalFormatting>
  <conditionalFormatting sqref="I730">
    <cfRule type="cellIs" dxfId="1455" priority="1431" stopIfTrue="1" operator="greaterThan">
      <formula>$H$730</formula>
    </cfRule>
  </conditionalFormatting>
  <conditionalFormatting sqref="I730">
    <cfRule type="cellIs" dxfId="1454" priority="1432" stopIfTrue="1" operator="lessThan">
      <formula>$H$730*(-1)</formula>
    </cfRule>
  </conditionalFormatting>
  <conditionalFormatting sqref="J15:J715">
    <cfRule type="cellIs" dxfId="1453" priority="1433" stopIfTrue="1" operator="notEqual">
      <formula>0</formula>
    </cfRule>
  </conditionalFormatting>
  <conditionalFormatting sqref="L5">
    <cfRule type="cellIs" dxfId="1452" priority="1434" stopIfTrue="1" operator="greaterThanOrEqual">
      <formula>$J$5</formula>
    </cfRule>
  </conditionalFormatting>
  <conditionalFormatting sqref="L6">
    <cfRule type="cellIs" dxfId="1451" priority="1435" stopIfTrue="1" operator="greaterThanOrEqual">
      <formula>$J$6</formula>
    </cfRule>
  </conditionalFormatting>
  <conditionalFormatting sqref="L7">
    <cfRule type="cellIs" dxfId="1450" priority="1436" stopIfTrue="1" operator="greaterThanOrEqual">
      <formula>$J$7</formula>
    </cfRule>
  </conditionalFormatting>
  <conditionalFormatting sqref="L8">
    <cfRule type="cellIs" dxfId="1449" priority="1437" stopIfTrue="1" operator="greaterThanOrEqual">
      <formula>$J$8</formula>
    </cfRule>
  </conditionalFormatting>
  <conditionalFormatting sqref="L9">
    <cfRule type="cellIs" dxfId="1448" priority="1438" stopIfTrue="1" operator="greaterThanOrEqual">
      <formula>$J$9</formula>
    </cfRule>
  </conditionalFormatting>
  <conditionalFormatting sqref="L10">
    <cfRule type="cellIs" dxfId="1447" priority="1439" stopIfTrue="1" operator="greaterThanOrEqual">
      <formula>$J$10</formula>
    </cfRule>
  </conditionalFormatting>
  <conditionalFormatting sqref="N5">
    <cfRule type="cellIs" dxfId="1446" priority="1440" stopIfTrue="1" operator="greaterThanOrEqual">
      <formula>1</formula>
    </cfRule>
  </conditionalFormatting>
  <conditionalFormatting sqref="N6">
    <cfRule type="cellIs" dxfId="1445" priority="1441" stopIfTrue="1" operator="greaterThanOrEqual">
      <formula>1</formula>
    </cfRule>
  </conditionalFormatting>
  <conditionalFormatting sqref="N7">
    <cfRule type="cellIs" dxfId="1444" priority="1442" stopIfTrue="1" operator="greaterThanOrEqual">
      <formula>1</formula>
    </cfRule>
  </conditionalFormatting>
  <conditionalFormatting sqref="N8">
    <cfRule type="cellIs" dxfId="1443" priority="1443" stopIfTrue="1" operator="greaterThanOrEqual">
      <formula>1</formula>
    </cfRule>
  </conditionalFormatting>
  <conditionalFormatting sqref="N9">
    <cfRule type="cellIs" dxfId="1442" priority="1444" stopIfTrue="1" operator="greaterThanOrEqual">
      <formula>1</formula>
    </cfRule>
  </conditionalFormatting>
  <conditionalFormatting sqref="N10">
    <cfRule type="cellIs" dxfId="1441" priority="1445" stopIfTrue="1" operator="greaterThanOrEqual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E00F4-6EB6-48A9-8D4E-B149C62909DC}">
  <dimension ref="A1:V714"/>
  <sheetViews>
    <sheetView tabSelected="1" workbookViewId="0">
      <pane ySplit="13" topLeftCell="A14" activePane="bottomLeft" state="frozen"/>
      <selection pane="bottomLeft" activeCell="J719" sqref="J719"/>
    </sheetView>
  </sheetViews>
  <sheetFormatPr defaultColWidth="8.7265625" defaultRowHeight="13" x14ac:dyDescent="0.3"/>
  <cols>
    <col min="1" max="1" width="8.7265625" style="2"/>
    <col min="2" max="2" width="11.81640625" style="2" customWidth="1"/>
    <col min="3" max="16384" width="8.7265625" style="2"/>
  </cols>
  <sheetData>
    <row r="1" spans="1:22" ht="13.5" x14ac:dyDescent="0.35">
      <c r="A1" s="1" t="s">
        <v>0</v>
      </c>
    </row>
    <row r="3" spans="1:22" ht="14" thickBot="1" x14ac:dyDescent="0.4">
      <c r="A3" s="1" t="s">
        <v>1</v>
      </c>
    </row>
    <row r="4" spans="1:22" ht="13.5" x14ac:dyDescent="0.35">
      <c r="A4" s="3" t="s">
        <v>2</v>
      </c>
      <c r="B4" s="4" t="s">
        <v>3</v>
      </c>
      <c r="C4" s="4" t="s">
        <v>4</v>
      </c>
      <c r="D4" s="4"/>
      <c r="E4" s="4"/>
      <c r="F4" s="4"/>
      <c r="G4" s="4"/>
      <c r="H4" s="4"/>
      <c r="I4" s="4" t="s">
        <v>5</v>
      </c>
      <c r="J4" s="4" t="s">
        <v>6</v>
      </c>
      <c r="K4" s="4" t="s">
        <v>7</v>
      </c>
      <c r="L4" s="4" t="s">
        <v>8</v>
      </c>
      <c r="M4" s="4" t="s">
        <v>9</v>
      </c>
      <c r="N4" s="5" t="s">
        <v>10</v>
      </c>
    </row>
    <row r="5" spans="1:22" s="30" customFormat="1" x14ac:dyDescent="0.3">
      <c r="A5" s="26">
        <v>1</v>
      </c>
      <c r="B5" s="27"/>
      <c r="C5" s="27" t="s">
        <v>11</v>
      </c>
      <c r="D5" s="27"/>
      <c r="E5" s="27"/>
      <c r="F5" s="27"/>
      <c r="G5" s="27"/>
      <c r="H5" s="27"/>
      <c r="I5" s="27" t="s">
        <v>12</v>
      </c>
      <c r="J5" s="27">
        <v>206</v>
      </c>
      <c r="K5" s="28">
        <v>148.69999999999999</v>
      </c>
      <c r="L5" s="28">
        <f>PRDcalc!K5+PRDcalc!M5</f>
        <v>148.69999999999999</v>
      </c>
      <c r="M5" s="28">
        <f>R12</f>
        <v>0</v>
      </c>
      <c r="N5" s="29">
        <f>PRDcalc!L5/PRDcalc!J5</f>
        <v>0.7218446601941747</v>
      </c>
    </row>
    <row r="6" spans="1:22" x14ac:dyDescent="0.3">
      <c r="A6" s="6">
        <v>2</v>
      </c>
      <c r="B6" s="7"/>
      <c r="C6" s="7" t="s">
        <v>11</v>
      </c>
      <c r="D6" s="7"/>
      <c r="E6" s="7"/>
      <c r="F6" s="7"/>
      <c r="G6" s="7"/>
      <c r="H6" s="7"/>
      <c r="I6" s="7" t="s">
        <v>13</v>
      </c>
      <c r="J6" s="7">
        <v>206</v>
      </c>
      <c r="K6" s="8">
        <v>33.5</v>
      </c>
      <c r="L6" s="8">
        <f>PRDcalc!K6+PRDcalc!M6</f>
        <v>33.5</v>
      </c>
      <c r="M6" s="8">
        <f>S12</f>
        <v>0</v>
      </c>
      <c r="N6" s="9">
        <f>PRDcalc!L6/PRDcalc!J6</f>
        <v>0.16262135922330098</v>
      </c>
    </row>
    <row r="7" spans="1:22" x14ac:dyDescent="0.3">
      <c r="A7" s="6">
        <v>3</v>
      </c>
      <c r="B7" s="7"/>
      <c r="C7" s="7" t="s">
        <v>11</v>
      </c>
      <c r="D7" s="7"/>
      <c r="E7" s="7"/>
      <c r="F7" s="7"/>
      <c r="G7" s="7"/>
      <c r="H7" s="7"/>
      <c r="I7" s="7" t="s">
        <v>14</v>
      </c>
      <c r="J7" s="7">
        <v>206</v>
      </c>
      <c r="K7" s="8">
        <v>33.5</v>
      </c>
      <c r="L7" s="8">
        <f>PRDcalc!K7+PRDcalc!M7</f>
        <v>33.5</v>
      </c>
      <c r="M7" s="8">
        <f>T12</f>
        <v>0</v>
      </c>
      <c r="N7" s="9">
        <f>PRDcalc!L7/PRDcalc!J7</f>
        <v>0.16262135922330098</v>
      </c>
    </row>
    <row r="8" spans="1:22" x14ac:dyDescent="0.3">
      <c r="A8" s="6">
        <v>4</v>
      </c>
      <c r="B8" s="7"/>
      <c r="C8" s="7" t="s">
        <v>11</v>
      </c>
      <c r="D8" s="7"/>
      <c r="E8" s="7"/>
      <c r="F8" s="7"/>
      <c r="G8" s="7"/>
      <c r="H8" s="7"/>
      <c r="I8" s="7" t="s">
        <v>15</v>
      </c>
      <c r="J8" s="7">
        <v>206</v>
      </c>
      <c r="K8" s="8">
        <v>32.700000000000003</v>
      </c>
      <c r="L8" s="8">
        <f>PRDcalc!K8+PRDcalc!M8</f>
        <v>32.700000000000003</v>
      </c>
      <c r="M8" s="8">
        <f>U12</f>
        <v>0</v>
      </c>
      <c r="N8" s="9">
        <f>PRDcalc!L8/PRDcalc!J8</f>
        <v>0.1587378640776699</v>
      </c>
    </row>
    <row r="9" spans="1:22" ht="13.5" thickBot="1" x14ac:dyDescent="0.35">
      <c r="A9" s="10">
        <v>5</v>
      </c>
      <c r="B9" s="11"/>
      <c r="C9" s="11" t="s">
        <v>11</v>
      </c>
      <c r="D9" s="11"/>
      <c r="E9" s="11"/>
      <c r="F9" s="11"/>
      <c r="G9" s="11"/>
      <c r="H9" s="11"/>
      <c r="I9" s="11" t="s">
        <v>16</v>
      </c>
      <c r="J9" s="11">
        <v>206</v>
      </c>
      <c r="K9" s="12">
        <v>32</v>
      </c>
      <c r="L9" s="12">
        <f>PRDcalc!K9+PRDcalc!M9</f>
        <v>32</v>
      </c>
      <c r="M9" s="12">
        <f>V12</f>
        <v>0</v>
      </c>
      <c r="N9" s="13">
        <f>PRDcalc!L9/PRDcalc!J9</f>
        <v>0.1553398058252427</v>
      </c>
    </row>
    <row r="12" spans="1:22" ht="14" thickBot="1" x14ac:dyDescent="0.4">
      <c r="A12" s="1" t="s">
        <v>17</v>
      </c>
      <c r="J12" s="2">
        <f>SUM(J14:J714)</f>
        <v>0</v>
      </c>
      <c r="R12" s="2">
        <f>SUM(R14:R714)</f>
        <v>0</v>
      </c>
      <c r="S12" s="2">
        <f>SUM(S14:S714)</f>
        <v>0</v>
      </c>
      <c r="T12" s="2">
        <f>SUM(T14:T714)</f>
        <v>0</v>
      </c>
      <c r="U12" s="2">
        <f>SUM(U14:U714)</f>
        <v>0</v>
      </c>
      <c r="V12" s="2">
        <f>SUM(V14:V714)</f>
        <v>0</v>
      </c>
    </row>
    <row r="13" spans="1:22" s="1" customFormat="1" ht="14" thickBot="1" x14ac:dyDescent="0.4">
      <c r="A13" s="14" t="s">
        <v>18</v>
      </c>
      <c r="B13" s="15" t="s">
        <v>19</v>
      </c>
      <c r="C13" s="15" t="s">
        <v>20</v>
      </c>
      <c r="D13" s="15" t="s">
        <v>21</v>
      </c>
      <c r="E13" s="15" t="s">
        <v>22</v>
      </c>
      <c r="F13" s="15" t="s">
        <v>23</v>
      </c>
      <c r="G13" s="15" t="s">
        <v>24</v>
      </c>
      <c r="H13" s="15" t="s">
        <v>25</v>
      </c>
      <c r="I13" s="16" t="s">
        <v>26</v>
      </c>
      <c r="J13" s="15" t="s">
        <v>27</v>
      </c>
      <c r="K13" s="15" t="s">
        <v>28</v>
      </c>
      <c r="L13" s="15" t="s">
        <v>29</v>
      </c>
      <c r="M13" s="15" t="s">
        <v>30</v>
      </c>
      <c r="N13" s="15" t="s">
        <v>31</v>
      </c>
      <c r="O13" s="15" t="s">
        <v>32</v>
      </c>
      <c r="P13" s="15" t="s">
        <v>33</v>
      </c>
      <c r="Q13" s="15" t="s">
        <v>34</v>
      </c>
      <c r="R13" s="15" t="s">
        <v>35</v>
      </c>
      <c r="S13" s="15" t="s">
        <v>36</v>
      </c>
      <c r="T13" s="15" t="s">
        <v>37</v>
      </c>
      <c r="U13" s="15" t="s">
        <v>38</v>
      </c>
      <c r="V13" s="17" t="s">
        <v>39</v>
      </c>
    </row>
    <row r="14" spans="1:22" ht="13.5" x14ac:dyDescent="0.35">
      <c r="A14" s="18">
        <v>115742</v>
      </c>
      <c r="B14" s="19" t="s">
        <v>40</v>
      </c>
      <c r="C14" s="19">
        <v>22</v>
      </c>
      <c r="D14" s="19">
        <v>101</v>
      </c>
      <c r="E14" s="19">
        <v>1160</v>
      </c>
      <c r="F14" s="19">
        <v>168</v>
      </c>
      <c r="G14" s="19">
        <v>0</v>
      </c>
      <c r="H14" s="19">
        <v>168</v>
      </c>
      <c r="I14" s="20">
        <v>168</v>
      </c>
      <c r="J14" s="19">
        <f t="shared" ref="J14:J77" si="0">I14-F14</f>
        <v>0</v>
      </c>
      <c r="K14" s="19">
        <f t="shared" ref="K14:K77" si="1">H14-I14</f>
        <v>0</v>
      </c>
      <c r="L14" s="19">
        <v>0.99934000000000001</v>
      </c>
      <c r="M14" s="19">
        <v>0.57667999999999997</v>
      </c>
      <c r="N14" s="19">
        <v>0.57667999999999997</v>
      </c>
      <c r="O14" s="19">
        <v>0.57665</v>
      </c>
      <c r="P14" s="19">
        <v>0.57662000000000002</v>
      </c>
      <c r="Q14" s="19"/>
      <c r="R14" s="19">
        <f t="shared" ref="R14:R77" si="2">L14*J14</f>
        <v>0</v>
      </c>
      <c r="S14" s="19">
        <f t="shared" ref="S14:S77" si="3">M14*J14</f>
        <v>0</v>
      </c>
      <c r="T14" s="19">
        <f t="shared" ref="T14:T77" si="4">N14*J14</f>
        <v>0</v>
      </c>
      <c r="U14" s="19">
        <f t="shared" ref="U14:U77" si="5">O14*J14</f>
        <v>0</v>
      </c>
      <c r="V14" s="21">
        <f t="shared" ref="V14:V77" si="6">P14*J14</f>
        <v>0</v>
      </c>
    </row>
    <row r="15" spans="1:22" ht="13.5" x14ac:dyDescent="0.35">
      <c r="A15" s="18">
        <v>995714</v>
      </c>
      <c r="B15" s="19" t="s">
        <v>41</v>
      </c>
      <c r="C15" s="19">
        <v>115</v>
      </c>
      <c r="D15" s="19">
        <v>101</v>
      </c>
      <c r="E15" s="19">
        <v>1160</v>
      </c>
      <c r="F15" s="19">
        <v>0</v>
      </c>
      <c r="G15" s="19">
        <v>0</v>
      </c>
      <c r="H15" s="19">
        <v>0</v>
      </c>
      <c r="I15" s="20">
        <v>0</v>
      </c>
      <c r="J15" s="19">
        <f t="shared" si="0"/>
        <v>0</v>
      </c>
      <c r="K15" s="19">
        <f t="shared" si="1"/>
        <v>0</v>
      </c>
      <c r="L15" s="19">
        <v>0.99934000000000001</v>
      </c>
      <c r="M15" s="19">
        <v>0.62026000000000003</v>
      </c>
      <c r="N15" s="19">
        <v>0.62026000000000003</v>
      </c>
      <c r="O15" s="19">
        <v>0.62022999999999995</v>
      </c>
      <c r="P15" s="19">
        <v>0.62019999999999997</v>
      </c>
      <c r="Q15" s="19"/>
      <c r="R15" s="19">
        <f t="shared" si="2"/>
        <v>0</v>
      </c>
      <c r="S15" s="19">
        <f t="shared" si="3"/>
        <v>0</v>
      </c>
      <c r="T15" s="19">
        <f t="shared" si="4"/>
        <v>0</v>
      </c>
      <c r="U15" s="19">
        <f t="shared" si="5"/>
        <v>0</v>
      </c>
      <c r="V15" s="21">
        <f t="shared" si="6"/>
        <v>0</v>
      </c>
    </row>
    <row r="16" spans="1:22" ht="13.5" x14ac:dyDescent="0.35">
      <c r="A16" s="18">
        <v>100351</v>
      </c>
      <c r="B16" s="19" t="s">
        <v>42</v>
      </c>
      <c r="C16" s="19">
        <v>1</v>
      </c>
      <c r="D16" s="19">
        <v>101</v>
      </c>
      <c r="E16" s="19">
        <v>144</v>
      </c>
      <c r="F16" s="19">
        <v>6.03</v>
      </c>
      <c r="G16" s="19">
        <v>0</v>
      </c>
      <c r="H16" s="19">
        <v>6.03</v>
      </c>
      <c r="I16" s="20">
        <v>6.03</v>
      </c>
      <c r="J16" s="19">
        <f t="shared" si="0"/>
        <v>0</v>
      </c>
      <c r="K16" s="19">
        <f t="shared" si="1"/>
        <v>0</v>
      </c>
      <c r="L16" s="19">
        <v>-6.6E-4</v>
      </c>
      <c r="M16" s="19">
        <v>2.7399999999999998E-3</v>
      </c>
      <c r="N16" s="19">
        <v>2.7399999999999998E-3</v>
      </c>
      <c r="O16" s="19">
        <v>2.7100000000000002E-3</v>
      </c>
      <c r="P16" s="19">
        <v>2.6800000000000001E-3</v>
      </c>
      <c r="Q16" s="19"/>
      <c r="R16" s="19">
        <f t="shared" si="2"/>
        <v>0</v>
      </c>
      <c r="S16" s="19">
        <f t="shared" si="3"/>
        <v>0</v>
      </c>
      <c r="T16" s="19">
        <f t="shared" si="4"/>
        <v>0</v>
      </c>
      <c r="U16" s="19">
        <f t="shared" si="5"/>
        <v>0</v>
      </c>
      <c r="V16" s="21">
        <f t="shared" si="6"/>
        <v>0</v>
      </c>
    </row>
    <row r="17" spans="1:22" ht="13.5" x14ac:dyDescent="0.35">
      <c r="A17" s="18">
        <v>100352</v>
      </c>
      <c r="B17" s="19" t="s">
        <v>43</v>
      </c>
      <c r="C17" s="19">
        <v>1</v>
      </c>
      <c r="D17" s="19">
        <v>101</v>
      </c>
      <c r="E17" s="19">
        <v>144</v>
      </c>
      <c r="F17" s="19">
        <v>0</v>
      </c>
      <c r="G17" s="19">
        <v>0</v>
      </c>
      <c r="H17" s="19">
        <v>0</v>
      </c>
      <c r="I17" s="20">
        <v>0</v>
      </c>
      <c r="J17" s="19">
        <f t="shared" si="0"/>
        <v>0</v>
      </c>
      <c r="K17" s="19">
        <f t="shared" si="1"/>
        <v>0</v>
      </c>
      <c r="L17" s="19">
        <v>-6.6E-4</v>
      </c>
      <c r="M17" s="19">
        <v>2.7399999999999998E-3</v>
      </c>
      <c r="N17" s="19">
        <v>2.7399999999999998E-3</v>
      </c>
      <c r="O17" s="19">
        <v>2.7100000000000002E-3</v>
      </c>
      <c r="P17" s="19">
        <v>2.6800000000000001E-3</v>
      </c>
      <c r="Q17" s="19"/>
      <c r="R17" s="19">
        <f t="shared" si="2"/>
        <v>0</v>
      </c>
      <c r="S17" s="19">
        <f t="shared" si="3"/>
        <v>0</v>
      </c>
      <c r="T17" s="19">
        <f t="shared" si="4"/>
        <v>0</v>
      </c>
      <c r="U17" s="19">
        <f t="shared" si="5"/>
        <v>0</v>
      </c>
      <c r="V17" s="21">
        <f t="shared" si="6"/>
        <v>0</v>
      </c>
    </row>
    <row r="18" spans="1:22" ht="13.5" x14ac:dyDescent="0.35">
      <c r="A18" s="18">
        <v>100353</v>
      </c>
      <c r="B18" s="19" t="s">
        <v>44</v>
      </c>
      <c r="C18" s="19">
        <v>1</v>
      </c>
      <c r="D18" s="19">
        <v>101</v>
      </c>
      <c r="E18" s="19">
        <v>144</v>
      </c>
      <c r="F18" s="19">
        <v>6.03</v>
      </c>
      <c r="G18" s="19">
        <v>0</v>
      </c>
      <c r="H18" s="19">
        <v>6.03</v>
      </c>
      <c r="I18" s="20">
        <v>6.03</v>
      </c>
      <c r="J18" s="19">
        <f t="shared" si="0"/>
        <v>0</v>
      </c>
      <c r="K18" s="19">
        <f t="shared" si="1"/>
        <v>0</v>
      </c>
      <c r="L18" s="19">
        <v>-6.6E-4</v>
      </c>
      <c r="M18" s="19">
        <v>2.7399999999999998E-3</v>
      </c>
      <c r="N18" s="19">
        <v>2.7399999999999998E-3</v>
      </c>
      <c r="O18" s="19">
        <v>2.7100000000000002E-3</v>
      </c>
      <c r="P18" s="19">
        <v>2.6800000000000001E-3</v>
      </c>
      <c r="Q18" s="19"/>
      <c r="R18" s="19">
        <f t="shared" si="2"/>
        <v>0</v>
      </c>
      <c r="S18" s="19">
        <f t="shared" si="3"/>
        <v>0</v>
      </c>
      <c r="T18" s="19">
        <f t="shared" si="4"/>
        <v>0</v>
      </c>
      <c r="U18" s="19">
        <f t="shared" si="5"/>
        <v>0</v>
      </c>
      <c r="V18" s="21">
        <f t="shared" si="6"/>
        <v>0</v>
      </c>
    </row>
    <row r="19" spans="1:22" ht="13.5" x14ac:dyDescent="0.35">
      <c r="A19" s="18">
        <v>100354</v>
      </c>
      <c r="B19" s="19" t="s">
        <v>45</v>
      </c>
      <c r="C19" s="19">
        <v>1</v>
      </c>
      <c r="D19" s="19">
        <v>101</v>
      </c>
      <c r="E19" s="19">
        <v>144</v>
      </c>
      <c r="F19" s="19">
        <v>4.17</v>
      </c>
      <c r="G19" s="19">
        <v>0</v>
      </c>
      <c r="H19" s="19">
        <v>4.17</v>
      </c>
      <c r="I19" s="20">
        <v>4.17</v>
      </c>
      <c r="J19" s="19">
        <f t="shared" si="0"/>
        <v>0</v>
      </c>
      <c r="K19" s="19">
        <f t="shared" si="1"/>
        <v>0</v>
      </c>
      <c r="L19" s="19">
        <v>-6.6E-4</v>
      </c>
      <c r="M19" s="19">
        <v>2.7399999999999998E-3</v>
      </c>
      <c r="N19" s="19">
        <v>2.7399999999999998E-3</v>
      </c>
      <c r="O19" s="19">
        <v>2.7100000000000002E-3</v>
      </c>
      <c r="P19" s="19">
        <v>2.6800000000000001E-3</v>
      </c>
      <c r="Q19" s="19"/>
      <c r="R19" s="19">
        <f t="shared" si="2"/>
        <v>0</v>
      </c>
      <c r="S19" s="19">
        <f t="shared" si="3"/>
        <v>0</v>
      </c>
      <c r="T19" s="19">
        <f t="shared" si="4"/>
        <v>0</v>
      </c>
      <c r="U19" s="19">
        <f t="shared" si="5"/>
        <v>0</v>
      </c>
      <c r="V19" s="21">
        <f t="shared" si="6"/>
        <v>0</v>
      </c>
    </row>
    <row r="20" spans="1:22" ht="13.5" x14ac:dyDescent="0.35">
      <c r="A20" s="18">
        <v>100355</v>
      </c>
      <c r="B20" s="19" t="s">
        <v>46</v>
      </c>
      <c r="C20" s="19">
        <v>34.5</v>
      </c>
      <c r="D20" s="19">
        <v>101</v>
      </c>
      <c r="E20" s="19">
        <v>144</v>
      </c>
      <c r="F20" s="19">
        <v>0</v>
      </c>
      <c r="G20" s="19">
        <v>0</v>
      </c>
      <c r="H20" s="19">
        <v>0</v>
      </c>
      <c r="I20" s="20">
        <v>0</v>
      </c>
      <c r="J20" s="19">
        <f t="shared" si="0"/>
        <v>0</v>
      </c>
      <c r="K20" s="19">
        <f t="shared" si="1"/>
        <v>0</v>
      </c>
      <c r="L20" s="19">
        <v>-6.6E-4</v>
      </c>
      <c r="M20" s="19">
        <v>2.7399999999999998E-3</v>
      </c>
      <c r="N20" s="19">
        <v>2.7399999999999998E-3</v>
      </c>
      <c r="O20" s="19">
        <v>2.7100000000000002E-3</v>
      </c>
      <c r="P20" s="19">
        <v>2.6800000000000001E-3</v>
      </c>
      <c r="Q20" s="19"/>
      <c r="R20" s="19">
        <f t="shared" si="2"/>
        <v>0</v>
      </c>
      <c r="S20" s="19">
        <f t="shared" si="3"/>
        <v>0</v>
      </c>
      <c r="T20" s="19">
        <f t="shared" si="4"/>
        <v>0</v>
      </c>
      <c r="U20" s="19">
        <f t="shared" si="5"/>
        <v>0</v>
      </c>
      <c r="V20" s="21">
        <f t="shared" si="6"/>
        <v>0</v>
      </c>
    </row>
    <row r="21" spans="1:22" ht="13.5" x14ac:dyDescent="0.35">
      <c r="A21" s="18">
        <v>100356</v>
      </c>
      <c r="B21" s="19" t="s">
        <v>47</v>
      </c>
      <c r="C21" s="19">
        <v>13.8</v>
      </c>
      <c r="D21" s="19">
        <v>101</v>
      </c>
      <c r="E21" s="19">
        <v>113</v>
      </c>
      <c r="F21" s="19">
        <v>17</v>
      </c>
      <c r="G21" s="19">
        <v>0</v>
      </c>
      <c r="H21" s="19">
        <v>17</v>
      </c>
      <c r="I21" s="20">
        <v>17</v>
      </c>
      <c r="J21" s="19">
        <f t="shared" si="0"/>
        <v>0</v>
      </c>
      <c r="K21" s="19">
        <f t="shared" si="1"/>
        <v>0</v>
      </c>
      <c r="L21" s="19">
        <v>-6.6E-4</v>
      </c>
      <c r="M21" s="19">
        <v>2.7399999999999998E-3</v>
      </c>
      <c r="N21" s="19">
        <v>2.7399999999999998E-3</v>
      </c>
      <c r="O21" s="19">
        <v>2.7100000000000002E-3</v>
      </c>
      <c r="P21" s="19">
        <v>2.6800000000000001E-3</v>
      </c>
      <c r="Q21" s="19"/>
      <c r="R21" s="19">
        <f t="shared" si="2"/>
        <v>0</v>
      </c>
      <c r="S21" s="19">
        <f t="shared" si="3"/>
        <v>0</v>
      </c>
      <c r="T21" s="19">
        <f t="shared" si="4"/>
        <v>0</v>
      </c>
      <c r="U21" s="19">
        <f t="shared" si="5"/>
        <v>0</v>
      </c>
      <c r="V21" s="21">
        <f t="shared" si="6"/>
        <v>0</v>
      </c>
    </row>
    <row r="22" spans="1:22" ht="13.5" x14ac:dyDescent="0.35">
      <c r="A22" s="18">
        <v>100357</v>
      </c>
      <c r="B22" s="19" t="s">
        <v>48</v>
      </c>
      <c r="C22" s="19">
        <v>13.8</v>
      </c>
      <c r="D22" s="19">
        <v>101</v>
      </c>
      <c r="E22" s="19">
        <v>113</v>
      </c>
      <c r="F22" s="19">
        <v>0</v>
      </c>
      <c r="G22" s="19">
        <v>0</v>
      </c>
      <c r="H22" s="19">
        <v>0</v>
      </c>
      <c r="I22" s="20">
        <v>0</v>
      </c>
      <c r="J22" s="19">
        <f t="shared" si="0"/>
        <v>0</v>
      </c>
      <c r="K22" s="19">
        <f t="shared" si="1"/>
        <v>0</v>
      </c>
      <c r="L22" s="19">
        <v>-6.6E-4</v>
      </c>
      <c r="M22" s="19">
        <v>2.7399999999999998E-3</v>
      </c>
      <c r="N22" s="19">
        <v>2.7399999999999998E-3</v>
      </c>
      <c r="O22" s="19">
        <v>2.7100000000000002E-3</v>
      </c>
      <c r="P22" s="19">
        <v>2.6800000000000001E-3</v>
      </c>
      <c r="Q22" s="19"/>
      <c r="R22" s="19">
        <f t="shared" si="2"/>
        <v>0</v>
      </c>
      <c r="S22" s="19">
        <f t="shared" si="3"/>
        <v>0</v>
      </c>
      <c r="T22" s="19">
        <f t="shared" si="4"/>
        <v>0</v>
      </c>
      <c r="U22" s="19">
        <f t="shared" si="5"/>
        <v>0</v>
      </c>
      <c r="V22" s="21">
        <f t="shared" si="6"/>
        <v>0</v>
      </c>
    </row>
    <row r="23" spans="1:22" ht="13.5" x14ac:dyDescent="0.35">
      <c r="A23" s="18">
        <v>100358</v>
      </c>
      <c r="B23" s="19" t="s">
        <v>49</v>
      </c>
      <c r="C23" s="19">
        <v>13.8</v>
      </c>
      <c r="D23" s="19">
        <v>101</v>
      </c>
      <c r="E23" s="19">
        <v>113</v>
      </c>
      <c r="F23" s="19">
        <v>0</v>
      </c>
      <c r="G23" s="19">
        <v>0</v>
      </c>
      <c r="H23" s="19">
        <v>0</v>
      </c>
      <c r="I23" s="20">
        <v>0</v>
      </c>
      <c r="J23" s="19">
        <f t="shared" si="0"/>
        <v>0</v>
      </c>
      <c r="K23" s="19">
        <f t="shared" si="1"/>
        <v>0</v>
      </c>
      <c r="L23" s="19">
        <v>-6.6E-4</v>
      </c>
      <c r="M23" s="19">
        <v>2.7399999999999998E-3</v>
      </c>
      <c r="N23" s="19">
        <v>2.7399999999999998E-3</v>
      </c>
      <c r="O23" s="19">
        <v>2.7100000000000002E-3</v>
      </c>
      <c r="P23" s="19">
        <v>2.6800000000000001E-3</v>
      </c>
      <c r="Q23" s="19"/>
      <c r="R23" s="19">
        <f t="shared" si="2"/>
        <v>0</v>
      </c>
      <c r="S23" s="19">
        <f t="shared" si="3"/>
        <v>0</v>
      </c>
      <c r="T23" s="19">
        <f t="shared" si="4"/>
        <v>0</v>
      </c>
      <c r="U23" s="19">
        <f t="shared" si="5"/>
        <v>0</v>
      </c>
      <c r="V23" s="21">
        <f t="shared" si="6"/>
        <v>0</v>
      </c>
    </row>
    <row r="24" spans="1:22" ht="13.5" x14ac:dyDescent="0.35">
      <c r="A24" s="18">
        <v>100359</v>
      </c>
      <c r="B24" s="19" t="s">
        <v>50</v>
      </c>
      <c r="C24" s="19">
        <v>2.4</v>
      </c>
      <c r="D24" s="19">
        <v>101</v>
      </c>
      <c r="E24" s="19">
        <v>114</v>
      </c>
      <c r="F24" s="19">
        <v>0</v>
      </c>
      <c r="G24" s="19">
        <v>0</v>
      </c>
      <c r="H24" s="19">
        <v>0</v>
      </c>
      <c r="I24" s="20">
        <v>0</v>
      </c>
      <c r="J24" s="19">
        <f t="shared" si="0"/>
        <v>0</v>
      </c>
      <c r="K24" s="19">
        <f t="shared" si="1"/>
        <v>0</v>
      </c>
      <c r="L24" s="19">
        <v>-6.6E-4</v>
      </c>
      <c r="M24" s="19">
        <v>2.7399999999999998E-3</v>
      </c>
      <c r="N24" s="19">
        <v>2.7399999999999998E-3</v>
      </c>
      <c r="O24" s="19">
        <v>2.7100000000000002E-3</v>
      </c>
      <c r="P24" s="19">
        <v>2.6800000000000001E-3</v>
      </c>
      <c r="Q24" s="19"/>
      <c r="R24" s="19">
        <f t="shared" si="2"/>
        <v>0</v>
      </c>
      <c r="S24" s="19">
        <f t="shared" si="3"/>
        <v>0</v>
      </c>
      <c r="T24" s="19">
        <f t="shared" si="4"/>
        <v>0</v>
      </c>
      <c r="U24" s="19">
        <f t="shared" si="5"/>
        <v>0</v>
      </c>
      <c r="V24" s="21">
        <f t="shared" si="6"/>
        <v>0</v>
      </c>
    </row>
    <row r="25" spans="1:22" ht="13.5" x14ac:dyDescent="0.35">
      <c r="A25" s="18">
        <v>100360</v>
      </c>
      <c r="B25" s="19" t="s">
        <v>51</v>
      </c>
      <c r="C25" s="19">
        <v>13.8</v>
      </c>
      <c r="D25" s="19">
        <v>101</v>
      </c>
      <c r="E25" s="19">
        <v>113</v>
      </c>
      <c r="F25" s="19">
        <v>29.01</v>
      </c>
      <c r="G25" s="19">
        <v>0</v>
      </c>
      <c r="H25" s="19">
        <v>29.01</v>
      </c>
      <c r="I25" s="20">
        <v>29.01</v>
      </c>
      <c r="J25" s="19">
        <f t="shared" si="0"/>
        <v>0</v>
      </c>
      <c r="K25" s="19">
        <f t="shared" si="1"/>
        <v>0</v>
      </c>
      <c r="L25" s="19">
        <v>-6.6E-4</v>
      </c>
      <c r="M25" s="19">
        <v>2.7399999999999998E-3</v>
      </c>
      <c r="N25" s="19">
        <v>2.7399999999999998E-3</v>
      </c>
      <c r="O25" s="19">
        <v>2.7100000000000002E-3</v>
      </c>
      <c r="P25" s="19">
        <v>2.6800000000000001E-3</v>
      </c>
      <c r="Q25" s="19"/>
      <c r="R25" s="19">
        <f t="shared" si="2"/>
        <v>0</v>
      </c>
      <c r="S25" s="19">
        <f t="shared" si="3"/>
        <v>0</v>
      </c>
      <c r="T25" s="19">
        <f t="shared" si="4"/>
        <v>0</v>
      </c>
      <c r="U25" s="19">
        <f t="shared" si="5"/>
        <v>0</v>
      </c>
      <c r="V25" s="21">
        <f t="shared" si="6"/>
        <v>0</v>
      </c>
    </row>
    <row r="26" spans="1:22" ht="13.5" x14ac:dyDescent="0.35">
      <c r="A26" s="18">
        <v>100361</v>
      </c>
      <c r="B26" s="19" t="s">
        <v>52</v>
      </c>
      <c r="C26" s="19">
        <v>13.8</v>
      </c>
      <c r="D26" s="19">
        <v>101</v>
      </c>
      <c r="E26" s="19">
        <v>113</v>
      </c>
      <c r="F26" s="19">
        <v>29.9</v>
      </c>
      <c r="G26" s="19">
        <v>0</v>
      </c>
      <c r="H26" s="19">
        <v>29.9</v>
      </c>
      <c r="I26" s="20">
        <v>29.9</v>
      </c>
      <c r="J26" s="19">
        <f t="shared" si="0"/>
        <v>0</v>
      </c>
      <c r="K26" s="19">
        <f t="shared" si="1"/>
        <v>0</v>
      </c>
      <c r="L26" s="19">
        <v>-6.6E-4</v>
      </c>
      <c r="M26" s="19">
        <v>2.7399999999999998E-3</v>
      </c>
      <c r="N26" s="19">
        <v>2.7399999999999998E-3</v>
      </c>
      <c r="O26" s="19">
        <v>2.7100000000000002E-3</v>
      </c>
      <c r="P26" s="19">
        <v>2.6800000000000001E-3</v>
      </c>
      <c r="Q26" s="19"/>
      <c r="R26" s="19">
        <f t="shared" si="2"/>
        <v>0</v>
      </c>
      <c r="S26" s="19">
        <f t="shared" si="3"/>
        <v>0</v>
      </c>
      <c r="T26" s="19">
        <f t="shared" si="4"/>
        <v>0</v>
      </c>
      <c r="U26" s="19">
        <f t="shared" si="5"/>
        <v>0</v>
      </c>
      <c r="V26" s="21">
        <f t="shared" si="6"/>
        <v>0</v>
      </c>
    </row>
    <row r="27" spans="1:22" ht="13.5" x14ac:dyDescent="0.35">
      <c r="A27" s="18">
        <v>100362</v>
      </c>
      <c r="B27" s="19" t="s">
        <v>53</v>
      </c>
      <c r="C27" s="19">
        <v>13.8</v>
      </c>
      <c r="D27" s="19">
        <v>101</v>
      </c>
      <c r="E27" s="19">
        <v>113</v>
      </c>
      <c r="F27" s="19">
        <v>0</v>
      </c>
      <c r="G27" s="19">
        <v>0</v>
      </c>
      <c r="H27" s="19">
        <v>0</v>
      </c>
      <c r="I27" s="20">
        <v>0</v>
      </c>
      <c r="J27" s="19">
        <f t="shared" si="0"/>
        <v>0</v>
      </c>
      <c r="K27" s="19">
        <f t="shared" si="1"/>
        <v>0</v>
      </c>
      <c r="L27" s="19">
        <v>-6.6E-4</v>
      </c>
      <c r="M27" s="19">
        <v>2.7399999999999998E-3</v>
      </c>
      <c r="N27" s="19">
        <v>2.7399999999999998E-3</v>
      </c>
      <c r="O27" s="19">
        <v>2.7100000000000002E-3</v>
      </c>
      <c r="P27" s="19">
        <v>2.6800000000000001E-3</v>
      </c>
      <c r="Q27" s="19"/>
      <c r="R27" s="19">
        <f t="shared" si="2"/>
        <v>0</v>
      </c>
      <c r="S27" s="19">
        <f t="shared" si="3"/>
        <v>0</v>
      </c>
      <c r="T27" s="19">
        <f t="shared" si="4"/>
        <v>0</v>
      </c>
      <c r="U27" s="19">
        <f t="shared" si="5"/>
        <v>0</v>
      </c>
      <c r="V27" s="21">
        <f t="shared" si="6"/>
        <v>0</v>
      </c>
    </row>
    <row r="28" spans="1:22" ht="13.5" x14ac:dyDescent="0.35">
      <c r="A28" s="18">
        <v>100363</v>
      </c>
      <c r="B28" s="19" t="s">
        <v>54</v>
      </c>
      <c r="C28" s="19">
        <v>6.9</v>
      </c>
      <c r="D28" s="19">
        <v>101</v>
      </c>
      <c r="E28" s="19">
        <v>113</v>
      </c>
      <c r="F28" s="19">
        <v>8.2200000000000006</v>
      </c>
      <c r="G28" s="19">
        <v>0</v>
      </c>
      <c r="H28" s="19">
        <v>8.2200000000000006</v>
      </c>
      <c r="I28" s="20">
        <v>8.2200000000000006</v>
      </c>
      <c r="J28" s="19">
        <f t="shared" si="0"/>
        <v>0</v>
      </c>
      <c r="K28" s="19">
        <f t="shared" si="1"/>
        <v>0</v>
      </c>
      <c r="L28" s="19">
        <v>-6.6E-4</v>
      </c>
      <c r="M28" s="19">
        <v>2.7399999999999998E-3</v>
      </c>
      <c r="N28" s="19">
        <v>2.7399999999999998E-3</v>
      </c>
      <c r="O28" s="19">
        <v>2.7100000000000002E-3</v>
      </c>
      <c r="P28" s="19">
        <v>2.6800000000000001E-3</v>
      </c>
      <c r="Q28" s="19"/>
      <c r="R28" s="19">
        <f t="shared" si="2"/>
        <v>0</v>
      </c>
      <c r="S28" s="19">
        <f t="shared" si="3"/>
        <v>0</v>
      </c>
      <c r="T28" s="19">
        <f t="shared" si="4"/>
        <v>0</v>
      </c>
      <c r="U28" s="19">
        <f t="shared" si="5"/>
        <v>0</v>
      </c>
      <c r="V28" s="21">
        <f t="shared" si="6"/>
        <v>0</v>
      </c>
    </row>
    <row r="29" spans="1:22" ht="13.5" x14ac:dyDescent="0.35">
      <c r="A29" s="18">
        <v>100364</v>
      </c>
      <c r="B29" s="19" t="s">
        <v>55</v>
      </c>
      <c r="C29" s="19">
        <v>6.9</v>
      </c>
      <c r="D29" s="19">
        <v>101</v>
      </c>
      <c r="E29" s="19">
        <v>113</v>
      </c>
      <c r="F29" s="19">
        <v>0</v>
      </c>
      <c r="G29" s="19">
        <v>0</v>
      </c>
      <c r="H29" s="19">
        <v>0</v>
      </c>
      <c r="I29" s="20">
        <v>0</v>
      </c>
      <c r="J29" s="19">
        <f t="shared" si="0"/>
        <v>0</v>
      </c>
      <c r="K29" s="19">
        <f t="shared" si="1"/>
        <v>0</v>
      </c>
      <c r="L29" s="19">
        <v>-6.6E-4</v>
      </c>
      <c r="M29" s="19">
        <v>2.7399999999999998E-3</v>
      </c>
      <c r="N29" s="19">
        <v>2.7399999999999998E-3</v>
      </c>
      <c r="O29" s="19">
        <v>2.7100000000000002E-3</v>
      </c>
      <c r="P29" s="19">
        <v>2.6800000000000001E-3</v>
      </c>
      <c r="Q29" s="19"/>
      <c r="R29" s="19">
        <f t="shared" si="2"/>
        <v>0</v>
      </c>
      <c r="S29" s="19">
        <f t="shared" si="3"/>
        <v>0</v>
      </c>
      <c r="T29" s="19">
        <f t="shared" si="4"/>
        <v>0</v>
      </c>
      <c r="U29" s="19">
        <f t="shared" si="5"/>
        <v>0</v>
      </c>
      <c r="V29" s="21">
        <f t="shared" si="6"/>
        <v>0</v>
      </c>
    </row>
    <row r="30" spans="1:22" ht="13.5" x14ac:dyDescent="0.35">
      <c r="A30" s="18">
        <v>100367</v>
      </c>
      <c r="B30" s="19" t="s">
        <v>56</v>
      </c>
      <c r="C30" s="19">
        <v>14.4</v>
      </c>
      <c r="D30" s="19">
        <v>101</v>
      </c>
      <c r="E30" s="19">
        <v>113</v>
      </c>
      <c r="F30" s="19">
        <v>116</v>
      </c>
      <c r="G30" s="19">
        <v>0</v>
      </c>
      <c r="H30" s="19">
        <v>116</v>
      </c>
      <c r="I30" s="20">
        <v>116</v>
      </c>
      <c r="J30" s="19">
        <f t="shared" si="0"/>
        <v>0</v>
      </c>
      <c r="K30" s="19">
        <f t="shared" si="1"/>
        <v>0</v>
      </c>
      <c r="L30" s="19">
        <v>-6.6E-4</v>
      </c>
      <c r="M30" s="19">
        <v>2.7399999999999998E-3</v>
      </c>
      <c r="N30" s="19">
        <v>2.7399999999999998E-3</v>
      </c>
      <c r="O30" s="19">
        <v>2.7100000000000002E-3</v>
      </c>
      <c r="P30" s="19">
        <v>2.6900000000000001E-3</v>
      </c>
      <c r="Q30" s="19"/>
      <c r="R30" s="19">
        <f t="shared" si="2"/>
        <v>0</v>
      </c>
      <c r="S30" s="19">
        <f t="shared" si="3"/>
        <v>0</v>
      </c>
      <c r="T30" s="19">
        <f t="shared" si="4"/>
        <v>0</v>
      </c>
      <c r="U30" s="19">
        <f t="shared" si="5"/>
        <v>0</v>
      </c>
      <c r="V30" s="21">
        <f t="shared" si="6"/>
        <v>0</v>
      </c>
    </row>
    <row r="31" spans="1:22" ht="13.5" x14ac:dyDescent="0.35">
      <c r="A31" s="18">
        <v>100368</v>
      </c>
      <c r="B31" s="19" t="s">
        <v>57</v>
      </c>
      <c r="C31" s="19">
        <v>22</v>
      </c>
      <c r="D31" s="19">
        <v>101</v>
      </c>
      <c r="E31" s="19">
        <v>113</v>
      </c>
      <c r="F31" s="19">
        <v>614.5</v>
      </c>
      <c r="G31" s="19">
        <v>0</v>
      </c>
      <c r="H31" s="19">
        <v>614.5</v>
      </c>
      <c r="I31" s="20">
        <v>614.5</v>
      </c>
      <c r="J31" s="19">
        <f t="shared" si="0"/>
        <v>0</v>
      </c>
      <c r="K31" s="19">
        <f t="shared" si="1"/>
        <v>0</v>
      </c>
      <c r="L31" s="19">
        <v>-6.6E-4</v>
      </c>
      <c r="M31" s="19">
        <v>2.7399999999999998E-3</v>
      </c>
      <c r="N31" s="19">
        <v>2.7399999999999998E-3</v>
      </c>
      <c r="O31" s="19">
        <v>2.7100000000000002E-3</v>
      </c>
      <c r="P31" s="19">
        <v>2.6800000000000001E-3</v>
      </c>
      <c r="Q31" s="19"/>
      <c r="R31" s="19">
        <f t="shared" si="2"/>
        <v>0</v>
      </c>
      <c r="S31" s="19">
        <f t="shared" si="3"/>
        <v>0</v>
      </c>
      <c r="T31" s="19">
        <f t="shared" si="4"/>
        <v>0</v>
      </c>
      <c r="U31" s="19">
        <f t="shared" si="5"/>
        <v>0</v>
      </c>
      <c r="V31" s="21">
        <f t="shared" si="6"/>
        <v>0</v>
      </c>
    </row>
    <row r="32" spans="1:22" ht="13.5" x14ac:dyDescent="0.35">
      <c r="A32" s="18">
        <v>100370</v>
      </c>
      <c r="B32" s="19" t="s">
        <v>58</v>
      </c>
      <c r="C32" s="19">
        <v>13.8</v>
      </c>
      <c r="D32" s="19">
        <v>101</v>
      </c>
      <c r="E32" s="19">
        <v>113</v>
      </c>
      <c r="F32" s="19">
        <v>35.299999999999997</v>
      </c>
      <c r="G32" s="19">
        <v>0</v>
      </c>
      <c r="H32" s="19">
        <v>35.299999999999997</v>
      </c>
      <c r="I32" s="20">
        <v>35.299999999999997</v>
      </c>
      <c r="J32" s="19">
        <f t="shared" si="0"/>
        <v>0</v>
      </c>
      <c r="K32" s="19">
        <f t="shared" si="1"/>
        <v>0</v>
      </c>
      <c r="L32" s="19">
        <v>-6.6E-4</v>
      </c>
      <c r="M32" s="19">
        <v>2.7399999999999998E-3</v>
      </c>
      <c r="N32" s="19">
        <v>2.7399999999999998E-3</v>
      </c>
      <c r="O32" s="19">
        <v>2.7100000000000002E-3</v>
      </c>
      <c r="P32" s="19">
        <v>2.6800000000000001E-3</v>
      </c>
      <c r="Q32" s="19"/>
      <c r="R32" s="19">
        <f t="shared" si="2"/>
        <v>0</v>
      </c>
      <c r="S32" s="19">
        <f t="shared" si="3"/>
        <v>0</v>
      </c>
      <c r="T32" s="19">
        <f t="shared" si="4"/>
        <v>0</v>
      </c>
      <c r="U32" s="19">
        <f t="shared" si="5"/>
        <v>0</v>
      </c>
      <c r="V32" s="21">
        <f t="shared" si="6"/>
        <v>0</v>
      </c>
    </row>
    <row r="33" spans="1:22" ht="13.5" x14ac:dyDescent="0.35">
      <c r="A33" s="18">
        <v>100372</v>
      </c>
      <c r="B33" s="19" t="s">
        <v>59</v>
      </c>
      <c r="C33" s="19">
        <v>13.8</v>
      </c>
      <c r="D33" s="19">
        <v>101</v>
      </c>
      <c r="E33" s="19">
        <v>113</v>
      </c>
      <c r="F33" s="19">
        <v>0</v>
      </c>
      <c r="G33" s="19">
        <v>0</v>
      </c>
      <c r="H33" s="19">
        <v>0</v>
      </c>
      <c r="I33" s="20">
        <v>0</v>
      </c>
      <c r="J33" s="19">
        <f t="shared" si="0"/>
        <v>0</v>
      </c>
      <c r="K33" s="19">
        <f t="shared" si="1"/>
        <v>0</v>
      </c>
      <c r="L33" s="19">
        <v>-6.6E-4</v>
      </c>
      <c r="M33" s="19">
        <v>2.7399999999999998E-3</v>
      </c>
      <c r="N33" s="19">
        <v>2.7399999999999998E-3</v>
      </c>
      <c r="O33" s="19">
        <v>2.7100000000000002E-3</v>
      </c>
      <c r="P33" s="19">
        <v>2.6800000000000001E-3</v>
      </c>
      <c r="Q33" s="19"/>
      <c r="R33" s="19">
        <f t="shared" si="2"/>
        <v>0</v>
      </c>
      <c r="S33" s="19">
        <f t="shared" si="3"/>
        <v>0</v>
      </c>
      <c r="T33" s="19">
        <f t="shared" si="4"/>
        <v>0</v>
      </c>
      <c r="U33" s="19">
        <f t="shared" si="5"/>
        <v>0</v>
      </c>
      <c r="V33" s="21">
        <f t="shared" si="6"/>
        <v>0</v>
      </c>
    </row>
    <row r="34" spans="1:22" ht="13.5" x14ac:dyDescent="0.35">
      <c r="A34" s="18">
        <v>100377</v>
      </c>
      <c r="B34" s="19" t="s">
        <v>60</v>
      </c>
      <c r="C34" s="19">
        <v>13.8</v>
      </c>
      <c r="D34" s="19">
        <v>101</v>
      </c>
      <c r="E34" s="19">
        <v>113</v>
      </c>
      <c r="F34" s="19">
        <v>47.22</v>
      </c>
      <c r="G34" s="19">
        <v>0</v>
      </c>
      <c r="H34" s="19">
        <v>47.22</v>
      </c>
      <c r="I34" s="20">
        <v>47.22</v>
      </c>
      <c r="J34" s="19">
        <f t="shared" si="0"/>
        <v>0</v>
      </c>
      <c r="K34" s="19">
        <f t="shared" si="1"/>
        <v>0</v>
      </c>
      <c r="L34" s="19">
        <v>-6.6E-4</v>
      </c>
      <c r="M34" s="19">
        <v>2.7399999999999998E-3</v>
      </c>
      <c r="N34" s="19">
        <v>2.7399999999999998E-3</v>
      </c>
      <c r="O34" s="19">
        <v>2.7100000000000002E-3</v>
      </c>
      <c r="P34" s="19">
        <v>2.6800000000000001E-3</v>
      </c>
      <c r="Q34" s="19"/>
      <c r="R34" s="19">
        <f t="shared" si="2"/>
        <v>0</v>
      </c>
      <c r="S34" s="19">
        <f t="shared" si="3"/>
        <v>0</v>
      </c>
      <c r="T34" s="19">
        <f t="shared" si="4"/>
        <v>0</v>
      </c>
      <c r="U34" s="19">
        <f t="shared" si="5"/>
        <v>0</v>
      </c>
      <c r="V34" s="21">
        <f t="shared" si="6"/>
        <v>0</v>
      </c>
    </row>
    <row r="35" spans="1:22" ht="13.5" x14ac:dyDescent="0.35">
      <c r="A35" s="18">
        <v>100378</v>
      </c>
      <c r="B35" s="19" t="s">
        <v>61</v>
      </c>
      <c r="C35" s="19">
        <v>13.8</v>
      </c>
      <c r="D35" s="19">
        <v>101</v>
      </c>
      <c r="E35" s="19">
        <v>113</v>
      </c>
      <c r="F35" s="19">
        <v>45.17</v>
      </c>
      <c r="G35" s="19">
        <v>0</v>
      </c>
      <c r="H35" s="19">
        <v>45.17</v>
      </c>
      <c r="I35" s="20">
        <v>45.17</v>
      </c>
      <c r="J35" s="19">
        <f t="shared" si="0"/>
        <v>0</v>
      </c>
      <c r="K35" s="19">
        <f t="shared" si="1"/>
        <v>0</v>
      </c>
      <c r="L35" s="19">
        <v>-6.6E-4</v>
      </c>
      <c r="M35" s="19">
        <v>2.7399999999999998E-3</v>
      </c>
      <c r="N35" s="19">
        <v>2.7399999999999998E-3</v>
      </c>
      <c r="O35" s="19">
        <v>2.7100000000000002E-3</v>
      </c>
      <c r="P35" s="19">
        <v>2.6800000000000001E-3</v>
      </c>
      <c r="Q35" s="19"/>
      <c r="R35" s="19">
        <f t="shared" si="2"/>
        <v>0</v>
      </c>
      <c r="S35" s="19">
        <f t="shared" si="3"/>
        <v>0</v>
      </c>
      <c r="T35" s="19">
        <f t="shared" si="4"/>
        <v>0</v>
      </c>
      <c r="U35" s="19">
        <f t="shared" si="5"/>
        <v>0</v>
      </c>
      <c r="V35" s="21">
        <f t="shared" si="6"/>
        <v>0</v>
      </c>
    </row>
    <row r="36" spans="1:22" ht="13.5" x14ac:dyDescent="0.35">
      <c r="A36" s="18">
        <v>100379</v>
      </c>
      <c r="B36" s="19" t="s">
        <v>62</v>
      </c>
      <c r="C36" s="19">
        <v>13.8</v>
      </c>
      <c r="D36" s="19">
        <v>101</v>
      </c>
      <c r="E36" s="19">
        <v>113</v>
      </c>
      <c r="F36" s="19">
        <v>44.1</v>
      </c>
      <c r="G36" s="19">
        <v>0</v>
      </c>
      <c r="H36" s="19">
        <v>44.1</v>
      </c>
      <c r="I36" s="20">
        <v>44.1</v>
      </c>
      <c r="J36" s="19">
        <f t="shared" si="0"/>
        <v>0</v>
      </c>
      <c r="K36" s="19">
        <f t="shared" si="1"/>
        <v>0</v>
      </c>
      <c r="L36" s="19">
        <v>-6.6E-4</v>
      </c>
      <c r="M36" s="19">
        <v>2.7399999999999998E-3</v>
      </c>
      <c r="N36" s="19">
        <v>2.7399999999999998E-3</v>
      </c>
      <c r="O36" s="19">
        <v>2.7100000000000002E-3</v>
      </c>
      <c r="P36" s="19">
        <v>2.6800000000000001E-3</v>
      </c>
      <c r="Q36" s="19"/>
      <c r="R36" s="19">
        <f t="shared" si="2"/>
        <v>0</v>
      </c>
      <c r="S36" s="19">
        <f t="shared" si="3"/>
        <v>0</v>
      </c>
      <c r="T36" s="19">
        <f t="shared" si="4"/>
        <v>0</v>
      </c>
      <c r="U36" s="19">
        <f t="shared" si="5"/>
        <v>0</v>
      </c>
      <c r="V36" s="21">
        <f t="shared" si="6"/>
        <v>0</v>
      </c>
    </row>
    <row r="37" spans="1:22" ht="13.5" x14ac:dyDescent="0.35">
      <c r="A37" s="18">
        <v>100381</v>
      </c>
      <c r="B37" s="19" t="s">
        <v>63</v>
      </c>
      <c r="C37" s="19">
        <v>18</v>
      </c>
      <c r="D37" s="19">
        <v>101</v>
      </c>
      <c r="E37" s="19">
        <v>113</v>
      </c>
      <c r="F37" s="19">
        <v>160.06</v>
      </c>
      <c r="G37" s="19">
        <v>0</v>
      </c>
      <c r="H37" s="19">
        <v>160.06</v>
      </c>
      <c r="I37" s="20">
        <v>160.06</v>
      </c>
      <c r="J37" s="19">
        <f t="shared" si="0"/>
        <v>0</v>
      </c>
      <c r="K37" s="19">
        <f t="shared" si="1"/>
        <v>0</v>
      </c>
      <c r="L37" s="19">
        <v>-6.6E-4</v>
      </c>
      <c r="M37" s="19">
        <v>2.7399999999999998E-3</v>
      </c>
      <c r="N37" s="19">
        <v>2.7399999999999998E-3</v>
      </c>
      <c r="O37" s="19">
        <v>2.7100000000000002E-3</v>
      </c>
      <c r="P37" s="19">
        <v>2.6800000000000001E-3</v>
      </c>
      <c r="Q37" s="19"/>
      <c r="R37" s="19">
        <f t="shared" si="2"/>
        <v>0</v>
      </c>
      <c r="S37" s="19">
        <f t="shared" si="3"/>
        <v>0</v>
      </c>
      <c r="T37" s="19">
        <f t="shared" si="4"/>
        <v>0</v>
      </c>
      <c r="U37" s="19">
        <f t="shared" si="5"/>
        <v>0</v>
      </c>
      <c r="V37" s="21">
        <f t="shared" si="6"/>
        <v>0</v>
      </c>
    </row>
    <row r="38" spans="1:22" ht="13.5" x14ac:dyDescent="0.35">
      <c r="A38" s="18">
        <v>100382</v>
      </c>
      <c r="B38" s="19" t="s">
        <v>64</v>
      </c>
      <c r="C38" s="19">
        <v>13.8</v>
      </c>
      <c r="D38" s="19">
        <v>101</v>
      </c>
      <c r="E38" s="19">
        <v>113</v>
      </c>
      <c r="F38" s="19">
        <v>84.88</v>
      </c>
      <c r="G38" s="19">
        <v>0</v>
      </c>
      <c r="H38" s="19">
        <v>84.88</v>
      </c>
      <c r="I38" s="20">
        <v>84.88</v>
      </c>
      <c r="J38" s="19">
        <f t="shared" si="0"/>
        <v>0</v>
      </c>
      <c r="K38" s="19">
        <f t="shared" si="1"/>
        <v>0</v>
      </c>
      <c r="L38" s="19">
        <v>-6.6E-4</v>
      </c>
      <c r="M38" s="19">
        <v>2.7399999999999998E-3</v>
      </c>
      <c r="N38" s="19">
        <v>2.7399999999999998E-3</v>
      </c>
      <c r="O38" s="19">
        <v>2.7100000000000002E-3</v>
      </c>
      <c r="P38" s="19">
        <v>2.6800000000000001E-3</v>
      </c>
      <c r="Q38" s="19"/>
      <c r="R38" s="19">
        <f t="shared" si="2"/>
        <v>0</v>
      </c>
      <c r="S38" s="19">
        <f t="shared" si="3"/>
        <v>0</v>
      </c>
      <c r="T38" s="19">
        <f t="shared" si="4"/>
        <v>0</v>
      </c>
      <c r="U38" s="19">
        <f t="shared" si="5"/>
        <v>0</v>
      </c>
      <c r="V38" s="21">
        <f t="shared" si="6"/>
        <v>0</v>
      </c>
    </row>
    <row r="39" spans="1:22" ht="13.5" x14ac:dyDescent="0.35">
      <c r="A39" s="18">
        <v>100386</v>
      </c>
      <c r="B39" s="19" t="s">
        <v>65</v>
      </c>
      <c r="C39" s="19">
        <v>18</v>
      </c>
      <c r="D39" s="19">
        <v>101</v>
      </c>
      <c r="E39" s="19">
        <v>113</v>
      </c>
      <c r="F39" s="19">
        <v>174.71</v>
      </c>
      <c r="G39" s="19">
        <v>0</v>
      </c>
      <c r="H39" s="19">
        <v>174.71</v>
      </c>
      <c r="I39" s="20">
        <v>174.71</v>
      </c>
      <c r="J39" s="19">
        <f t="shared" si="0"/>
        <v>0</v>
      </c>
      <c r="K39" s="19">
        <f t="shared" si="1"/>
        <v>0</v>
      </c>
      <c r="L39" s="19">
        <v>-6.6E-4</v>
      </c>
      <c r="M39" s="19">
        <v>2.7499999999999998E-3</v>
      </c>
      <c r="N39" s="19">
        <v>2.7499999999999998E-3</v>
      </c>
      <c r="O39" s="19">
        <v>2.7100000000000002E-3</v>
      </c>
      <c r="P39" s="19">
        <v>2.6900000000000001E-3</v>
      </c>
      <c r="Q39" s="19"/>
      <c r="R39" s="19">
        <f t="shared" si="2"/>
        <v>0</v>
      </c>
      <c r="S39" s="19">
        <f t="shared" si="3"/>
        <v>0</v>
      </c>
      <c r="T39" s="19">
        <f t="shared" si="4"/>
        <v>0</v>
      </c>
      <c r="U39" s="19">
        <f t="shared" si="5"/>
        <v>0</v>
      </c>
      <c r="V39" s="21">
        <f t="shared" si="6"/>
        <v>0</v>
      </c>
    </row>
    <row r="40" spans="1:22" ht="13.5" x14ac:dyDescent="0.35">
      <c r="A40" s="18">
        <v>100387</v>
      </c>
      <c r="B40" s="19" t="s">
        <v>66</v>
      </c>
      <c r="C40" s="19">
        <v>18</v>
      </c>
      <c r="D40" s="19">
        <v>101</v>
      </c>
      <c r="E40" s="19">
        <v>113</v>
      </c>
      <c r="F40" s="19">
        <v>174.71</v>
      </c>
      <c r="G40" s="19">
        <v>0</v>
      </c>
      <c r="H40" s="19">
        <v>174.71</v>
      </c>
      <c r="I40" s="20">
        <v>174.71</v>
      </c>
      <c r="J40" s="19">
        <f t="shared" si="0"/>
        <v>0</v>
      </c>
      <c r="K40" s="19">
        <f t="shared" si="1"/>
        <v>0</v>
      </c>
      <c r="L40" s="19">
        <v>-6.6E-4</v>
      </c>
      <c r="M40" s="19">
        <v>2.7499999999999998E-3</v>
      </c>
      <c r="N40" s="19">
        <v>2.7499999999999998E-3</v>
      </c>
      <c r="O40" s="19">
        <v>2.7100000000000002E-3</v>
      </c>
      <c r="P40" s="19">
        <v>2.6900000000000001E-3</v>
      </c>
      <c r="Q40" s="19"/>
      <c r="R40" s="19">
        <f t="shared" si="2"/>
        <v>0</v>
      </c>
      <c r="S40" s="19">
        <f t="shared" si="3"/>
        <v>0</v>
      </c>
      <c r="T40" s="19">
        <f t="shared" si="4"/>
        <v>0</v>
      </c>
      <c r="U40" s="19">
        <f t="shared" si="5"/>
        <v>0</v>
      </c>
      <c r="V40" s="21">
        <f t="shared" si="6"/>
        <v>0</v>
      </c>
    </row>
    <row r="41" spans="1:22" ht="13.5" x14ac:dyDescent="0.35">
      <c r="A41" s="18">
        <v>100388</v>
      </c>
      <c r="B41" s="19" t="s">
        <v>67</v>
      </c>
      <c r="C41" s="19">
        <v>18</v>
      </c>
      <c r="D41" s="19">
        <v>101</v>
      </c>
      <c r="E41" s="19">
        <v>113</v>
      </c>
      <c r="F41" s="19">
        <v>180.58</v>
      </c>
      <c r="G41" s="19">
        <v>0</v>
      </c>
      <c r="H41" s="19">
        <v>180.58</v>
      </c>
      <c r="I41" s="20">
        <v>180.58</v>
      </c>
      <c r="J41" s="19">
        <f t="shared" si="0"/>
        <v>0</v>
      </c>
      <c r="K41" s="19">
        <f t="shared" si="1"/>
        <v>0</v>
      </c>
      <c r="L41" s="19">
        <v>-6.6E-4</v>
      </c>
      <c r="M41" s="19">
        <v>2.7499999999999998E-3</v>
      </c>
      <c r="N41" s="19">
        <v>2.7499999999999998E-3</v>
      </c>
      <c r="O41" s="19">
        <v>2.7100000000000002E-3</v>
      </c>
      <c r="P41" s="19">
        <v>2.6900000000000001E-3</v>
      </c>
      <c r="Q41" s="19"/>
      <c r="R41" s="19">
        <f t="shared" si="2"/>
        <v>0</v>
      </c>
      <c r="S41" s="19">
        <f t="shared" si="3"/>
        <v>0</v>
      </c>
      <c r="T41" s="19">
        <f t="shared" si="4"/>
        <v>0</v>
      </c>
      <c r="U41" s="19">
        <f t="shared" si="5"/>
        <v>0</v>
      </c>
      <c r="V41" s="21">
        <f t="shared" si="6"/>
        <v>0</v>
      </c>
    </row>
    <row r="42" spans="1:22" ht="13.5" x14ac:dyDescent="0.35">
      <c r="A42" s="18">
        <v>100389</v>
      </c>
      <c r="B42" s="19" t="s">
        <v>68</v>
      </c>
      <c r="C42" s="19">
        <v>18</v>
      </c>
      <c r="D42" s="19">
        <v>101</v>
      </c>
      <c r="E42" s="19">
        <v>113</v>
      </c>
      <c r="F42" s="19">
        <v>160.30000000000001</v>
      </c>
      <c r="G42" s="19">
        <v>0</v>
      </c>
      <c r="H42" s="19">
        <v>160.30000000000001</v>
      </c>
      <c r="I42" s="20">
        <v>160.30000000000001</v>
      </c>
      <c r="J42" s="19">
        <f t="shared" si="0"/>
        <v>0</v>
      </c>
      <c r="K42" s="19">
        <f t="shared" si="1"/>
        <v>0</v>
      </c>
      <c r="L42" s="19">
        <v>-6.6E-4</v>
      </c>
      <c r="M42" s="19">
        <v>2.7399999999999998E-3</v>
      </c>
      <c r="N42" s="19">
        <v>2.7399999999999998E-3</v>
      </c>
      <c r="O42" s="19">
        <v>2.7100000000000002E-3</v>
      </c>
      <c r="P42" s="19">
        <v>2.6800000000000001E-3</v>
      </c>
      <c r="Q42" s="19"/>
      <c r="R42" s="19">
        <f t="shared" si="2"/>
        <v>0</v>
      </c>
      <c r="S42" s="19">
        <f t="shared" si="3"/>
        <v>0</v>
      </c>
      <c r="T42" s="19">
        <f t="shared" si="4"/>
        <v>0</v>
      </c>
      <c r="U42" s="19">
        <f t="shared" si="5"/>
        <v>0</v>
      </c>
      <c r="V42" s="21">
        <f t="shared" si="6"/>
        <v>0</v>
      </c>
    </row>
    <row r="43" spans="1:22" ht="13.5" x14ac:dyDescent="0.35">
      <c r="A43" s="18">
        <v>100398</v>
      </c>
      <c r="B43" s="19" t="s">
        <v>69</v>
      </c>
      <c r="C43" s="19">
        <v>11.5</v>
      </c>
      <c r="D43" s="19">
        <v>101</v>
      </c>
      <c r="E43" s="19">
        <v>114</v>
      </c>
      <c r="F43" s="19">
        <v>6.77</v>
      </c>
      <c r="G43" s="19">
        <v>0</v>
      </c>
      <c r="H43" s="19">
        <v>6.77</v>
      </c>
      <c r="I43" s="20">
        <v>6.77</v>
      </c>
      <c r="J43" s="19">
        <f t="shared" si="0"/>
        <v>0</v>
      </c>
      <c r="K43" s="19">
        <f t="shared" si="1"/>
        <v>0</v>
      </c>
      <c r="L43" s="19">
        <v>-6.6E-4</v>
      </c>
      <c r="M43" s="19">
        <v>2.7399999999999998E-3</v>
      </c>
      <c r="N43" s="19">
        <v>2.7399999999999998E-3</v>
      </c>
      <c r="O43" s="19">
        <v>2.7100000000000002E-3</v>
      </c>
      <c r="P43" s="19">
        <v>2.6800000000000001E-3</v>
      </c>
      <c r="Q43" s="19"/>
      <c r="R43" s="19">
        <f t="shared" si="2"/>
        <v>0</v>
      </c>
      <c r="S43" s="19">
        <f t="shared" si="3"/>
        <v>0</v>
      </c>
      <c r="T43" s="19">
        <f t="shared" si="4"/>
        <v>0</v>
      </c>
      <c r="U43" s="19">
        <f t="shared" si="5"/>
        <v>0</v>
      </c>
      <c r="V43" s="21">
        <f t="shared" si="6"/>
        <v>0</v>
      </c>
    </row>
    <row r="44" spans="1:22" ht="13.5" x14ac:dyDescent="0.35">
      <c r="A44" s="18">
        <v>100399</v>
      </c>
      <c r="B44" s="19" t="s">
        <v>70</v>
      </c>
      <c r="C44" s="19">
        <v>11.5</v>
      </c>
      <c r="D44" s="19">
        <v>101</v>
      </c>
      <c r="E44" s="19">
        <v>114</v>
      </c>
      <c r="F44" s="19">
        <v>6.77</v>
      </c>
      <c r="G44" s="19">
        <v>0</v>
      </c>
      <c r="H44" s="19">
        <v>6.77</v>
      </c>
      <c r="I44" s="20">
        <v>6.77</v>
      </c>
      <c r="J44" s="19">
        <f t="shared" si="0"/>
        <v>0</v>
      </c>
      <c r="K44" s="19">
        <f t="shared" si="1"/>
        <v>0</v>
      </c>
      <c r="L44" s="19">
        <v>-6.6E-4</v>
      </c>
      <c r="M44" s="19">
        <v>2.7399999999999998E-3</v>
      </c>
      <c r="N44" s="19">
        <v>2.7399999999999998E-3</v>
      </c>
      <c r="O44" s="19">
        <v>2.7100000000000002E-3</v>
      </c>
      <c r="P44" s="19">
        <v>2.6800000000000001E-3</v>
      </c>
      <c r="Q44" s="19"/>
      <c r="R44" s="19">
        <f t="shared" si="2"/>
        <v>0</v>
      </c>
      <c r="S44" s="19">
        <f t="shared" si="3"/>
        <v>0</v>
      </c>
      <c r="T44" s="19">
        <f t="shared" si="4"/>
        <v>0</v>
      </c>
      <c r="U44" s="19">
        <f t="shared" si="5"/>
        <v>0</v>
      </c>
      <c r="V44" s="21">
        <f t="shared" si="6"/>
        <v>0</v>
      </c>
    </row>
    <row r="45" spans="1:22" ht="13.5" x14ac:dyDescent="0.35">
      <c r="A45" s="18">
        <v>100410</v>
      </c>
      <c r="B45" s="19" t="s">
        <v>71</v>
      </c>
      <c r="C45" s="19">
        <v>4.16</v>
      </c>
      <c r="D45" s="19">
        <v>101</v>
      </c>
      <c r="E45" s="19">
        <v>113</v>
      </c>
      <c r="F45" s="19">
        <v>7.83</v>
      </c>
      <c r="G45" s="19">
        <v>0</v>
      </c>
      <c r="H45" s="19">
        <v>7.83</v>
      </c>
      <c r="I45" s="20">
        <v>7.83</v>
      </c>
      <c r="J45" s="19">
        <f t="shared" si="0"/>
        <v>0</v>
      </c>
      <c r="K45" s="19">
        <f t="shared" si="1"/>
        <v>0</v>
      </c>
      <c r="L45" s="19">
        <v>-6.6E-4</v>
      </c>
      <c r="M45" s="19">
        <v>2.7399999999999998E-3</v>
      </c>
      <c r="N45" s="19">
        <v>2.7399999999999998E-3</v>
      </c>
      <c r="O45" s="19">
        <v>2.7100000000000002E-3</v>
      </c>
      <c r="P45" s="19">
        <v>2.6800000000000001E-3</v>
      </c>
      <c r="Q45" s="19"/>
      <c r="R45" s="19">
        <f t="shared" si="2"/>
        <v>0</v>
      </c>
      <c r="S45" s="19">
        <f t="shared" si="3"/>
        <v>0</v>
      </c>
      <c r="T45" s="19">
        <f t="shared" si="4"/>
        <v>0</v>
      </c>
      <c r="U45" s="19">
        <f t="shared" si="5"/>
        <v>0</v>
      </c>
      <c r="V45" s="21">
        <f t="shared" si="6"/>
        <v>0</v>
      </c>
    </row>
    <row r="46" spans="1:22" ht="13.5" x14ac:dyDescent="0.35">
      <c r="A46" s="18">
        <v>100411</v>
      </c>
      <c r="B46" s="19" t="s">
        <v>72</v>
      </c>
      <c r="C46" s="19">
        <v>4.16</v>
      </c>
      <c r="D46" s="19">
        <v>101</v>
      </c>
      <c r="E46" s="19">
        <v>114</v>
      </c>
      <c r="F46" s="19">
        <v>0</v>
      </c>
      <c r="G46" s="19">
        <v>0</v>
      </c>
      <c r="H46" s="19">
        <v>0</v>
      </c>
      <c r="I46" s="20">
        <v>0</v>
      </c>
      <c r="J46" s="19">
        <f t="shared" si="0"/>
        <v>0</v>
      </c>
      <c r="K46" s="19">
        <f t="shared" si="1"/>
        <v>0</v>
      </c>
      <c r="L46" s="19">
        <v>-6.6E-4</v>
      </c>
      <c r="M46" s="19">
        <v>2.7399999999999998E-3</v>
      </c>
      <c r="N46" s="19">
        <v>2.7399999999999998E-3</v>
      </c>
      <c r="O46" s="19">
        <v>2.7100000000000002E-3</v>
      </c>
      <c r="P46" s="19">
        <v>2.6800000000000001E-3</v>
      </c>
      <c r="Q46" s="19"/>
      <c r="R46" s="19">
        <f t="shared" si="2"/>
        <v>0</v>
      </c>
      <c r="S46" s="19">
        <f t="shared" si="3"/>
        <v>0</v>
      </c>
      <c r="T46" s="19">
        <f t="shared" si="4"/>
        <v>0</v>
      </c>
      <c r="U46" s="19">
        <f t="shared" si="5"/>
        <v>0</v>
      </c>
      <c r="V46" s="21">
        <f t="shared" si="6"/>
        <v>0</v>
      </c>
    </row>
    <row r="47" spans="1:22" ht="13.5" x14ac:dyDescent="0.35">
      <c r="A47" s="18">
        <v>100412</v>
      </c>
      <c r="B47" s="19" t="s">
        <v>73</v>
      </c>
      <c r="C47" s="19">
        <v>11.5</v>
      </c>
      <c r="D47" s="19">
        <v>101</v>
      </c>
      <c r="E47" s="19">
        <v>114</v>
      </c>
      <c r="F47" s="19">
        <v>15.45</v>
      </c>
      <c r="G47" s="19">
        <v>0</v>
      </c>
      <c r="H47" s="19">
        <v>15.45</v>
      </c>
      <c r="I47" s="20">
        <v>15.45</v>
      </c>
      <c r="J47" s="19">
        <f t="shared" si="0"/>
        <v>0</v>
      </c>
      <c r="K47" s="19">
        <f t="shared" si="1"/>
        <v>0</v>
      </c>
      <c r="L47" s="19">
        <v>-6.6E-4</v>
      </c>
      <c r="M47" s="19">
        <v>2.7399999999999998E-3</v>
      </c>
      <c r="N47" s="19">
        <v>2.7399999999999998E-3</v>
      </c>
      <c r="O47" s="19">
        <v>2.7100000000000002E-3</v>
      </c>
      <c r="P47" s="19">
        <v>2.6800000000000001E-3</v>
      </c>
      <c r="Q47" s="19"/>
      <c r="R47" s="19">
        <f t="shared" si="2"/>
        <v>0</v>
      </c>
      <c r="S47" s="19">
        <f t="shared" si="3"/>
        <v>0</v>
      </c>
      <c r="T47" s="19">
        <f t="shared" si="4"/>
        <v>0</v>
      </c>
      <c r="U47" s="19">
        <f t="shared" si="5"/>
        <v>0</v>
      </c>
      <c r="V47" s="21">
        <f t="shared" si="6"/>
        <v>0</v>
      </c>
    </row>
    <row r="48" spans="1:22" ht="13.5" x14ac:dyDescent="0.35">
      <c r="A48" s="18">
        <v>100413</v>
      </c>
      <c r="B48" s="19" t="s">
        <v>74</v>
      </c>
      <c r="C48" s="19">
        <v>11.5</v>
      </c>
      <c r="D48" s="19">
        <v>101</v>
      </c>
      <c r="E48" s="19">
        <v>114</v>
      </c>
      <c r="F48" s="19">
        <v>7.2</v>
      </c>
      <c r="G48" s="19">
        <v>0</v>
      </c>
      <c r="H48" s="19">
        <v>7.2</v>
      </c>
      <c r="I48" s="20">
        <v>7.2</v>
      </c>
      <c r="J48" s="19">
        <f t="shared" si="0"/>
        <v>0</v>
      </c>
      <c r="K48" s="19">
        <f t="shared" si="1"/>
        <v>0</v>
      </c>
      <c r="L48" s="19">
        <v>-6.6E-4</v>
      </c>
      <c r="M48" s="19">
        <v>2.7399999999999998E-3</v>
      </c>
      <c r="N48" s="19">
        <v>2.7399999999999998E-3</v>
      </c>
      <c r="O48" s="19">
        <v>2.7100000000000002E-3</v>
      </c>
      <c r="P48" s="19">
        <v>2.6800000000000001E-3</v>
      </c>
      <c r="Q48" s="19"/>
      <c r="R48" s="19">
        <f t="shared" si="2"/>
        <v>0</v>
      </c>
      <c r="S48" s="19">
        <f t="shared" si="3"/>
        <v>0</v>
      </c>
      <c r="T48" s="19">
        <f t="shared" si="4"/>
        <v>0</v>
      </c>
      <c r="U48" s="19">
        <f t="shared" si="5"/>
        <v>0</v>
      </c>
      <c r="V48" s="21">
        <f t="shared" si="6"/>
        <v>0</v>
      </c>
    </row>
    <row r="49" spans="1:22" ht="13.5" x14ac:dyDescent="0.35">
      <c r="A49" s="18">
        <v>100416</v>
      </c>
      <c r="B49" s="19" t="s">
        <v>75</v>
      </c>
      <c r="C49" s="19">
        <v>13.8</v>
      </c>
      <c r="D49" s="19">
        <v>101</v>
      </c>
      <c r="E49" s="19">
        <v>112</v>
      </c>
      <c r="F49" s="19">
        <v>10</v>
      </c>
      <c r="G49" s="19">
        <v>0</v>
      </c>
      <c r="H49" s="19">
        <v>10</v>
      </c>
      <c r="I49" s="20">
        <v>10</v>
      </c>
      <c r="J49" s="19">
        <f t="shared" si="0"/>
        <v>0</v>
      </c>
      <c r="K49" s="19">
        <f t="shared" si="1"/>
        <v>0</v>
      </c>
      <c r="L49" s="19">
        <v>-6.6E-4</v>
      </c>
      <c r="M49" s="19">
        <v>2.7399999999999998E-3</v>
      </c>
      <c r="N49" s="19">
        <v>2.7399999999999998E-3</v>
      </c>
      <c r="O49" s="19">
        <v>2.7100000000000002E-3</v>
      </c>
      <c r="P49" s="19">
        <v>2.6800000000000001E-3</v>
      </c>
      <c r="Q49" s="19"/>
      <c r="R49" s="19">
        <f t="shared" si="2"/>
        <v>0</v>
      </c>
      <c r="S49" s="19">
        <f t="shared" si="3"/>
        <v>0</v>
      </c>
      <c r="T49" s="19">
        <f t="shared" si="4"/>
        <v>0</v>
      </c>
      <c r="U49" s="19">
        <f t="shared" si="5"/>
        <v>0</v>
      </c>
      <c r="V49" s="21">
        <f t="shared" si="6"/>
        <v>0</v>
      </c>
    </row>
    <row r="50" spans="1:22" ht="13.5" x14ac:dyDescent="0.35">
      <c r="A50" s="18">
        <v>100418</v>
      </c>
      <c r="B50" s="19" t="s">
        <v>76</v>
      </c>
      <c r="C50" s="19">
        <v>13.8</v>
      </c>
      <c r="D50" s="19">
        <v>101</v>
      </c>
      <c r="E50" s="19">
        <v>112</v>
      </c>
      <c r="F50" s="19">
        <v>32.119999999999997</v>
      </c>
      <c r="G50" s="19">
        <v>0</v>
      </c>
      <c r="H50" s="19">
        <v>32.119999999999997</v>
      </c>
      <c r="I50" s="20">
        <v>32.119999999999997</v>
      </c>
      <c r="J50" s="19">
        <f t="shared" si="0"/>
        <v>0</v>
      </c>
      <c r="K50" s="19">
        <f t="shared" si="1"/>
        <v>0</v>
      </c>
      <c r="L50" s="19">
        <v>-6.6E-4</v>
      </c>
      <c r="M50" s="19">
        <v>2.7399999999999998E-3</v>
      </c>
      <c r="N50" s="19">
        <v>2.7399999999999998E-3</v>
      </c>
      <c r="O50" s="19">
        <v>2.7100000000000002E-3</v>
      </c>
      <c r="P50" s="19">
        <v>2.6900000000000001E-3</v>
      </c>
      <c r="Q50" s="19"/>
      <c r="R50" s="19">
        <f t="shared" si="2"/>
        <v>0</v>
      </c>
      <c r="S50" s="19">
        <f t="shared" si="3"/>
        <v>0</v>
      </c>
      <c r="T50" s="19">
        <f t="shared" si="4"/>
        <v>0</v>
      </c>
      <c r="U50" s="19">
        <f t="shared" si="5"/>
        <v>0</v>
      </c>
      <c r="V50" s="21">
        <f t="shared" si="6"/>
        <v>0</v>
      </c>
    </row>
    <row r="51" spans="1:22" ht="13.5" x14ac:dyDescent="0.35">
      <c r="A51" s="18">
        <v>100419</v>
      </c>
      <c r="B51" s="19" t="s">
        <v>77</v>
      </c>
      <c r="C51" s="19">
        <v>13.8</v>
      </c>
      <c r="D51" s="19">
        <v>101</v>
      </c>
      <c r="E51" s="19">
        <v>112</v>
      </c>
      <c r="F51" s="19">
        <v>10.95</v>
      </c>
      <c r="G51" s="19">
        <v>0</v>
      </c>
      <c r="H51" s="19">
        <v>10.95</v>
      </c>
      <c r="I51" s="20">
        <v>10.95</v>
      </c>
      <c r="J51" s="19">
        <f t="shared" si="0"/>
        <v>0</v>
      </c>
      <c r="K51" s="19">
        <f t="shared" si="1"/>
        <v>0</v>
      </c>
      <c r="L51" s="19">
        <v>-6.6E-4</v>
      </c>
      <c r="M51" s="19">
        <v>2.7399999999999998E-3</v>
      </c>
      <c r="N51" s="19">
        <v>2.7399999999999998E-3</v>
      </c>
      <c r="O51" s="19">
        <v>2.7100000000000002E-3</v>
      </c>
      <c r="P51" s="19">
        <v>2.6900000000000001E-3</v>
      </c>
      <c r="Q51" s="19"/>
      <c r="R51" s="19">
        <f t="shared" si="2"/>
        <v>0</v>
      </c>
      <c r="S51" s="19">
        <f t="shared" si="3"/>
        <v>0</v>
      </c>
      <c r="T51" s="19">
        <f t="shared" si="4"/>
        <v>0</v>
      </c>
      <c r="U51" s="19">
        <f t="shared" si="5"/>
        <v>0</v>
      </c>
      <c r="V51" s="21">
        <f t="shared" si="6"/>
        <v>0</v>
      </c>
    </row>
    <row r="52" spans="1:22" ht="13.5" x14ac:dyDescent="0.35">
      <c r="A52" s="18">
        <v>100420</v>
      </c>
      <c r="B52" s="19" t="s">
        <v>78</v>
      </c>
      <c r="C52" s="19">
        <v>13.8</v>
      </c>
      <c r="D52" s="19">
        <v>101</v>
      </c>
      <c r="E52" s="19">
        <v>112</v>
      </c>
      <c r="F52" s="19">
        <v>25</v>
      </c>
      <c r="G52" s="19">
        <v>0</v>
      </c>
      <c r="H52" s="19">
        <v>34.5</v>
      </c>
      <c r="I52" s="20">
        <v>25</v>
      </c>
      <c r="J52" s="19">
        <f t="shared" si="0"/>
        <v>0</v>
      </c>
      <c r="K52" s="19">
        <f t="shared" si="1"/>
        <v>9.5</v>
      </c>
      <c r="L52" s="19">
        <v>-6.6E-4</v>
      </c>
      <c r="M52" s="19">
        <v>2.7399999999999998E-3</v>
      </c>
      <c r="N52" s="19">
        <v>2.7399999999999998E-3</v>
      </c>
      <c r="O52" s="19">
        <v>2.7100000000000002E-3</v>
      </c>
      <c r="P52" s="19">
        <v>2.6800000000000001E-3</v>
      </c>
      <c r="Q52" s="19"/>
      <c r="R52" s="19">
        <f t="shared" si="2"/>
        <v>0</v>
      </c>
      <c r="S52" s="19">
        <f t="shared" si="3"/>
        <v>0</v>
      </c>
      <c r="T52" s="19">
        <f t="shared" si="4"/>
        <v>0</v>
      </c>
      <c r="U52" s="19">
        <f t="shared" si="5"/>
        <v>0</v>
      </c>
      <c r="V52" s="21">
        <f t="shared" si="6"/>
        <v>0</v>
      </c>
    </row>
    <row r="53" spans="1:22" ht="13.5" x14ac:dyDescent="0.35">
      <c r="A53" s="18">
        <v>100421</v>
      </c>
      <c r="B53" s="19" t="s">
        <v>79</v>
      </c>
      <c r="C53" s="19">
        <v>13.8</v>
      </c>
      <c r="D53" s="19">
        <v>101</v>
      </c>
      <c r="E53" s="19">
        <v>112</v>
      </c>
      <c r="F53" s="19">
        <v>10.5</v>
      </c>
      <c r="G53" s="19">
        <v>-24</v>
      </c>
      <c r="H53" s="19">
        <v>34.5</v>
      </c>
      <c r="I53" s="20">
        <v>10.5</v>
      </c>
      <c r="J53" s="19">
        <f t="shared" si="0"/>
        <v>0</v>
      </c>
      <c r="K53" s="19">
        <f t="shared" si="1"/>
        <v>24</v>
      </c>
      <c r="L53" s="19">
        <v>-6.6E-4</v>
      </c>
      <c r="M53" s="19">
        <v>2.7399999999999998E-3</v>
      </c>
      <c r="N53" s="19">
        <v>2.7399999999999998E-3</v>
      </c>
      <c r="O53" s="19">
        <v>2.7100000000000002E-3</v>
      </c>
      <c r="P53" s="19">
        <v>2.6800000000000001E-3</v>
      </c>
      <c r="Q53" s="19"/>
      <c r="R53" s="19">
        <f t="shared" si="2"/>
        <v>0</v>
      </c>
      <c r="S53" s="19">
        <f t="shared" si="3"/>
        <v>0</v>
      </c>
      <c r="T53" s="19">
        <f t="shared" si="4"/>
        <v>0</v>
      </c>
      <c r="U53" s="19">
        <f t="shared" si="5"/>
        <v>0</v>
      </c>
      <c r="V53" s="21">
        <f t="shared" si="6"/>
        <v>0</v>
      </c>
    </row>
    <row r="54" spans="1:22" ht="13.5" x14ac:dyDescent="0.35">
      <c r="A54" s="18">
        <v>100422</v>
      </c>
      <c r="B54" s="19" t="s">
        <v>80</v>
      </c>
      <c r="C54" s="19">
        <v>13.8</v>
      </c>
      <c r="D54" s="19">
        <v>101</v>
      </c>
      <c r="E54" s="19">
        <v>114</v>
      </c>
      <c r="F54" s="19">
        <v>0</v>
      </c>
      <c r="G54" s="19">
        <v>0</v>
      </c>
      <c r="H54" s="19">
        <v>0</v>
      </c>
      <c r="I54" s="20">
        <v>0</v>
      </c>
      <c r="J54" s="19">
        <f t="shared" si="0"/>
        <v>0</v>
      </c>
      <c r="K54" s="19">
        <f t="shared" si="1"/>
        <v>0</v>
      </c>
      <c r="L54" s="19">
        <v>-6.6E-4</v>
      </c>
      <c r="M54" s="19">
        <v>2.7399999999999998E-3</v>
      </c>
      <c r="N54" s="19">
        <v>2.7399999999999998E-3</v>
      </c>
      <c r="O54" s="19">
        <v>2.7100000000000002E-3</v>
      </c>
      <c r="P54" s="19">
        <v>2.6800000000000001E-3</v>
      </c>
      <c r="Q54" s="19"/>
      <c r="R54" s="19">
        <f t="shared" si="2"/>
        <v>0</v>
      </c>
      <c r="S54" s="19">
        <f t="shared" si="3"/>
        <v>0</v>
      </c>
      <c r="T54" s="19">
        <f t="shared" si="4"/>
        <v>0</v>
      </c>
      <c r="U54" s="19">
        <f t="shared" si="5"/>
        <v>0</v>
      </c>
      <c r="V54" s="21">
        <f t="shared" si="6"/>
        <v>0</v>
      </c>
    </row>
    <row r="55" spans="1:22" ht="13.5" x14ac:dyDescent="0.35">
      <c r="A55" s="18">
        <v>100423</v>
      </c>
      <c r="B55" s="19" t="s">
        <v>81</v>
      </c>
      <c r="C55" s="19">
        <v>13.8</v>
      </c>
      <c r="D55" s="19">
        <v>101</v>
      </c>
      <c r="E55" s="19">
        <v>114</v>
      </c>
      <c r="F55" s="19">
        <v>60</v>
      </c>
      <c r="G55" s="19">
        <v>0</v>
      </c>
      <c r="H55" s="19">
        <v>60</v>
      </c>
      <c r="I55" s="20">
        <v>60</v>
      </c>
      <c r="J55" s="19">
        <f t="shared" si="0"/>
        <v>0</v>
      </c>
      <c r="K55" s="19">
        <f t="shared" si="1"/>
        <v>0</v>
      </c>
      <c r="L55" s="19">
        <v>-6.6E-4</v>
      </c>
      <c r="M55" s="19">
        <v>2.7399999999999998E-3</v>
      </c>
      <c r="N55" s="19">
        <v>2.7399999999999998E-3</v>
      </c>
      <c r="O55" s="19">
        <v>2.7100000000000002E-3</v>
      </c>
      <c r="P55" s="19">
        <v>2.6800000000000001E-3</v>
      </c>
      <c r="Q55" s="19"/>
      <c r="R55" s="19">
        <f t="shared" si="2"/>
        <v>0</v>
      </c>
      <c r="S55" s="19">
        <f t="shared" si="3"/>
        <v>0</v>
      </c>
      <c r="T55" s="19">
        <f t="shared" si="4"/>
        <v>0</v>
      </c>
      <c r="U55" s="19">
        <f t="shared" si="5"/>
        <v>0</v>
      </c>
      <c r="V55" s="21">
        <f t="shared" si="6"/>
        <v>0</v>
      </c>
    </row>
    <row r="56" spans="1:22" ht="13.5" x14ac:dyDescent="0.35">
      <c r="A56" s="18">
        <v>100425</v>
      </c>
      <c r="B56" s="19" t="s">
        <v>82</v>
      </c>
      <c r="C56" s="19">
        <v>13.8</v>
      </c>
      <c r="D56" s="19">
        <v>101</v>
      </c>
      <c r="E56" s="19">
        <v>113</v>
      </c>
      <c r="F56" s="19">
        <v>119</v>
      </c>
      <c r="G56" s="19">
        <v>1</v>
      </c>
      <c r="H56" s="19">
        <v>119</v>
      </c>
      <c r="I56" s="20">
        <v>119</v>
      </c>
      <c r="J56" s="19">
        <f t="shared" si="0"/>
        <v>0</v>
      </c>
      <c r="K56" s="19">
        <f t="shared" si="1"/>
        <v>0</v>
      </c>
      <c r="L56" s="19">
        <v>-6.6E-4</v>
      </c>
      <c r="M56" s="19">
        <v>2.7399999999999998E-3</v>
      </c>
      <c r="N56" s="19">
        <v>2.7399999999999998E-3</v>
      </c>
      <c r="O56" s="19">
        <v>2.7100000000000002E-3</v>
      </c>
      <c r="P56" s="19">
        <v>2.6800000000000001E-3</v>
      </c>
      <c r="Q56" s="19"/>
      <c r="R56" s="19">
        <f t="shared" si="2"/>
        <v>0</v>
      </c>
      <c r="S56" s="19">
        <f t="shared" si="3"/>
        <v>0</v>
      </c>
      <c r="T56" s="19">
        <f t="shared" si="4"/>
        <v>0</v>
      </c>
      <c r="U56" s="19">
        <f t="shared" si="5"/>
        <v>0</v>
      </c>
      <c r="V56" s="21">
        <f t="shared" si="6"/>
        <v>0</v>
      </c>
    </row>
    <row r="57" spans="1:22" ht="13.5" x14ac:dyDescent="0.35">
      <c r="A57" s="18">
        <v>100427</v>
      </c>
      <c r="B57" s="19" t="s">
        <v>83</v>
      </c>
      <c r="C57" s="19">
        <v>2.2999999999999998</v>
      </c>
      <c r="D57" s="19">
        <v>101</v>
      </c>
      <c r="E57" s="19">
        <v>114</v>
      </c>
      <c r="F57" s="19">
        <v>0</v>
      </c>
      <c r="G57" s="19">
        <v>0</v>
      </c>
      <c r="H57" s="19">
        <v>0</v>
      </c>
      <c r="I57" s="20">
        <v>0</v>
      </c>
      <c r="J57" s="19">
        <f t="shared" si="0"/>
        <v>0</v>
      </c>
      <c r="K57" s="19">
        <f t="shared" si="1"/>
        <v>0</v>
      </c>
      <c r="L57" s="19">
        <v>-6.6E-4</v>
      </c>
      <c r="M57" s="19">
        <v>2.7399999999999998E-3</v>
      </c>
      <c r="N57" s="19">
        <v>2.7399999999999998E-3</v>
      </c>
      <c r="O57" s="19">
        <v>2.7100000000000002E-3</v>
      </c>
      <c r="P57" s="19">
        <v>2.6800000000000001E-3</v>
      </c>
      <c r="Q57" s="19"/>
      <c r="R57" s="19">
        <f t="shared" si="2"/>
        <v>0</v>
      </c>
      <c r="S57" s="19">
        <f t="shared" si="3"/>
        <v>0</v>
      </c>
      <c r="T57" s="19">
        <f t="shared" si="4"/>
        <v>0</v>
      </c>
      <c r="U57" s="19">
        <f t="shared" si="5"/>
        <v>0</v>
      </c>
      <c r="V57" s="21">
        <f t="shared" si="6"/>
        <v>0</v>
      </c>
    </row>
    <row r="58" spans="1:22" ht="13.5" x14ac:dyDescent="0.35">
      <c r="A58" s="18">
        <v>100428</v>
      </c>
      <c r="B58" s="19" t="s">
        <v>84</v>
      </c>
      <c r="C58" s="19">
        <v>4.16</v>
      </c>
      <c r="D58" s="19">
        <v>101</v>
      </c>
      <c r="E58" s="19">
        <v>114</v>
      </c>
      <c r="F58" s="19">
        <v>0</v>
      </c>
      <c r="G58" s="19">
        <v>0</v>
      </c>
      <c r="H58" s="19">
        <v>0</v>
      </c>
      <c r="I58" s="20">
        <v>0</v>
      </c>
      <c r="J58" s="19">
        <f t="shared" si="0"/>
        <v>0</v>
      </c>
      <c r="K58" s="19">
        <f t="shared" si="1"/>
        <v>0</v>
      </c>
      <c r="L58" s="19">
        <v>-6.6E-4</v>
      </c>
      <c r="M58" s="19">
        <v>2.7399999999999998E-3</v>
      </c>
      <c r="N58" s="19">
        <v>2.7399999999999998E-3</v>
      </c>
      <c r="O58" s="19">
        <v>2.7100000000000002E-3</v>
      </c>
      <c r="P58" s="19">
        <v>2.6800000000000001E-3</v>
      </c>
      <c r="Q58" s="19"/>
      <c r="R58" s="19">
        <f t="shared" si="2"/>
        <v>0</v>
      </c>
      <c r="S58" s="19">
        <f t="shared" si="3"/>
        <v>0</v>
      </c>
      <c r="T58" s="19">
        <f t="shared" si="4"/>
        <v>0</v>
      </c>
      <c r="U58" s="19">
        <f t="shared" si="5"/>
        <v>0</v>
      </c>
      <c r="V58" s="21">
        <f t="shared" si="6"/>
        <v>0</v>
      </c>
    </row>
    <row r="59" spans="1:22" ht="13.5" x14ac:dyDescent="0.35">
      <c r="A59" s="18">
        <v>100431</v>
      </c>
      <c r="B59" s="19" t="s">
        <v>85</v>
      </c>
      <c r="C59" s="19">
        <v>4.16</v>
      </c>
      <c r="D59" s="19">
        <v>101</v>
      </c>
      <c r="E59" s="19">
        <v>114</v>
      </c>
      <c r="F59" s="19">
        <v>0</v>
      </c>
      <c r="G59" s="19">
        <v>0</v>
      </c>
      <c r="H59" s="19">
        <v>0</v>
      </c>
      <c r="I59" s="20">
        <v>0</v>
      </c>
      <c r="J59" s="19">
        <f t="shared" si="0"/>
        <v>0</v>
      </c>
      <c r="K59" s="19">
        <f t="shared" si="1"/>
        <v>0</v>
      </c>
      <c r="L59" s="19">
        <v>-6.6E-4</v>
      </c>
      <c r="M59" s="19">
        <v>2.7399999999999998E-3</v>
      </c>
      <c r="N59" s="19">
        <v>2.7399999999999998E-3</v>
      </c>
      <c r="O59" s="19">
        <v>2.7100000000000002E-3</v>
      </c>
      <c r="P59" s="19">
        <v>2.6800000000000001E-3</v>
      </c>
      <c r="Q59" s="19"/>
      <c r="R59" s="19">
        <f t="shared" si="2"/>
        <v>0</v>
      </c>
      <c r="S59" s="19">
        <f t="shared" si="3"/>
        <v>0</v>
      </c>
      <c r="T59" s="19">
        <f t="shared" si="4"/>
        <v>0</v>
      </c>
      <c r="U59" s="19">
        <f t="shared" si="5"/>
        <v>0</v>
      </c>
      <c r="V59" s="21">
        <f t="shared" si="6"/>
        <v>0</v>
      </c>
    </row>
    <row r="60" spans="1:22" ht="13.5" x14ac:dyDescent="0.35">
      <c r="A60" s="18">
        <v>100432</v>
      </c>
      <c r="B60" s="19" t="s">
        <v>86</v>
      </c>
      <c r="C60" s="19">
        <v>13.8</v>
      </c>
      <c r="D60" s="19">
        <v>101</v>
      </c>
      <c r="E60" s="19">
        <v>112</v>
      </c>
      <c r="F60" s="19">
        <v>39.6</v>
      </c>
      <c r="G60" s="19">
        <v>0</v>
      </c>
      <c r="H60" s="19">
        <v>39.6</v>
      </c>
      <c r="I60" s="20">
        <v>39.6</v>
      </c>
      <c r="J60" s="19">
        <f t="shared" si="0"/>
        <v>0</v>
      </c>
      <c r="K60" s="19">
        <f t="shared" si="1"/>
        <v>0</v>
      </c>
      <c r="L60" s="19">
        <v>-6.6E-4</v>
      </c>
      <c r="M60" s="19">
        <v>2.7399999999999998E-3</v>
      </c>
      <c r="N60" s="19">
        <v>2.7399999999999998E-3</v>
      </c>
      <c r="O60" s="19">
        <v>2.7100000000000002E-3</v>
      </c>
      <c r="P60" s="19">
        <v>2.6800000000000001E-3</v>
      </c>
      <c r="Q60" s="19"/>
      <c r="R60" s="19">
        <f t="shared" si="2"/>
        <v>0</v>
      </c>
      <c r="S60" s="19">
        <f t="shared" si="3"/>
        <v>0</v>
      </c>
      <c r="T60" s="19">
        <f t="shared" si="4"/>
        <v>0</v>
      </c>
      <c r="U60" s="19">
        <f t="shared" si="5"/>
        <v>0</v>
      </c>
      <c r="V60" s="21">
        <f t="shared" si="6"/>
        <v>0</v>
      </c>
    </row>
    <row r="61" spans="1:22" ht="13.5" x14ac:dyDescent="0.35">
      <c r="A61" s="18">
        <v>100448</v>
      </c>
      <c r="B61" s="19" t="s">
        <v>87</v>
      </c>
      <c r="C61" s="19">
        <v>2.4</v>
      </c>
      <c r="D61" s="19">
        <v>101</v>
      </c>
      <c r="E61" s="19">
        <v>114</v>
      </c>
      <c r="F61" s="19">
        <v>0</v>
      </c>
      <c r="G61" s="19">
        <v>0</v>
      </c>
      <c r="H61" s="19">
        <v>0</v>
      </c>
      <c r="I61" s="20">
        <v>0</v>
      </c>
      <c r="J61" s="19">
        <f t="shared" si="0"/>
        <v>0</v>
      </c>
      <c r="K61" s="19">
        <f t="shared" si="1"/>
        <v>0</v>
      </c>
      <c r="L61" s="19">
        <v>-6.6E-4</v>
      </c>
      <c r="M61" s="19">
        <v>2.7499999999999998E-3</v>
      </c>
      <c r="N61" s="19">
        <v>2.7499999999999998E-3</v>
      </c>
      <c r="O61" s="19">
        <v>2.7100000000000002E-3</v>
      </c>
      <c r="P61" s="19">
        <v>2.6900000000000001E-3</v>
      </c>
      <c r="Q61" s="19"/>
      <c r="R61" s="19">
        <f t="shared" si="2"/>
        <v>0</v>
      </c>
      <c r="S61" s="19">
        <f t="shared" si="3"/>
        <v>0</v>
      </c>
      <c r="T61" s="19">
        <f t="shared" si="4"/>
        <v>0</v>
      </c>
      <c r="U61" s="19">
        <f t="shared" si="5"/>
        <v>0</v>
      </c>
      <c r="V61" s="21">
        <f t="shared" si="6"/>
        <v>0</v>
      </c>
    </row>
    <row r="62" spans="1:22" ht="13.5" x14ac:dyDescent="0.35">
      <c r="A62" s="18">
        <v>100449</v>
      </c>
      <c r="B62" s="19" t="s">
        <v>88</v>
      </c>
      <c r="C62" s="19">
        <v>2.4</v>
      </c>
      <c r="D62" s="19">
        <v>101</v>
      </c>
      <c r="E62" s="19">
        <v>114</v>
      </c>
      <c r="F62" s="19">
        <v>11.6</v>
      </c>
      <c r="G62" s="19">
        <v>0</v>
      </c>
      <c r="H62" s="19">
        <v>11.6</v>
      </c>
      <c r="I62" s="20">
        <v>11.6</v>
      </c>
      <c r="J62" s="19">
        <f t="shared" si="0"/>
        <v>0</v>
      </c>
      <c r="K62" s="19">
        <f t="shared" si="1"/>
        <v>0</v>
      </c>
      <c r="L62" s="19">
        <v>-6.6E-4</v>
      </c>
      <c r="M62" s="19">
        <v>2.7399999999999998E-3</v>
      </c>
      <c r="N62" s="19">
        <v>2.7399999999999998E-3</v>
      </c>
      <c r="O62" s="19">
        <v>2.7100000000000002E-3</v>
      </c>
      <c r="P62" s="19">
        <v>2.6900000000000001E-3</v>
      </c>
      <c r="Q62" s="19"/>
      <c r="R62" s="19">
        <f t="shared" si="2"/>
        <v>0</v>
      </c>
      <c r="S62" s="19">
        <f t="shared" si="3"/>
        <v>0</v>
      </c>
      <c r="T62" s="19">
        <f t="shared" si="4"/>
        <v>0</v>
      </c>
      <c r="U62" s="19">
        <f t="shared" si="5"/>
        <v>0</v>
      </c>
      <c r="V62" s="21">
        <f t="shared" si="6"/>
        <v>0</v>
      </c>
    </row>
    <row r="63" spans="1:22" ht="13.5" x14ac:dyDescent="0.35">
      <c r="A63" s="18">
        <v>100450</v>
      </c>
      <c r="B63" s="19" t="s">
        <v>89</v>
      </c>
      <c r="C63" s="19">
        <v>13.8</v>
      </c>
      <c r="D63" s="19">
        <v>101</v>
      </c>
      <c r="E63" s="19">
        <v>112</v>
      </c>
      <c r="F63" s="19">
        <v>0</v>
      </c>
      <c r="G63" s="19">
        <v>0</v>
      </c>
      <c r="H63" s="19">
        <v>0</v>
      </c>
      <c r="I63" s="20">
        <v>0</v>
      </c>
      <c r="J63" s="19">
        <f t="shared" si="0"/>
        <v>0</v>
      </c>
      <c r="K63" s="19">
        <f t="shared" si="1"/>
        <v>0</v>
      </c>
      <c r="L63" s="19">
        <v>-6.6E-4</v>
      </c>
      <c r="M63" s="19">
        <v>2.7399999999999998E-3</v>
      </c>
      <c r="N63" s="19">
        <v>2.7399999999999998E-3</v>
      </c>
      <c r="O63" s="19">
        <v>2.7100000000000002E-3</v>
      </c>
      <c r="P63" s="19">
        <v>2.6800000000000001E-3</v>
      </c>
      <c r="Q63" s="19"/>
      <c r="R63" s="19">
        <f t="shared" si="2"/>
        <v>0</v>
      </c>
      <c r="S63" s="19">
        <f t="shared" si="3"/>
        <v>0</v>
      </c>
      <c r="T63" s="19">
        <f t="shared" si="4"/>
        <v>0</v>
      </c>
      <c r="U63" s="19">
        <f t="shared" si="5"/>
        <v>0</v>
      </c>
      <c r="V63" s="21">
        <f t="shared" si="6"/>
        <v>0</v>
      </c>
    </row>
    <row r="64" spans="1:22" ht="13.5" x14ac:dyDescent="0.35">
      <c r="A64" s="18">
        <v>100460</v>
      </c>
      <c r="B64" s="19" t="s">
        <v>90</v>
      </c>
      <c r="C64" s="19">
        <v>12</v>
      </c>
      <c r="D64" s="19">
        <v>101</v>
      </c>
      <c r="E64" s="19">
        <v>114</v>
      </c>
      <c r="F64" s="19">
        <v>28</v>
      </c>
      <c r="G64" s="19">
        <v>0</v>
      </c>
      <c r="H64" s="19">
        <v>28</v>
      </c>
      <c r="I64" s="20">
        <v>28</v>
      </c>
      <c r="J64" s="19">
        <f t="shared" si="0"/>
        <v>0</v>
      </c>
      <c r="K64" s="19">
        <f t="shared" si="1"/>
        <v>0</v>
      </c>
      <c r="L64" s="19">
        <v>-6.6E-4</v>
      </c>
      <c r="M64" s="19">
        <v>2.7399999999999998E-3</v>
      </c>
      <c r="N64" s="19">
        <v>2.7399999999999998E-3</v>
      </c>
      <c r="O64" s="19">
        <v>2.7100000000000002E-3</v>
      </c>
      <c r="P64" s="19">
        <v>2.6800000000000001E-3</v>
      </c>
      <c r="Q64" s="19"/>
      <c r="R64" s="19">
        <f t="shared" si="2"/>
        <v>0</v>
      </c>
      <c r="S64" s="19">
        <f t="shared" si="3"/>
        <v>0</v>
      </c>
      <c r="T64" s="19">
        <f t="shared" si="4"/>
        <v>0</v>
      </c>
      <c r="U64" s="19">
        <f t="shared" si="5"/>
        <v>0</v>
      </c>
      <c r="V64" s="21">
        <f t="shared" si="6"/>
        <v>0</v>
      </c>
    </row>
    <row r="65" spans="1:22" ht="13.5" x14ac:dyDescent="0.35">
      <c r="A65" s="18">
        <v>100461</v>
      </c>
      <c r="B65" s="19" t="s">
        <v>91</v>
      </c>
      <c r="C65" s="19">
        <v>2.4</v>
      </c>
      <c r="D65" s="19">
        <v>101</v>
      </c>
      <c r="E65" s="19">
        <v>114</v>
      </c>
      <c r="F65" s="19">
        <v>0</v>
      </c>
      <c r="G65" s="19">
        <v>0</v>
      </c>
      <c r="H65" s="19">
        <v>0</v>
      </c>
      <c r="I65" s="20">
        <v>0</v>
      </c>
      <c r="J65" s="19">
        <f t="shared" si="0"/>
        <v>0</v>
      </c>
      <c r="K65" s="19">
        <f t="shared" si="1"/>
        <v>0</v>
      </c>
      <c r="L65" s="19">
        <v>-6.6E-4</v>
      </c>
      <c r="M65" s="19">
        <v>2.7399999999999998E-3</v>
      </c>
      <c r="N65" s="19">
        <v>2.7399999999999998E-3</v>
      </c>
      <c r="O65" s="19">
        <v>2.7100000000000002E-3</v>
      </c>
      <c r="P65" s="19">
        <v>2.6800000000000001E-3</v>
      </c>
      <c r="Q65" s="19"/>
      <c r="R65" s="19">
        <f t="shared" si="2"/>
        <v>0</v>
      </c>
      <c r="S65" s="19">
        <f t="shared" si="3"/>
        <v>0</v>
      </c>
      <c r="T65" s="19">
        <f t="shared" si="4"/>
        <v>0</v>
      </c>
      <c r="U65" s="19">
        <f t="shared" si="5"/>
        <v>0</v>
      </c>
      <c r="V65" s="21">
        <f t="shared" si="6"/>
        <v>0</v>
      </c>
    </row>
    <row r="66" spans="1:22" ht="13.5" x14ac:dyDescent="0.35">
      <c r="A66" s="18">
        <v>100462</v>
      </c>
      <c r="B66" s="19" t="s">
        <v>92</v>
      </c>
      <c r="C66" s="19">
        <v>13.2</v>
      </c>
      <c r="D66" s="19">
        <v>101</v>
      </c>
      <c r="E66" s="19">
        <v>114</v>
      </c>
      <c r="F66" s="19">
        <v>9.1999999999999993</v>
      </c>
      <c r="G66" s="19">
        <v>0</v>
      </c>
      <c r="H66" s="19">
        <v>9.1999999999999993</v>
      </c>
      <c r="I66" s="20">
        <v>9.1999999999999993</v>
      </c>
      <c r="J66" s="19">
        <f t="shared" si="0"/>
        <v>0</v>
      </c>
      <c r="K66" s="19">
        <f t="shared" si="1"/>
        <v>0</v>
      </c>
      <c r="L66" s="19">
        <v>-6.6E-4</v>
      </c>
      <c r="M66" s="19">
        <v>2.7399999999999998E-3</v>
      </c>
      <c r="N66" s="19">
        <v>2.7399999999999998E-3</v>
      </c>
      <c r="O66" s="19">
        <v>2.7100000000000002E-3</v>
      </c>
      <c r="P66" s="19">
        <v>2.6800000000000001E-3</v>
      </c>
      <c r="Q66" s="19"/>
      <c r="R66" s="19">
        <f t="shared" si="2"/>
        <v>0</v>
      </c>
      <c r="S66" s="19">
        <f t="shared" si="3"/>
        <v>0</v>
      </c>
      <c r="T66" s="19">
        <f t="shared" si="4"/>
        <v>0</v>
      </c>
      <c r="U66" s="19">
        <f t="shared" si="5"/>
        <v>0</v>
      </c>
      <c r="V66" s="21">
        <f t="shared" si="6"/>
        <v>0</v>
      </c>
    </row>
    <row r="67" spans="1:22" ht="13.5" x14ac:dyDescent="0.35">
      <c r="A67" s="18">
        <v>100463</v>
      </c>
      <c r="B67" s="19" t="s">
        <v>93</v>
      </c>
      <c r="C67" s="19">
        <v>6.9</v>
      </c>
      <c r="D67" s="19">
        <v>101</v>
      </c>
      <c r="E67" s="19">
        <v>114</v>
      </c>
      <c r="F67" s="19">
        <v>0</v>
      </c>
      <c r="G67" s="19">
        <v>0</v>
      </c>
      <c r="H67" s="19">
        <v>0</v>
      </c>
      <c r="I67" s="20">
        <v>0</v>
      </c>
      <c r="J67" s="19">
        <f t="shared" si="0"/>
        <v>0</v>
      </c>
      <c r="K67" s="19">
        <f t="shared" si="1"/>
        <v>0</v>
      </c>
      <c r="L67" s="19">
        <v>-6.6E-4</v>
      </c>
      <c r="M67" s="19">
        <v>2.7499999999999998E-3</v>
      </c>
      <c r="N67" s="19">
        <v>2.7499999999999998E-3</v>
      </c>
      <c r="O67" s="19">
        <v>2.7200000000000002E-3</v>
      </c>
      <c r="P67" s="19">
        <v>2.6900000000000001E-3</v>
      </c>
      <c r="Q67" s="19"/>
      <c r="R67" s="19">
        <f t="shared" si="2"/>
        <v>0</v>
      </c>
      <c r="S67" s="19">
        <f t="shared" si="3"/>
        <v>0</v>
      </c>
      <c r="T67" s="19">
        <f t="shared" si="4"/>
        <v>0</v>
      </c>
      <c r="U67" s="19">
        <f t="shared" si="5"/>
        <v>0</v>
      </c>
      <c r="V67" s="21">
        <f t="shared" si="6"/>
        <v>0</v>
      </c>
    </row>
    <row r="68" spans="1:22" ht="13.5" x14ac:dyDescent="0.35">
      <c r="A68" s="18">
        <v>100464</v>
      </c>
      <c r="B68" s="19" t="s">
        <v>94</v>
      </c>
      <c r="C68" s="19">
        <v>13.2</v>
      </c>
      <c r="D68" s="19">
        <v>101</v>
      </c>
      <c r="E68" s="19">
        <v>114</v>
      </c>
      <c r="F68" s="19">
        <v>0</v>
      </c>
      <c r="G68" s="19">
        <v>0</v>
      </c>
      <c r="H68" s="19">
        <v>0</v>
      </c>
      <c r="I68" s="20">
        <v>0</v>
      </c>
      <c r="J68" s="19">
        <f t="shared" si="0"/>
        <v>0</v>
      </c>
      <c r="K68" s="19">
        <f t="shared" si="1"/>
        <v>0</v>
      </c>
      <c r="L68" s="19">
        <v>-6.6E-4</v>
      </c>
      <c r="M68" s="19">
        <v>2.7499999999999998E-3</v>
      </c>
      <c r="N68" s="19">
        <v>2.7499999999999998E-3</v>
      </c>
      <c r="O68" s="19">
        <v>2.7100000000000002E-3</v>
      </c>
      <c r="P68" s="19">
        <v>2.6900000000000001E-3</v>
      </c>
      <c r="Q68" s="19"/>
      <c r="R68" s="19">
        <f t="shared" si="2"/>
        <v>0</v>
      </c>
      <c r="S68" s="19">
        <f t="shared" si="3"/>
        <v>0</v>
      </c>
      <c r="T68" s="19">
        <f t="shared" si="4"/>
        <v>0</v>
      </c>
      <c r="U68" s="19">
        <f t="shared" si="5"/>
        <v>0</v>
      </c>
      <c r="V68" s="21">
        <f t="shared" si="6"/>
        <v>0</v>
      </c>
    </row>
    <row r="69" spans="1:22" ht="13.5" x14ac:dyDescent="0.35">
      <c r="A69" s="18">
        <v>100465</v>
      </c>
      <c r="B69" s="19" t="s">
        <v>95</v>
      </c>
      <c r="C69" s="19">
        <v>13.2</v>
      </c>
      <c r="D69" s="19">
        <v>101</v>
      </c>
      <c r="E69" s="19">
        <v>113</v>
      </c>
      <c r="F69" s="19">
        <v>0</v>
      </c>
      <c r="G69" s="19">
        <v>0</v>
      </c>
      <c r="H69" s="19">
        <v>0</v>
      </c>
      <c r="I69" s="20">
        <v>0</v>
      </c>
      <c r="J69" s="19">
        <f t="shared" si="0"/>
        <v>0</v>
      </c>
      <c r="K69" s="19">
        <f t="shared" si="1"/>
        <v>0</v>
      </c>
      <c r="L69" s="19">
        <v>-6.6E-4</v>
      </c>
      <c r="M69" s="19">
        <v>2.7399999999999998E-3</v>
      </c>
      <c r="N69" s="19">
        <v>2.7399999999999998E-3</v>
      </c>
      <c r="O69" s="19">
        <v>2.7100000000000002E-3</v>
      </c>
      <c r="P69" s="19">
        <v>2.6900000000000001E-3</v>
      </c>
      <c r="Q69" s="19"/>
      <c r="R69" s="19">
        <f t="shared" si="2"/>
        <v>0</v>
      </c>
      <c r="S69" s="19">
        <f t="shared" si="3"/>
        <v>0</v>
      </c>
      <c r="T69" s="19">
        <f t="shared" si="4"/>
        <v>0</v>
      </c>
      <c r="U69" s="19">
        <f t="shared" si="5"/>
        <v>0</v>
      </c>
      <c r="V69" s="21">
        <f t="shared" si="6"/>
        <v>0</v>
      </c>
    </row>
    <row r="70" spans="1:22" ht="13.5" x14ac:dyDescent="0.35">
      <c r="A70" s="18">
        <v>100466</v>
      </c>
      <c r="B70" s="19" t="s">
        <v>96</v>
      </c>
      <c r="C70" s="19">
        <v>13.2</v>
      </c>
      <c r="D70" s="19">
        <v>101</v>
      </c>
      <c r="E70" s="19">
        <v>113</v>
      </c>
      <c r="F70" s="19">
        <v>0</v>
      </c>
      <c r="G70" s="19">
        <v>0</v>
      </c>
      <c r="H70" s="19">
        <v>0</v>
      </c>
      <c r="I70" s="20">
        <v>0</v>
      </c>
      <c r="J70" s="19">
        <f t="shared" si="0"/>
        <v>0</v>
      </c>
      <c r="K70" s="19">
        <f t="shared" si="1"/>
        <v>0</v>
      </c>
      <c r="L70" s="19">
        <v>-6.6E-4</v>
      </c>
      <c r="M70" s="19">
        <v>2.7399999999999998E-3</v>
      </c>
      <c r="N70" s="19">
        <v>2.7399999999999998E-3</v>
      </c>
      <c r="O70" s="19">
        <v>2.7100000000000002E-3</v>
      </c>
      <c r="P70" s="19">
        <v>2.6900000000000001E-3</v>
      </c>
      <c r="Q70" s="19"/>
      <c r="R70" s="19">
        <f t="shared" si="2"/>
        <v>0</v>
      </c>
      <c r="S70" s="19">
        <f t="shared" si="3"/>
        <v>0</v>
      </c>
      <c r="T70" s="19">
        <f t="shared" si="4"/>
        <v>0</v>
      </c>
      <c r="U70" s="19">
        <f t="shared" si="5"/>
        <v>0</v>
      </c>
      <c r="V70" s="21">
        <f t="shared" si="6"/>
        <v>0</v>
      </c>
    </row>
    <row r="71" spans="1:22" ht="13.5" x14ac:dyDescent="0.35">
      <c r="A71" s="18">
        <v>100468</v>
      </c>
      <c r="B71" s="19" t="s">
        <v>97</v>
      </c>
      <c r="C71" s="19">
        <v>7.2</v>
      </c>
      <c r="D71" s="19">
        <v>101</v>
      </c>
      <c r="E71" s="19">
        <v>114</v>
      </c>
      <c r="F71" s="19">
        <v>0</v>
      </c>
      <c r="G71" s="19">
        <v>0</v>
      </c>
      <c r="H71" s="19">
        <v>0</v>
      </c>
      <c r="I71" s="20">
        <v>0</v>
      </c>
      <c r="J71" s="19">
        <f t="shared" si="0"/>
        <v>0</v>
      </c>
      <c r="K71" s="19">
        <f t="shared" si="1"/>
        <v>0</v>
      </c>
      <c r="L71" s="19">
        <v>-6.6E-4</v>
      </c>
      <c r="M71" s="19">
        <v>2.7399999999999998E-3</v>
      </c>
      <c r="N71" s="19">
        <v>2.7399999999999998E-3</v>
      </c>
      <c r="O71" s="19">
        <v>2.7100000000000002E-3</v>
      </c>
      <c r="P71" s="19">
        <v>2.6800000000000001E-3</v>
      </c>
      <c r="Q71" s="19"/>
      <c r="R71" s="19">
        <f t="shared" si="2"/>
        <v>0</v>
      </c>
      <c r="S71" s="19">
        <f t="shared" si="3"/>
        <v>0</v>
      </c>
      <c r="T71" s="19">
        <f t="shared" si="4"/>
        <v>0</v>
      </c>
      <c r="U71" s="19">
        <f t="shared" si="5"/>
        <v>0</v>
      </c>
      <c r="V71" s="21">
        <f t="shared" si="6"/>
        <v>0</v>
      </c>
    </row>
    <row r="72" spans="1:22" ht="13.5" x14ac:dyDescent="0.35">
      <c r="A72" s="18">
        <v>100469</v>
      </c>
      <c r="B72" s="19" t="s">
        <v>98</v>
      </c>
      <c r="C72" s="19">
        <v>4.16</v>
      </c>
      <c r="D72" s="19">
        <v>101</v>
      </c>
      <c r="E72" s="19">
        <v>114</v>
      </c>
      <c r="F72" s="19">
        <v>19.399999999999999</v>
      </c>
      <c r="G72" s="19">
        <v>0</v>
      </c>
      <c r="H72" s="19">
        <v>19.399999999999999</v>
      </c>
      <c r="I72" s="20">
        <v>19.399999999999999</v>
      </c>
      <c r="J72" s="19">
        <f t="shared" si="0"/>
        <v>0</v>
      </c>
      <c r="K72" s="19">
        <f t="shared" si="1"/>
        <v>0</v>
      </c>
      <c r="L72" s="19">
        <v>-6.6E-4</v>
      </c>
      <c r="M72" s="19">
        <v>2.7399999999999998E-3</v>
      </c>
      <c r="N72" s="19">
        <v>2.7399999999999998E-3</v>
      </c>
      <c r="O72" s="19">
        <v>2.7100000000000002E-3</v>
      </c>
      <c r="P72" s="19">
        <v>2.6800000000000001E-3</v>
      </c>
      <c r="Q72" s="19"/>
      <c r="R72" s="19">
        <f t="shared" si="2"/>
        <v>0</v>
      </c>
      <c r="S72" s="19">
        <f t="shared" si="3"/>
        <v>0</v>
      </c>
      <c r="T72" s="19">
        <f t="shared" si="4"/>
        <v>0</v>
      </c>
      <c r="U72" s="19">
        <f t="shared" si="5"/>
        <v>0</v>
      </c>
      <c r="V72" s="21">
        <f t="shared" si="6"/>
        <v>0</v>
      </c>
    </row>
    <row r="73" spans="1:22" ht="13.5" x14ac:dyDescent="0.35">
      <c r="A73" s="18">
        <v>100470</v>
      </c>
      <c r="B73" s="19" t="s">
        <v>99</v>
      </c>
      <c r="C73" s="19">
        <v>4.16</v>
      </c>
      <c r="D73" s="19">
        <v>101</v>
      </c>
      <c r="E73" s="19">
        <v>114</v>
      </c>
      <c r="F73" s="19">
        <v>10.210000000000001</v>
      </c>
      <c r="G73" s="19">
        <v>0</v>
      </c>
      <c r="H73" s="19">
        <v>10.210000000000001</v>
      </c>
      <c r="I73" s="20">
        <v>10.210000000000001</v>
      </c>
      <c r="J73" s="19">
        <f t="shared" si="0"/>
        <v>0</v>
      </c>
      <c r="K73" s="19">
        <f t="shared" si="1"/>
        <v>0</v>
      </c>
      <c r="L73" s="19">
        <v>-6.6E-4</v>
      </c>
      <c r="M73" s="19">
        <v>2.7399999999999998E-3</v>
      </c>
      <c r="N73" s="19">
        <v>2.7399999999999998E-3</v>
      </c>
      <c r="O73" s="19">
        <v>2.7100000000000002E-3</v>
      </c>
      <c r="P73" s="19">
        <v>2.6800000000000001E-3</v>
      </c>
      <c r="Q73" s="19"/>
      <c r="R73" s="19">
        <f t="shared" si="2"/>
        <v>0</v>
      </c>
      <c r="S73" s="19">
        <f t="shared" si="3"/>
        <v>0</v>
      </c>
      <c r="T73" s="19">
        <f t="shared" si="4"/>
        <v>0</v>
      </c>
      <c r="U73" s="19">
        <f t="shared" si="5"/>
        <v>0</v>
      </c>
      <c r="V73" s="21">
        <f t="shared" si="6"/>
        <v>0</v>
      </c>
    </row>
    <row r="74" spans="1:22" ht="13.5" x14ac:dyDescent="0.35">
      <c r="A74" s="18">
        <v>100471</v>
      </c>
      <c r="B74" s="19" t="s">
        <v>100</v>
      </c>
      <c r="C74" s="19">
        <v>13.2</v>
      </c>
      <c r="D74" s="19">
        <v>101</v>
      </c>
      <c r="E74" s="19">
        <v>114</v>
      </c>
      <c r="F74" s="19">
        <v>20.2</v>
      </c>
      <c r="G74" s="19">
        <v>0</v>
      </c>
      <c r="H74" s="19">
        <v>20.2</v>
      </c>
      <c r="I74" s="20">
        <v>20.2</v>
      </c>
      <c r="J74" s="19">
        <f t="shared" si="0"/>
        <v>0</v>
      </c>
      <c r="K74" s="19">
        <f t="shared" si="1"/>
        <v>0</v>
      </c>
      <c r="L74" s="19">
        <v>-6.6E-4</v>
      </c>
      <c r="M74" s="19">
        <v>2.7399999999999998E-3</v>
      </c>
      <c r="N74" s="19">
        <v>2.7399999999999998E-3</v>
      </c>
      <c r="O74" s="19">
        <v>2.7100000000000002E-3</v>
      </c>
      <c r="P74" s="19">
        <v>2.6800000000000001E-3</v>
      </c>
      <c r="Q74" s="19"/>
      <c r="R74" s="19">
        <f t="shared" si="2"/>
        <v>0</v>
      </c>
      <c r="S74" s="19">
        <f t="shared" si="3"/>
        <v>0</v>
      </c>
      <c r="T74" s="19">
        <f t="shared" si="4"/>
        <v>0</v>
      </c>
      <c r="U74" s="19">
        <f t="shared" si="5"/>
        <v>0</v>
      </c>
      <c r="V74" s="21">
        <f t="shared" si="6"/>
        <v>0</v>
      </c>
    </row>
    <row r="75" spans="1:22" ht="13.5" x14ac:dyDescent="0.35">
      <c r="A75" s="18">
        <v>100473</v>
      </c>
      <c r="B75" s="19" t="s">
        <v>101</v>
      </c>
      <c r="C75" s="19">
        <v>6.9</v>
      </c>
      <c r="D75" s="19">
        <v>101</v>
      </c>
      <c r="E75" s="19">
        <v>114</v>
      </c>
      <c r="F75" s="19">
        <v>0</v>
      </c>
      <c r="G75" s="19">
        <v>0</v>
      </c>
      <c r="H75" s="19">
        <v>0</v>
      </c>
      <c r="I75" s="20">
        <v>0</v>
      </c>
      <c r="J75" s="19">
        <f t="shared" si="0"/>
        <v>0</v>
      </c>
      <c r="K75" s="19">
        <f t="shared" si="1"/>
        <v>0</v>
      </c>
      <c r="L75" s="19">
        <v>-6.6E-4</v>
      </c>
      <c r="M75" s="19">
        <v>2.7499999999999998E-3</v>
      </c>
      <c r="N75" s="19">
        <v>2.7499999999999998E-3</v>
      </c>
      <c r="O75" s="19">
        <v>2.7200000000000002E-3</v>
      </c>
      <c r="P75" s="19">
        <v>2.6900000000000001E-3</v>
      </c>
      <c r="Q75" s="19"/>
      <c r="R75" s="19">
        <f t="shared" si="2"/>
        <v>0</v>
      </c>
      <c r="S75" s="19">
        <f t="shared" si="3"/>
        <v>0</v>
      </c>
      <c r="T75" s="19">
        <f t="shared" si="4"/>
        <v>0</v>
      </c>
      <c r="U75" s="19">
        <f t="shared" si="5"/>
        <v>0</v>
      </c>
      <c r="V75" s="21">
        <f t="shared" si="6"/>
        <v>0</v>
      </c>
    </row>
    <row r="76" spans="1:22" ht="13.5" x14ac:dyDescent="0.35">
      <c r="A76" s="18">
        <v>100474</v>
      </c>
      <c r="B76" s="19" t="s">
        <v>102</v>
      </c>
      <c r="C76" s="19">
        <v>11.5</v>
      </c>
      <c r="D76" s="19">
        <v>101</v>
      </c>
      <c r="E76" s="19">
        <v>114</v>
      </c>
      <c r="F76" s="19">
        <v>8.9</v>
      </c>
      <c r="G76" s="19">
        <v>0</v>
      </c>
      <c r="H76" s="19">
        <v>8.9</v>
      </c>
      <c r="I76" s="20">
        <v>8.9</v>
      </c>
      <c r="J76" s="19">
        <f t="shared" si="0"/>
        <v>0</v>
      </c>
      <c r="K76" s="19">
        <f t="shared" si="1"/>
        <v>0</v>
      </c>
      <c r="L76" s="19">
        <v>-6.6E-4</v>
      </c>
      <c r="M76" s="19">
        <v>2.7499999999999998E-3</v>
      </c>
      <c r="N76" s="19">
        <v>2.7499999999999998E-3</v>
      </c>
      <c r="O76" s="19">
        <v>2.7200000000000002E-3</v>
      </c>
      <c r="P76" s="19">
        <v>2.6900000000000001E-3</v>
      </c>
      <c r="Q76" s="19"/>
      <c r="R76" s="19">
        <f t="shared" si="2"/>
        <v>0</v>
      </c>
      <c r="S76" s="19">
        <f t="shared" si="3"/>
        <v>0</v>
      </c>
      <c r="T76" s="19">
        <f t="shared" si="4"/>
        <v>0</v>
      </c>
      <c r="U76" s="19">
        <f t="shared" si="5"/>
        <v>0</v>
      </c>
      <c r="V76" s="21">
        <f t="shared" si="6"/>
        <v>0</v>
      </c>
    </row>
    <row r="77" spans="1:22" ht="13.5" x14ac:dyDescent="0.35">
      <c r="A77" s="18">
        <v>100475</v>
      </c>
      <c r="B77" s="19" t="s">
        <v>103</v>
      </c>
      <c r="C77" s="19">
        <v>13.2</v>
      </c>
      <c r="D77" s="19">
        <v>101</v>
      </c>
      <c r="E77" s="19">
        <v>114</v>
      </c>
      <c r="F77" s="19">
        <v>0</v>
      </c>
      <c r="G77" s="19">
        <v>0</v>
      </c>
      <c r="H77" s="19">
        <v>0</v>
      </c>
      <c r="I77" s="20">
        <v>0</v>
      </c>
      <c r="J77" s="19">
        <f t="shared" si="0"/>
        <v>0</v>
      </c>
      <c r="K77" s="19">
        <f t="shared" si="1"/>
        <v>0</v>
      </c>
      <c r="L77" s="19">
        <v>-6.6E-4</v>
      </c>
      <c r="M77" s="19">
        <v>2.7399999999999998E-3</v>
      </c>
      <c r="N77" s="19">
        <v>2.7399999999999998E-3</v>
      </c>
      <c r="O77" s="19">
        <v>2.7100000000000002E-3</v>
      </c>
      <c r="P77" s="19">
        <v>2.6900000000000001E-3</v>
      </c>
      <c r="Q77" s="19"/>
      <c r="R77" s="19">
        <f t="shared" si="2"/>
        <v>0</v>
      </c>
      <c r="S77" s="19">
        <f t="shared" si="3"/>
        <v>0</v>
      </c>
      <c r="T77" s="19">
        <f t="shared" si="4"/>
        <v>0</v>
      </c>
      <c r="U77" s="19">
        <f t="shared" si="5"/>
        <v>0</v>
      </c>
      <c r="V77" s="21">
        <f t="shared" si="6"/>
        <v>0</v>
      </c>
    </row>
    <row r="78" spans="1:22" ht="13.5" x14ac:dyDescent="0.35">
      <c r="A78" s="18">
        <v>100476</v>
      </c>
      <c r="B78" s="19" t="s">
        <v>104</v>
      </c>
      <c r="C78" s="19">
        <v>2.4</v>
      </c>
      <c r="D78" s="19">
        <v>101</v>
      </c>
      <c r="E78" s="19">
        <v>114</v>
      </c>
      <c r="F78" s="19">
        <v>0</v>
      </c>
      <c r="G78" s="19">
        <v>0</v>
      </c>
      <c r="H78" s="19">
        <v>0</v>
      </c>
      <c r="I78" s="20">
        <v>0</v>
      </c>
      <c r="J78" s="19">
        <f t="shared" ref="J78:J141" si="7">I78-F78</f>
        <v>0</v>
      </c>
      <c r="K78" s="19">
        <f t="shared" ref="K78:K141" si="8">H78-I78</f>
        <v>0</v>
      </c>
      <c r="L78" s="19">
        <v>-6.6E-4</v>
      </c>
      <c r="M78" s="19">
        <v>2.7499999999999998E-3</v>
      </c>
      <c r="N78" s="19">
        <v>2.7499999999999998E-3</v>
      </c>
      <c r="O78" s="19">
        <v>2.7200000000000002E-3</v>
      </c>
      <c r="P78" s="19">
        <v>2.6900000000000001E-3</v>
      </c>
      <c r="Q78" s="19"/>
      <c r="R78" s="19">
        <f t="shared" ref="R78:R141" si="9">L78*J78</f>
        <v>0</v>
      </c>
      <c r="S78" s="19">
        <f t="shared" ref="S78:S141" si="10">M78*J78</f>
        <v>0</v>
      </c>
      <c r="T78" s="19">
        <f t="shared" ref="T78:T141" si="11">N78*J78</f>
        <v>0</v>
      </c>
      <c r="U78" s="19">
        <f t="shared" ref="U78:U141" si="12">O78*J78</f>
        <v>0</v>
      </c>
      <c r="V78" s="21">
        <f t="shared" ref="V78:V141" si="13">P78*J78</f>
        <v>0</v>
      </c>
    </row>
    <row r="79" spans="1:22" ht="13.5" x14ac:dyDescent="0.35">
      <c r="A79" s="18">
        <v>100477</v>
      </c>
      <c r="B79" s="19" t="s">
        <v>105</v>
      </c>
      <c r="C79" s="19">
        <v>2.4</v>
      </c>
      <c r="D79" s="19">
        <v>101</v>
      </c>
      <c r="E79" s="19">
        <v>114</v>
      </c>
      <c r="F79" s="19">
        <v>0</v>
      </c>
      <c r="G79" s="19">
        <v>0</v>
      </c>
      <c r="H79" s="19">
        <v>0</v>
      </c>
      <c r="I79" s="20">
        <v>0</v>
      </c>
      <c r="J79" s="19">
        <f t="shared" si="7"/>
        <v>0</v>
      </c>
      <c r="K79" s="19">
        <f t="shared" si="8"/>
        <v>0</v>
      </c>
      <c r="L79" s="19">
        <v>-6.6E-4</v>
      </c>
      <c r="M79" s="19">
        <v>2.7399999999999998E-3</v>
      </c>
      <c r="N79" s="19">
        <v>2.7399999999999998E-3</v>
      </c>
      <c r="O79" s="19">
        <v>2.7100000000000002E-3</v>
      </c>
      <c r="P79" s="19">
        <v>2.6800000000000001E-3</v>
      </c>
      <c r="Q79" s="19"/>
      <c r="R79" s="19">
        <f t="shared" si="9"/>
        <v>0</v>
      </c>
      <c r="S79" s="19">
        <f t="shared" si="10"/>
        <v>0</v>
      </c>
      <c r="T79" s="19">
        <f t="shared" si="11"/>
        <v>0</v>
      </c>
      <c r="U79" s="19">
        <f t="shared" si="12"/>
        <v>0</v>
      </c>
      <c r="V79" s="21">
        <f t="shared" si="13"/>
        <v>0</v>
      </c>
    </row>
    <row r="80" spans="1:22" ht="13.5" x14ac:dyDescent="0.35">
      <c r="A80" s="18">
        <v>100478</v>
      </c>
      <c r="B80" s="19" t="s">
        <v>106</v>
      </c>
      <c r="C80" s="19">
        <v>2.4</v>
      </c>
      <c r="D80" s="19">
        <v>101</v>
      </c>
      <c r="E80" s="19">
        <v>114</v>
      </c>
      <c r="F80" s="19">
        <v>0</v>
      </c>
      <c r="G80" s="19">
        <v>0</v>
      </c>
      <c r="H80" s="19">
        <v>0</v>
      </c>
      <c r="I80" s="20">
        <v>0</v>
      </c>
      <c r="J80" s="19">
        <f t="shared" si="7"/>
        <v>0</v>
      </c>
      <c r="K80" s="19">
        <f t="shared" si="8"/>
        <v>0</v>
      </c>
      <c r="L80" s="19">
        <v>-6.6E-4</v>
      </c>
      <c r="M80" s="19">
        <v>2.7399999999999998E-3</v>
      </c>
      <c r="N80" s="19">
        <v>2.7399999999999998E-3</v>
      </c>
      <c r="O80" s="19">
        <v>2.7100000000000002E-3</v>
      </c>
      <c r="P80" s="19">
        <v>2.6800000000000001E-3</v>
      </c>
      <c r="Q80" s="19"/>
      <c r="R80" s="19">
        <f t="shared" si="9"/>
        <v>0</v>
      </c>
      <c r="S80" s="19">
        <f t="shared" si="10"/>
        <v>0</v>
      </c>
      <c r="T80" s="19">
        <f t="shared" si="11"/>
        <v>0</v>
      </c>
      <c r="U80" s="19">
        <f t="shared" si="12"/>
        <v>0</v>
      </c>
      <c r="V80" s="21">
        <f t="shared" si="13"/>
        <v>0</v>
      </c>
    </row>
    <row r="81" spans="1:22" ht="13.5" x14ac:dyDescent="0.35">
      <c r="A81" s="18">
        <v>100479</v>
      </c>
      <c r="B81" s="19" t="s">
        <v>107</v>
      </c>
      <c r="C81" s="19">
        <v>4</v>
      </c>
      <c r="D81" s="19">
        <v>101</v>
      </c>
      <c r="E81" s="19">
        <v>114</v>
      </c>
      <c r="F81" s="19">
        <v>0</v>
      </c>
      <c r="G81" s="19">
        <v>0</v>
      </c>
      <c r="H81" s="19">
        <v>0</v>
      </c>
      <c r="I81" s="20">
        <v>0</v>
      </c>
      <c r="J81" s="19">
        <f t="shared" si="7"/>
        <v>0</v>
      </c>
      <c r="K81" s="19">
        <f t="shared" si="8"/>
        <v>0</v>
      </c>
      <c r="L81" s="19">
        <v>-6.6E-4</v>
      </c>
      <c r="M81" s="19">
        <v>2.7399999999999998E-3</v>
      </c>
      <c r="N81" s="19">
        <v>2.7399999999999998E-3</v>
      </c>
      <c r="O81" s="19">
        <v>2.7100000000000002E-3</v>
      </c>
      <c r="P81" s="19">
        <v>2.6800000000000001E-3</v>
      </c>
      <c r="Q81" s="19"/>
      <c r="R81" s="19">
        <f t="shared" si="9"/>
        <v>0</v>
      </c>
      <c r="S81" s="19">
        <f t="shared" si="10"/>
        <v>0</v>
      </c>
      <c r="T81" s="19">
        <f t="shared" si="11"/>
        <v>0</v>
      </c>
      <c r="U81" s="19">
        <f t="shared" si="12"/>
        <v>0</v>
      </c>
      <c r="V81" s="21">
        <f t="shared" si="13"/>
        <v>0</v>
      </c>
    </row>
    <row r="82" spans="1:22" ht="13.5" x14ac:dyDescent="0.35">
      <c r="A82" s="18">
        <v>100480</v>
      </c>
      <c r="B82" s="19" t="s">
        <v>108</v>
      </c>
      <c r="C82" s="19">
        <v>4</v>
      </c>
      <c r="D82" s="19">
        <v>101</v>
      </c>
      <c r="E82" s="19">
        <v>114</v>
      </c>
      <c r="F82" s="19">
        <v>0</v>
      </c>
      <c r="G82" s="19">
        <v>0</v>
      </c>
      <c r="H82" s="19">
        <v>0</v>
      </c>
      <c r="I82" s="20">
        <v>0</v>
      </c>
      <c r="J82" s="19">
        <f t="shared" si="7"/>
        <v>0</v>
      </c>
      <c r="K82" s="19">
        <f t="shared" si="8"/>
        <v>0</v>
      </c>
      <c r="L82" s="19">
        <v>-6.6E-4</v>
      </c>
      <c r="M82" s="19">
        <v>2.7399999999999998E-3</v>
      </c>
      <c r="N82" s="19">
        <v>2.7399999999999998E-3</v>
      </c>
      <c r="O82" s="19">
        <v>2.7100000000000002E-3</v>
      </c>
      <c r="P82" s="19">
        <v>2.6800000000000001E-3</v>
      </c>
      <c r="Q82" s="19"/>
      <c r="R82" s="19">
        <f t="shared" si="9"/>
        <v>0</v>
      </c>
      <c r="S82" s="19">
        <f t="shared" si="10"/>
        <v>0</v>
      </c>
      <c r="T82" s="19">
        <f t="shared" si="11"/>
        <v>0</v>
      </c>
      <c r="U82" s="19">
        <f t="shared" si="12"/>
        <v>0</v>
      </c>
      <c r="V82" s="21">
        <f t="shared" si="13"/>
        <v>0</v>
      </c>
    </row>
    <row r="83" spans="1:22" ht="13.5" x14ac:dyDescent="0.35">
      <c r="A83" s="18">
        <v>100481</v>
      </c>
      <c r="B83" s="19" t="s">
        <v>109</v>
      </c>
      <c r="C83" s="19">
        <v>2.2999999999999998</v>
      </c>
      <c r="D83" s="19">
        <v>101</v>
      </c>
      <c r="E83" s="19">
        <v>114</v>
      </c>
      <c r="F83" s="19">
        <v>0</v>
      </c>
      <c r="G83" s="19">
        <v>0</v>
      </c>
      <c r="H83" s="19">
        <v>0</v>
      </c>
      <c r="I83" s="20">
        <v>0</v>
      </c>
      <c r="J83" s="19">
        <f t="shared" si="7"/>
        <v>0</v>
      </c>
      <c r="K83" s="19">
        <f t="shared" si="8"/>
        <v>0</v>
      </c>
      <c r="L83" s="19">
        <v>-6.6E-4</v>
      </c>
      <c r="M83" s="19">
        <v>2.7499999999999998E-3</v>
      </c>
      <c r="N83" s="19">
        <v>2.7499999999999998E-3</v>
      </c>
      <c r="O83" s="19">
        <v>2.7200000000000002E-3</v>
      </c>
      <c r="P83" s="19">
        <v>2.6900000000000001E-3</v>
      </c>
      <c r="Q83" s="19"/>
      <c r="R83" s="19">
        <f t="shared" si="9"/>
        <v>0</v>
      </c>
      <c r="S83" s="19">
        <f t="shared" si="10"/>
        <v>0</v>
      </c>
      <c r="T83" s="19">
        <f t="shared" si="11"/>
        <v>0</v>
      </c>
      <c r="U83" s="19">
        <f t="shared" si="12"/>
        <v>0</v>
      </c>
      <c r="V83" s="21">
        <f t="shared" si="13"/>
        <v>0</v>
      </c>
    </row>
    <row r="84" spans="1:22" ht="13.5" x14ac:dyDescent="0.35">
      <c r="A84" s="18">
        <v>100483</v>
      </c>
      <c r="B84" s="19" t="s">
        <v>110</v>
      </c>
      <c r="C84" s="19">
        <v>4.16</v>
      </c>
      <c r="D84" s="19">
        <v>101</v>
      </c>
      <c r="E84" s="19">
        <v>114</v>
      </c>
      <c r="F84" s="19">
        <v>6.8</v>
      </c>
      <c r="G84" s="19">
        <v>0</v>
      </c>
      <c r="H84" s="19">
        <v>6.8</v>
      </c>
      <c r="I84" s="20">
        <v>6.8</v>
      </c>
      <c r="J84" s="19">
        <f t="shared" si="7"/>
        <v>0</v>
      </c>
      <c r="K84" s="19">
        <f t="shared" si="8"/>
        <v>0</v>
      </c>
      <c r="L84" s="19">
        <v>-6.6E-4</v>
      </c>
      <c r="M84" s="19">
        <v>2.7399999999999998E-3</v>
      </c>
      <c r="N84" s="19">
        <v>2.7399999999999998E-3</v>
      </c>
      <c r="O84" s="19">
        <v>2.7100000000000002E-3</v>
      </c>
      <c r="P84" s="19">
        <v>2.6800000000000001E-3</v>
      </c>
      <c r="Q84" s="19"/>
      <c r="R84" s="19">
        <f t="shared" si="9"/>
        <v>0</v>
      </c>
      <c r="S84" s="19">
        <f t="shared" si="10"/>
        <v>0</v>
      </c>
      <c r="T84" s="19">
        <f t="shared" si="11"/>
        <v>0</v>
      </c>
      <c r="U84" s="19">
        <f t="shared" si="12"/>
        <v>0</v>
      </c>
      <c r="V84" s="21">
        <f t="shared" si="13"/>
        <v>0</v>
      </c>
    </row>
    <row r="85" spans="1:22" ht="13.5" x14ac:dyDescent="0.35">
      <c r="A85" s="18">
        <v>100484</v>
      </c>
      <c r="B85" s="19" t="s">
        <v>111</v>
      </c>
      <c r="C85" s="19">
        <v>34.5</v>
      </c>
      <c r="D85" s="19">
        <v>101</v>
      </c>
      <c r="E85" s="19">
        <v>112</v>
      </c>
      <c r="F85" s="19">
        <v>0</v>
      </c>
      <c r="G85" s="19">
        <v>0</v>
      </c>
      <c r="H85" s="19">
        <v>0</v>
      </c>
      <c r="I85" s="20">
        <v>0</v>
      </c>
      <c r="J85" s="19">
        <f t="shared" si="7"/>
        <v>0</v>
      </c>
      <c r="K85" s="19">
        <f t="shared" si="8"/>
        <v>0</v>
      </c>
      <c r="L85" s="19">
        <v>-6.6E-4</v>
      </c>
      <c r="M85" s="19">
        <v>2.7499999999999998E-3</v>
      </c>
      <c r="N85" s="19">
        <v>2.7499999999999998E-3</v>
      </c>
      <c r="O85" s="19">
        <v>2.7200000000000002E-3</v>
      </c>
      <c r="P85" s="19">
        <v>2.6900000000000001E-3</v>
      </c>
      <c r="Q85" s="19"/>
      <c r="R85" s="19">
        <f t="shared" si="9"/>
        <v>0</v>
      </c>
      <c r="S85" s="19">
        <f t="shared" si="10"/>
        <v>0</v>
      </c>
      <c r="T85" s="19">
        <f t="shared" si="11"/>
        <v>0</v>
      </c>
      <c r="U85" s="19">
        <f t="shared" si="12"/>
        <v>0</v>
      </c>
      <c r="V85" s="21">
        <f t="shared" si="13"/>
        <v>0</v>
      </c>
    </row>
    <row r="86" spans="1:22" ht="13.5" x14ac:dyDescent="0.35">
      <c r="A86" s="18">
        <v>100485</v>
      </c>
      <c r="B86" s="19" t="s">
        <v>112</v>
      </c>
      <c r="C86" s="19">
        <v>13.2</v>
      </c>
      <c r="D86" s="19">
        <v>101</v>
      </c>
      <c r="E86" s="19">
        <v>114</v>
      </c>
      <c r="F86" s="19">
        <v>6.14</v>
      </c>
      <c r="G86" s="19">
        <v>0</v>
      </c>
      <c r="H86" s="19">
        <v>6.14</v>
      </c>
      <c r="I86" s="20">
        <v>6.14</v>
      </c>
      <c r="J86" s="19">
        <f t="shared" si="7"/>
        <v>0</v>
      </c>
      <c r="K86" s="19">
        <f t="shared" si="8"/>
        <v>0</v>
      </c>
      <c r="L86" s="19">
        <v>-6.6E-4</v>
      </c>
      <c r="M86" s="19">
        <v>2.7399999999999998E-3</v>
      </c>
      <c r="N86" s="19">
        <v>2.7399999999999998E-3</v>
      </c>
      <c r="O86" s="19">
        <v>2.7100000000000002E-3</v>
      </c>
      <c r="P86" s="19">
        <v>2.6800000000000001E-3</v>
      </c>
      <c r="Q86" s="19"/>
      <c r="R86" s="19">
        <f t="shared" si="9"/>
        <v>0</v>
      </c>
      <c r="S86" s="19">
        <f t="shared" si="10"/>
        <v>0</v>
      </c>
      <c r="T86" s="19">
        <f t="shared" si="11"/>
        <v>0</v>
      </c>
      <c r="U86" s="19">
        <f t="shared" si="12"/>
        <v>0</v>
      </c>
      <c r="V86" s="21">
        <f t="shared" si="13"/>
        <v>0</v>
      </c>
    </row>
    <row r="87" spans="1:22" ht="13.5" x14ac:dyDescent="0.35">
      <c r="A87" s="18">
        <v>100486</v>
      </c>
      <c r="B87" s="19" t="s">
        <v>113</v>
      </c>
      <c r="C87" s="19">
        <v>13.2</v>
      </c>
      <c r="D87" s="19">
        <v>101</v>
      </c>
      <c r="E87" s="19">
        <v>114</v>
      </c>
      <c r="F87" s="19">
        <v>0</v>
      </c>
      <c r="G87" s="19">
        <v>0</v>
      </c>
      <c r="H87" s="19">
        <v>0</v>
      </c>
      <c r="I87" s="20">
        <v>0</v>
      </c>
      <c r="J87" s="19">
        <f t="shared" si="7"/>
        <v>0</v>
      </c>
      <c r="K87" s="19">
        <f t="shared" si="8"/>
        <v>0</v>
      </c>
      <c r="L87" s="19">
        <v>-6.6E-4</v>
      </c>
      <c r="M87" s="19">
        <v>2.7399999999999998E-3</v>
      </c>
      <c r="N87" s="19">
        <v>2.7399999999999998E-3</v>
      </c>
      <c r="O87" s="19">
        <v>2.7100000000000002E-3</v>
      </c>
      <c r="P87" s="19">
        <v>2.6800000000000001E-3</v>
      </c>
      <c r="Q87" s="19"/>
      <c r="R87" s="19">
        <f t="shared" si="9"/>
        <v>0</v>
      </c>
      <c r="S87" s="19">
        <f t="shared" si="10"/>
        <v>0</v>
      </c>
      <c r="T87" s="19">
        <f t="shared" si="11"/>
        <v>0</v>
      </c>
      <c r="U87" s="19">
        <f t="shared" si="12"/>
        <v>0</v>
      </c>
      <c r="V87" s="21">
        <f t="shared" si="13"/>
        <v>0</v>
      </c>
    </row>
    <row r="88" spans="1:22" ht="13.5" x14ac:dyDescent="0.35">
      <c r="A88" s="18">
        <v>100487</v>
      </c>
      <c r="B88" s="19" t="s">
        <v>114</v>
      </c>
      <c r="C88" s="19">
        <v>13.2</v>
      </c>
      <c r="D88" s="19">
        <v>101</v>
      </c>
      <c r="E88" s="19">
        <v>114</v>
      </c>
      <c r="F88" s="19">
        <v>0</v>
      </c>
      <c r="G88" s="19">
        <v>0</v>
      </c>
      <c r="H88" s="19">
        <v>0</v>
      </c>
      <c r="I88" s="20">
        <v>0</v>
      </c>
      <c r="J88" s="19">
        <f t="shared" si="7"/>
        <v>0</v>
      </c>
      <c r="K88" s="19">
        <f t="shared" si="8"/>
        <v>0</v>
      </c>
      <c r="L88" s="19">
        <v>-6.6E-4</v>
      </c>
      <c r="M88" s="19">
        <v>2.7399999999999998E-3</v>
      </c>
      <c r="N88" s="19">
        <v>2.7399999999999998E-3</v>
      </c>
      <c r="O88" s="19">
        <v>2.7100000000000002E-3</v>
      </c>
      <c r="P88" s="19">
        <v>2.6800000000000001E-3</v>
      </c>
      <c r="Q88" s="19"/>
      <c r="R88" s="19">
        <f t="shared" si="9"/>
        <v>0</v>
      </c>
      <c r="S88" s="19">
        <f t="shared" si="10"/>
        <v>0</v>
      </c>
      <c r="T88" s="19">
        <f t="shared" si="11"/>
        <v>0</v>
      </c>
      <c r="U88" s="19">
        <f t="shared" si="12"/>
        <v>0</v>
      </c>
      <c r="V88" s="21">
        <f t="shared" si="13"/>
        <v>0</v>
      </c>
    </row>
    <row r="89" spans="1:22" ht="13.5" x14ac:dyDescent="0.35">
      <c r="A89" s="18">
        <v>100492</v>
      </c>
      <c r="B89" s="19" t="s">
        <v>115</v>
      </c>
      <c r="C89" s="19">
        <v>0.53</v>
      </c>
      <c r="D89" s="19">
        <v>101</v>
      </c>
      <c r="E89" s="19">
        <v>113</v>
      </c>
      <c r="F89" s="19">
        <v>0</v>
      </c>
      <c r="G89" s="19">
        <v>0</v>
      </c>
      <c r="H89" s="19">
        <v>0</v>
      </c>
      <c r="I89" s="20">
        <v>0</v>
      </c>
      <c r="J89" s="19">
        <f t="shared" si="7"/>
        <v>0</v>
      </c>
      <c r="K89" s="19">
        <f t="shared" si="8"/>
        <v>0</v>
      </c>
      <c r="L89" s="19">
        <v>-6.6E-4</v>
      </c>
      <c r="M89" s="19">
        <v>2.7399999999999998E-3</v>
      </c>
      <c r="N89" s="19">
        <v>2.7399999999999998E-3</v>
      </c>
      <c r="O89" s="19">
        <v>2.7100000000000002E-3</v>
      </c>
      <c r="P89" s="19">
        <v>2.6900000000000001E-3</v>
      </c>
      <c r="Q89" s="19"/>
      <c r="R89" s="19">
        <f t="shared" si="9"/>
        <v>0</v>
      </c>
      <c r="S89" s="19">
        <f t="shared" si="10"/>
        <v>0</v>
      </c>
      <c r="T89" s="19">
        <f t="shared" si="11"/>
        <v>0</v>
      </c>
      <c r="U89" s="19">
        <f t="shared" si="12"/>
        <v>0</v>
      </c>
      <c r="V89" s="21">
        <f t="shared" si="13"/>
        <v>0</v>
      </c>
    </row>
    <row r="90" spans="1:22" ht="13.5" x14ac:dyDescent="0.35">
      <c r="A90" s="18">
        <v>100562</v>
      </c>
      <c r="B90" s="19" t="s">
        <v>116</v>
      </c>
      <c r="C90" s="19">
        <v>0.69</v>
      </c>
      <c r="D90" s="19">
        <v>101</v>
      </c>
      <c r="E90" s="19">
        <v>114</v>
      </c>
      <c r="F90" s="19">
        <v>0</v>
      </c>
      <c r="G90" s="19">
        <v>0</v>
      </c>
      <c r="H90" s="19">
        <v>0</v>
      </c>
      <c r="I90" s="20">
        <v>0</v>
      </c>
      <c r="J90" s="19">
        <f t="shared" si="7"/>
        <v>0</v>
      </c>
      <c r="K90" s="19">
        <f t="shared" si="8"/>
        <v>0</v>
      </c>
      <c r="L90" s="19">
        <v>-6.6E-4</v>
      </c>
      <c r="M90" s="19">
        <v>2.7399999999999998E-3</v>
      </c>
      <c r="N90" s="19">
        <v>2.7399999999999998E-3</v>
      </c>
      <c r="O90" s="19">
        <v>2.7100000000000002E-3</v>
      </c>
      <c r="P90" s="19">
        <v>2.6800000000000001E-3</v>
      </c>
      <c r="Q90" s="19"/>
      <c r="R90" s="19">
        <f t="shared" si="9"/>
        <v>0</v>
      </c>
      <c r="S90" s="19">
        <f t="shared" si="10"/>
        <v>0</v>
      </c>
      <c r="T90" s="19">
        <f t="shared" si="11"/>
        <v>0</v>
      </c>
      <c r="U90" s="19">
        <f t="shared" si="12"/>
        <v>0</v>
      </c>
      <c r="V90" s="21">
        <f t="shared" si="13"/>
        <v>0</v>
      </c>
    </row>
    <row r="91" spans="1:22" ht="13.5" x14ac:dyDescent="0.35">
      <c r="A91" s="18">
        <v>100688</v>
      </c>
      <c r="B91" s="19" t="s">
        <v>117</v>
      </c>
      <c r="C91" s="19">
        <v>4.16</v>
      </c>
      <c r="D91" s="19">
        <v>101</v>
      </c>
      <c r="E91" s="19">
        <v>134</v>
      </c>
      <c r="F91" s="19">
        <v>7.01</v>
      </c>
      <c r="G91" s="19">
        <v>0</v>
      </c>
      <c r="H91" s="19">
        <v>7.01</v>
      </c>
      <c r="I91" s="20">
        <v>7.01</v>
      </c>
      <c r="J91" s="19">
        <f t="shared" si="7"/>
        <v>0</v>
      </c>
      <c r="K91" s="19">
        <f t="shared" si="8"/>
        <v>0</v>
      </c>
      <c r="L91" s="19">
        <v>-6.6E-4</v>
      </c>
      <c r="M91" s="19">
        <v>2.7399999999999998E-3</v>
      </c>
      <c r="N91" s="19">
        <v>2.7399999999999998E-3</v>
      </c>
      <c r="O91" s="19">
        <v>2.7100000000000002E-3</v>
      </c>
      <c r="P91" s="19">
        <v>2.6800000000000001E-3</v>
      </c>
      <c r="Q91" s="19"/>
      <c r="R91" s="19">
        <f t="shared" si="9"/>
        <v>0</v>
      </c>
      <c r="S91" s="19">
        <f t="shared" si="10"/>
        <v>0</v>
      </c>
      <c r="T91" s="19">
        <f t="shared" si="11"/>
        <v>0</v>
      </c>
      <c r="U91" s="19">
        <f t="shared" si="12"/>
        <v>0</v>
      </c>
      <c r="V91" s="21">
        <f t="shared" si="13"/>
        <v>0</v>
      </c>
    </row>
    <row r="92" spans="1:22" ht="13.5" x14ac:dyDescent="0.35">
      <c r="A92" s="18">
        <v>100689</v>
      </c>
      <c r="B92" s="19" t="s">
        <v>118</v>
      </c>
      <c r="C92" s="19">
        <v>4.16</v>
      </c>
      <c r="D92" s="19">
        <v>101</v>
      </c>
      <c r="E92" s="19">
        <v>134</v>
      </c>
      <c r="F92" s="19">
        <v>0</v>
      </c>
      <c r="G92" s="19">
        <v>0</v>
      </c>
      <c r="H92" s="19">
        <v>0</v>
      </c>
      <c r="I92" s="20">
        <v>0</v>
      </c>
      <c r="J92" s="19">
        <f t="shared" si="7"/>
        <v>0</v>
      </c>
      <c r="K92" s="19">
        <f t="shared" si="8"/>
        <v>0</v>
      </c>
      <c r="L92" s="19">
        <v>-6.6E-4</v>
      </c>
      <c r="M92" s="19">
        <v>2.7399999999999998E-3</v>
      </c>
      <c r="N92" s="19">
        <v>2.7399999999999998E-3</v>
      </c>
      <c r="O92" s="19">
        <v>2.7100000000000002E-3</v>
      </c>
      <c r="P92" s="19">
        <v>2.6800000000000001E-3</v>
      </c>
      <c r="Q92" s="19"/>
      <c r="R92" s="19">
        <f t="shared" si="9"/>
        <v>0</v>
      </c>
      <c r="S92" s="19">
        <f t="shared" si="10"/>
        <v>0</v>
      </c>
      <c r="T92" s="19">
        <f t="shared" si="11"/>
        <v>0</v>
      </c>
      <c r="U92" s="19">
        <f t="shared" si="12"/>
        <v>0</v>
      </c>
      <c r="V92" s="21">
        <f t="shared" si="13"/>
        <v>0</v>
      </c>
    </row>
    <row r="93" spans="1:22" ht="13.5" x14ac:dyDescent="0.35">
      <c r="A93" s="18">
        <v>100690</v>
      </c>
      <c r="B93" s="19" t="s">
        <v>119</v>
      </c>
      <c r="C93" s="19">
        <v>4.2</v>
      </c>
      <c r="D93" s="19">
        <v>101</v>
      </c>
      <c r="E93" s="19">
        <v>134</v>
      </c>
      <c r="F93" s="19">
        <v>0</v>
      </c>
      <c r="G93" s="19">
        <v>0</v>
      </c>
      <c r="H93" s="19">
        <v>0</v>
      </c>
      <c r="I93" s="20">
        <v>0</v>
      </c>
      <c r="J93" s="19">
        <f t="shared" si="7"/>
        <v>0</v>
      </c>
      <c r="K93" s="19">
        <f t="shared" si="8"/>
        <v>0</v>
      </c>
      <c r="L93" s="19">
        <v>-6.6E-4</v>
      </c>
      <c r="M93" s="19">
        <v>2.7399999999999998E-3</v>
      </c>
      <c r="N93" s="19">
        <v>2.7399999999999998E-3</v>
      </c>
      <c r="O93" s="19">
        <v>2.7100000000000002E-3</v>
      </c>
      <c r="P93" s="19">
        <v>2.6800000000000001E-3</v>
      </c>
      <c r="Q93" s="19"/>
      <c r="R93" s="19">
        <f t="shared" si="9"/>
        <v>0</v>
      </c>
      <c r="S93" s="19">
        <f t="shared" si="10"/>
        <v>0</v>
      </c>
      <c r="T93" s="19">
        <f t="shared" si="11"/>
        <v>0</v>
      </c>
      <c r="U93" s="19">
        <f t="shared" si="12"/>
        <v>0</v>
      </c>
      <c r="V93" s="21">
        <f t="shared" si="13"/>
        <v>0</v>
      </c>
    </row>
    <row r="94" spans="1:22" ht="13.5" x14ac:dyDescent="0.35">
      <c r="A94" s="18">
        <v>100707</v>
      </c>
      <c r="B94" s="19" t="s">
        <v>120</v>
      </c>
      <c r="C94" s="19">
        <v>0.69</v>
      </c>
      <c r="D94" s="19">
        <v>101</v>
      </c>
      <c r="E94" s="19">
        <v>114</v>
      </c>
      <c r="F94" s="19">
        <v>6.8</v>
      </c>
      <c r="G94" s="19">
        <v>0</v>
      </c>
      <c r="H94" s="19">
        <v>6.8</v>
      </c>
      <c r="I94" s="20">
        <v>6.8</v>
      </c>
      <c r="J94" s="19">
        <f t="shared" si="7"/>
        <v>0</v>
      </c>
      <c r="K94" s="19">
        <f t="shared" si="8"/>
        <v>0</v>
      </c>
      <c r="L94" s="19">
        <v>-6.6E-4</v>
      </c>
      <c r="M94" s="19">
        <v>2.7399999999999998E-3</v>
      </c>
      <c r="N94" s="19">
        <v>2.7399999999999998E-3</v>
      </c>
      <c r="O94" s="19">
        <v>2.7100000000000002E-3</v>
      </c>
      <c r="P94" s="19">
        <v>2.6800000000000001E-3</v>
      </c>
      <c r="Q94" s="19"/>
      <c r="R94" s="19">
        <f t="shared" si="9"/>
        <v>0</v>
      </c>
      <c r="S94" s="19">
        <f t="shared" si="10"/>
        <v>0</v>
      </c>
      <c r="T94" s="19">
        <f t="shared" si="11"/>
        <v>0</v>
      </c>
      <c r="U94" s="19">
        <f t="shared" si="12"/>
        <v>0</v>
      </c>
      <c r="V94" s="21">
        <f t="shared" si="13"/>
        <v>0</v>
      </c>
    </row>
    <row r="95" spans="1:22" ht="13.5" x14ac:dyDescent="0.35">
      <c r="A95" s="18">
        <v>100708</v>
      </c>
      <c r="B95" s="19" t="s">
        <v>121</v>
      </c>
      <c r="C95" s="19">
        <v>0.69</v>
      </c>
      <c r="D95" s="19">
        <v>101</v>
      </c>
      <c r="E95" s="19">
        <v>114</v>
      </c>
      <c r="F95" s="19">
        <v>6.8</v>
      </c>
      <c r="G95" s="19">
        <v>0</v>
      </c>
      <c r="H95" s="19">
        <v>6.8</v>
      </c>
      <c r="I95" s="20">
        <v>6.8</v>
      </c>
      <c r="J95" s="19">
        <f t="shared" si="7"/>
        <v>0</v>
      </c>
      <c r="K95" s="19">
        <f t="shared" si="8"/>
        <v>0</v>
      </c>
      <c r="L95" s="19">
        <v>-6.6E-4</v>
      </c>
      <c r="M95" s="19">
        <v>2.7399999999999998E-3</v>
      </c>
      <c r="N95" s="19">
        <v>2.7399999999999998E-3</v>
      </c>
      <c r="O95" s="19">
        <v>2.7100000000000002E-3</v>
      </c>
      <c r="P95" s="19">
        <v>2.6800000000000001E-3</v>
      </c>
      <c r="Q95" s="19"/>
      <c r="R95" s="19">
        <f t="shared" si="9"/>
        <v>0</v>
      </c>
      <c r="S95" s="19">
        <f t="shared" si="10"/>
        <v>0</v>
      </c>
      <c r="T95" s="19">
        <f t="shared" si="11"/>
        <v>0</v>
      </c>
      <c r="U95" s="19">
        <f t="shared" si="12"/>
        <v>0</v>
      </c>
      <c r="V95" s="21">
        <f t="shared" si="13"/>
        <v>0</v>
      </c>
    </row>
    <row r="96" spans="1:22" ht="13.5" x14ac:dyDescent="0.35">
      <c r="A96" s="18">
        <v>100716</v>
      </c>
      <c r="B96" s="19" t="s">
        <v>122</v>
      </c>
      <c r="C96" s="19">
        <v>6</v>
      </c>
      <c r="D96" s="19">
        <v>101</v>
      </c>
      <c r="E96" s="19">
        <v>114</v>
      </c>
      <c r="F96" s="19">
        <v>0</v>
      </c>
      <c r="G96" s="19">
        <v>0</v>
      </c>
      <c r="H96" s="19">
        <v>0</v>
      </c>
      <c r="I96" s="20">
        <v>0</v>
      </c>
      <c r="J96" s="19">
        <f t="shared" si="7"/>
        <v>0</v>
      </c>
      <c r="K96" s="19">
        <f t="shared" si="8"/>
        <v>0</v>
      </c>
      <c r="L96" s="19">
        <v>-6.6E-4</v>
      </c>
      <c r="M96" s="19">
        <v>2.7399999999999998E-3</v>
      </c>
      <c r="N96" s="19">
        <v>2.7399999999999998E-3</v>
      </c>
      <c r="O96" s="19">
        <v>2.7100000000000002E-3</v>
      </c>
      <c r="P96" s="19">
        <v>2.6800000000000001E-3</v>
      </c>
      <c r="Q96" s="19"/>
      <c r="R96" s="19">
        <f t="shared" si="9"/>
        <v>0</v>
      </c>
      <c r="S96" s="19">
        <f t="shared" si="10"/>
        <v>0</v>
      </c>
      <c r="T96" s="19">
        <f t="shared" si="11"/>
        <v>0</v>
      </c>
      <c r="U96" s="19">
        <f t="shared" si="12"/>
        <v>0</v>
      </c>
      <c r="V96" s="21">
        <f t="shared" si="13"/>
        <v>0</v>
      </c>
    </row>
    <row r="97" spans="1:22" ht="13.5" x14ac:dyDescent="0.35">
      <c r="A97" s="18">
        <v>100721</v>
      </c>
      <c r="B97" s="19" t="s">
        <v>123</v>
      </c>
      <c r="C97" s="19">
        <v>0.69</v>
      </c>
      <c r="D97" s="19">
        <v>101</v>
      </c>
      <c r="E97" s="19">
        <v>114</v>
      </c>
      <c r="F97" s="19">
        <v>0</v>
      </c>
      <c r="G97" s="19">
        <v>0</v>
      </c>
      <c r="H97" s="19">
        <v>0</v>
      </c>
      <c r="I97" s="20">
        <v>0</v>
      </c>
      <c r="J97" s="19">
        <f t="shared" si="7"/>
        <v>0</v>
      </c>
      <c r="K97" s="19">
        <f t="shared" si="8"/>
        <v>0</v>
      </c>
      <c r="L97" s="19">
        <v>-6.6E-4</v>
      </c>
      <c r="M97" s="19">
        <v>2.7399999999999998E-3</v>
      </c>
      <c r="N97" s="19">
        <v>2.7399999999999998E-3</v>
      </c>
      <c r="O97" s="19">
        <v>2.7100000000000002E-3</v>
      </c>
      <c r="P97" s="19">
        <v>2.6800000000000001E-3</v>
      </c>
      <c r="Q97" s="19"/>
      <c r="R97" s="19">
        <f t="shared" si="9"/>
        <v>0</v>
      </c>
      <c r="S97" s="19">
        <f t="shared" si="10"/>
        <v>0</v>
      </c>
      <c r="T97" s="19">
        <f t="shared" si="11"/>
        <v>0</v>
      </c>
      <c r="U97" s="19">
        <f t="shared" si="12"/>
        <v>0</v>
      </c>
      <c r="V97" s="21">
        <f t="shared" si="13"/>
        <v>0</v>
      </c>
    </row>
    <row r="98" spans="1:22" ht="13.5" x14ac:dyDescent="0.35">
      <c r="A98" s="18">
        <v>100724</v>
      </c>
      <c r="B98" s="19" t="s">
        <v>124</v>
      </c>
      <c r="C98" s="19">
        <v>6</v>
      </c>
      <c r="D98" s="19">
        <v>101</v>
      </c>
      <c r="E98" s="19">
        <v>114</v>
      </c>
      <c r="F98" s="19">
        <v>3.75</v>
      </c>
      <c r="G98" s="19">
        <v>0</v>
      </c>
      <c r="H98" s="19">
        <v>3.75</v>
      </c>
      <c r="I98" s="20">
        <v>3.75</v>
      </c>
      <c r="J98" s="19">
        <f t="shared" si="7"/>
        <v>0</v>
      </c>
      <c r="K98" s="19">
        <f t="shared" si="8"/>
        <v>0</v>
      </c>
      <c r="L98" s="19">
        <v>-6.6E-4</v>
      </c>
      <c r="M98" s="19">
        <v>2.7399999999999998E-3</v>
      </c>
      <c r="N98" s="19">
        <v>2.7399999999999998E-3</v>
      </c>
      <c r="O98" s="19">
        <v>2.7100000000000002E-3</v>
      </c>
      <c r="P98" s="19">
        <v>2.6800000000000001E-3</v>
      </c>
      <c r="Q98" s="19"/>
      <c r="R98" s="19">
        <f t="shared" si="9"/>
        <v>0</v>
      </c>
      <c r="S98" s="19">
        <f t="shared" si="10"/>
        <v>0</v>
      </c>
      <c r="T98" s="19">
        <f t="shared" si="11"/>
        <v>0</v>
      </c>
      <c r="U98" s="19">
        <f t="shared" si="12"/>
        <v>0</v>
      </c>
      <c r="V98" s="21">
        <f t="shared" si="13"/>
        <v>0</v>
      </c>
    </row>
    <row r="99" spans="1:22" ht="13.5" x14ac:dyDescent="0.35">
      <c r="A99" s="18">
        <v>100735</v>
      </c>
      <c r="B99" s="19" t="s">
        <v>125</v>
      </c>
      <c r="C99" s="19">
        <v>0.65</v>
      </c>
      <c r="D99" s="19">
        <v>101</v>
      </c>
      <c r="E99" s="19">
        <v>113</v>
      </c>
      <c r="F99" s="19">
        <v>0</v>
      </c>
      <c r="G99" s="19">
        <v>0</v>
      </c>
      <c r="H99" s="19">
        <v>0</v>
      </c>
      <c r="I99" s="20">
        <v>0</v>
      </c>
      <c r="J99" s="19">
        <f t="shared" si="7"/>
        <v>0</v>
      </c>
      <c r="K99" s="19">
        <f t="shared" si="8"/>
        <v>0</v>
      </c>
      <c r="L99" s="19">
        <v>-6.6E-4</v>
      </c>
      <c r="M99" s="19">
        <v>2.7399999999999998E-3</v>
      </c>
      <c r="N99" s="19">
        <v>2.7399999999999998E-3</v>
      </c>
      <c r="O99" s="19">
        <v>2.7100000000000002E-3</v>
      </c>
      <c r="P99" s="19">
        <v>2.6800000000000001E-3</v>
      </c>
      <c r="Q99" s="19"/>
      <c r="R99" s="19">
        <f t="shared" si="9"/>
        <v>0</v>
      </c>
      <c r="S99" s="19">
        <f t="shared" si="10"/>
        <v>0</v>
      </c>
      <c r="T99" s="19">
        <f t="shared" si="11"/>
        <v>0</v>
      </c>
      <c r="U99" s="19">
        <f t="shared" si="12"/>
        <v>0</v>
      </c>
      <c r="V99" s="21">
        <f t="shared" si="13"/>
        <v>0</v>
      </c>
    </row>
    <row r="100" spans="1:22" ht="13.5" x14ac:dyDescent="0.35">
      <c r="A100" s="18">
        <v>100736</v>
      </c>
      <c r="B100" s="19" t="s">
        <v>126</v>
      </c>
      <c r="C100" s="19">
        <v>0.65</v>
      </c>
      <c r="D100" s="19">
        <v>101</v>
      </c>
      <c r="E100" s="19">
        <v>113</v>
      </c>
      <c r="F100" s="19">
        <v>4.9800000000000004</v>
      </c>
      <c r="G100" s="19">
        <v>0</v>
      </c>
      <c r="H100" s="19">
        <v>4.9800000000000004</v>
      </c>
      <c r="I100" s="20">
        <v>4.9800000000000004</v>
      </c>
      <c r="J100" s="19">
        <f t="shared" si="7"/>
        <v>0</v>
      </c>
      <c r="K100" s="19">
        <f t="shared" si="8"/>
        <v>0</v>
      </c>
      <c r="L100" s="19">
        <v>-6.6E-4</v>
      </c>
      <c r="M100" s="19">
        <v>2.7399999999999998E-3</v>
      </c>
      <c r="N100" s="19">
        <v>2.7399999999999998E-3</v>
      </c>
      <c r="O100" s="19">
        <v>2.7100000000000002E-3</v>
      </c>
      <c r="P100" s="19">
        <v>2.6800000000000001E-3</v>
      </c>
      <c r="Q100" s="19"/>
      <c r="R100" s="19">
        <f t="shared" si="9"/>
        <v>0</v>
      </c>
      <c r="S100" s="19">
        <f t="shared" si="10"/>
        <v>0</v>
      </c>
      <c r="T100" s="19">
        <f t="shared" si="11"/>
        <v>0</v>
      </c>
      <c r="U100" s="19">
        <f t="shared" si="12"/>
        <v>0</v>
      </c>
      <c r="V100" s="21">
        <f t="shared" si="13"/>
        <v>0</v>
      </c>
    </row>
    <row r="101" spans="1:22" ht="13.5" x14ac:dyDescent="0.35">
      <c r="A101" s="18">
        <v>100737</v>
      </c>
      <c r="B101" s="19" t="s">
        <v>127</v>
      </c>
      <c r="C101" s="19">
        <v>0.65</v>
      </c>
      <c r="D101" s="19">
        <v>101</v>
      </c>
      <c r="E101" s="19">
        <v>113</v>
      </c>
      <c r="F101" s="19">
        <v>6.09</v>
      </c>
      <c r="G101" s="19">
        <v>0</v>
      </c>
      <c r="H101" s="19">
        <v>6.09</v>
      </c>
      <c r="I101" s="20">
        <v>6.09</v>
      </c>
      <c r="J101" s="19">
        <f t="shared" si="7"/>
        <v>0</v>
      </c>
      <c r="K101" s="19">
        <f t="shared" si="8"/>
        <v>0</v>
      </c>
      <c r="L101" s="19">
        <v>-6.6E-4</v>
      </c>
      <c r="M101" s="19">
        <v>2.7399999999999998E-3</v>
      </c>
      <c r="N101" s="19">
        <v>2.7399999999999998E-3</v>
      </c>
      <c r="O101" s="19">
        <v>2.7100000000000002E-3</v>
      </c>
      <c r="P101" s="19">
        <v>2.6800000000000001E-3</v>
      </c>
      <c r="Q101" s="19"/>
      <c r="R101" s="19">
        <f t="shared" si="9"/>
        <v>0</v>
      </c>
      <c r="S101" s="19">
        <f t="shared" si="10"/>
        <v>0</v>
      </c>
      <c r="T101" s="19">
        <f t="shared" si="11"/>
        <v>0</v>
      </c>
      <c r="U101" s="19">
        <f t="shared" si="12"/>
        <v>0</v>
      </c>
      <c r="V101" s="21">
        <f t="shared" si="13"/>
        <v>0</v>
      </c>
    </row>
    <row r="102" spans="1:22" ht="13.5" x14ac:dyDescent="0.35">
      <c r="A102" s="18">
        <v>100738</v>
      </c>
      <c r="B102" s="19" t="s">
        <v>128</v>
      </c>
      <c r="C102" s="19">
        <v>0.65</v>
      </c>
      <c r="D102" s="19">
        <v>101</v>
      </c>
      <c r="E102" s="19">
        <v>113</v>
      </c>
      <c r="F102" s="19">
        <v>5.53</v>
      </c>
      <c r="G102" s="19">
        <v>0</v>
      </c>
      <c r="H102" s="19">
        <v>5.53</v>
      </c>
      <c r="I102" s="20">
        <v>5.53</v>
      </c>
      <c r="J102" s="19">
        <f t="shared" si="7"/>
        <v>0</v>
      </c>
      <c r="K102" s="19">
        <f t="shared" si="8"/>
        <v>0</v>
      </c>
      <c r="L102" s="19">
        <v>-6.6E-4</v>
      </c>
      <c r="M102" s="19">
        <v>2.7399999999999998E-3</v>
      </c>
      <c r="N102" s="19">
        <v>2.7399999999999998E-3</v>
      </c>
      <c r="O102" s="19">
        <v>2.7100000000000002E-3</v>
      </c>
      <c r="P102" s="19">
        <v>2.6800000000000001E-3</v>
      </c>
      <c r="Q102" s="19"/>
      <c r="R102" s="19">
        <f t="shared" si="9"/>
        <v>0</v>
      </c>
      <c r="S102" s="19">
        <f t="shared" si="10"/>
        <v>0</v>
      </c>
      <c r="T102" s="19">
        <f t="shared" si="11"/>
        <v>0</v>
      </c>
      <c r="U102" s="19">
        <f t="shared" si="12"/>
        <v>0</v>
      </c>
      <c r="V102" s="21">
        <f t="shared" si="13"/>
        <v>0</v>
      </c>
    </row>
    <row r="103" spans="1:22" ht="13.5" x14ac:dyDescent="0.35">
      <c r="A103" s="18">
        <v>100739</v>
      </c>
      <c r="B103" s="19" t="s">
        <v>129</v>
      </c>
      <c r="C103" s="19">
        <v>0.65</v>
      </c>
      <c r="D103" s="19">
        <v>101</v>
      </c>
      <c r="E103" s="19">
        <v>113</v>
      </c>
      <c r="F103" s="19">
        <v>8.3000000000000007</v>
      </c>
      <c r="G103" s="19">
        <v>0</v>
      </c>
      <c r="H103" s="19">
        <v>8.3000000000000007</v>
      </c>
      <c r="I103" s="20">
        <v>8.3000000000000007</v>
      </c>
      <c r="J103" s="19">
        <f t="shared" si="7"/>
        <v>0</v>
      </c>
      <c r="K103" s="19">
        <f t="shared" si="8"/>
        <v>0</v>
      </c>
      <c r="L103" s="19">
        <v>-6.6E-4</v>
      </c>
      <c r="M103" s="19">
        <v>2.7399999999999998E-3</v>
      </c>
      <c r="N103" s="19">
        <v>2.7399999999999998E-3</v>
      </c>
      <c r="O103" s="19">
        <v>2.7100000000000002E-3</v>
      </c>
      <c r="P103" s="19">
        <v>2.6800000000000001E-3</v>
      </c>
      <c r="Q103" s="19"/>
      <c r="R103" s="19">
        <f t="shared" si="9"/>
        <v>0</v>
      </c>
      <c r="S103" s="19">
        <f t="shared" si="10"/>
        <v>0</v>
      </c>
      <c r="T103" s="19">
        <f t="shared" si="11"/>
        <v>0</v>
      </c>
      <c r="U103" s="19">
        <f t="shared" si="12"/>
        <v>0</v>
      </c>
      <c r="V103" s="21">
        <f t="shared" si="13"/>
        <v>0</v>
      </c>
    </row>
    <row r="104" spans="1:22" ht="13.5" x14ac:dyDescent="0.35">
      <c r="A104" s="18">
        <v>100749</v>
      </c>
      <c r="B104" s="19" t="s">
        <v>130</v>
      </c>
      <c r="C104" s="19">
        <v>12.5</v>
      </c>
      <c r="D104" s="19">
        <v>101</v>
      </c>
      <c r="E104" s="19">
        <v>113</v>
      </c>
      <c r="F104" s="19">
        <v>0</v>
      </c>
      <c r="G104" s="19">
        <v>0</v>
      </c>
      <c r="H104" s="19">
        <v>0</v>
      </c>
      <c r="I104" s="20">
        <v>0</v>
      </c>
      <c r="J104" s="19">
        <f t="shared" si="7"/>
        <v>0</v>
      </c>
      <c r="K104" s="19">
        <f t="shared" si="8"/>
        <v>0</v>
      </c>
      <c r="L104" s="19">
        <v>-6.6E-4</v>
      </c>
      <c r="M104" s="19">
        <v>2.7399999999999998E-3</v>
      </c>
      <c r="N104" s="19">
        <v>2.7399999999999998E-3</v>
      </c>
      <c r="O104" s="19">
        <v>2.7100000000000002E-3</v>
      </c>
      <c r="P104" s="19">
        <v>2.6800000000000001E-3</v>
      </c>
      <c r="Q104" s="19"/>
      <c r="R104" s="19">
        <f t="shared" si="9"/>
        <v>0</v>
      </c>
      <c r="S104" s="19">
        <f t="shared" si="10"/>
        <v>0</v>
      </c>
      <c r="T104" s="19">
        <f t="shared" si="11"/>
        <v>0</v>
      </c>
      <c r="U104" s="19">
        <f t="shared" si="12"/>
        <v>0</v>
      </c>
      <c r="V104" s="21">
        <f t="shared" si="13"/>
        <v>0</v>
      </c>
    </row>
    <row r="105" spans="1:22" ht="13.5" x14ac:dyDescent="0.35">
      <c r="A105" s="18">
        <v>100758</v>
      </c>
      <c r="B105" s="19" t="s">
        <v>131</v>
      </c>
      <c r="C105" s="19">
        <v>0.6</v>
      </c>
      <c r="D105" s="19">
        <v>101</v>
      </c>
      <c r="E105" s="19">
        <v>113</v>
      </c>
      <c r="F105" s="19">
        <v>0</v>
      </c>
      <c r="G105" s="19">
        <v>0</v>
      </c>
      <c r="H105" s="19">
        <v>0</v>
      </c>
      <c r="I105" s="20">
        <v>0</v>
      </c>
      <c r="J105" s="19">
        <f t="shared" si="7"/>
        <v>0</v>
      </c>
      <c r="K105" s="19">
        <f t="shared" si="8"/>
        <v>0</v>
      </c>
      <c r="L105" s="19">
        <v>-6.6E-4</v>
      </c>
      <c r="M105" s="19">
        <v>2.7499999999999998E-3</v>
      </c>
      <c r="N105" s="19">
        <v>2.7499999999999998E-3</v>
      </c>
      <c r="O105" s="19">
        <v>2.7200000000000002E-3</v>
      </c>
      <c r="P105" s="19">
        <v>2.6900000000000001E-3</v>
      </c>
      <c r="Q105" s="19"/>
      <c r="R105" s="19">
        <f t="shared" si="9"/>
        <v>0</v>
      </c>
      <c r="S105" s="19">
        <f t="shared" si="10"/>
        <v>0</v>
      </c>
      <c r="T105" s="19">
        <f t="shared" si="11"/>
        <v>0</v>
      </c>
      <c r="U105" s="19">
        <f t="shared" si="12"/>
        <v>0</v>
      </c>
      <c r="V105" s="21">
        <f t="shared" si="13"/>
        <v>0</v>
      </c>
    </row>
    <row r="106" spans="1:22" ht="13.5" x14ac:dyDescent="0.35">
      <c r="A106" s="18">
        <v>100777</v>
      </c>
      <c r="B106" s="19" t="s">
        <v>132</v>
      </c>
      <c r="C106" s="19">
        <v>0.4</v>
      </c>
      <c r="D106" s="19">
        <v>101</v>
      </c>
      <c r="E106" s="19">
        <v>113</v>
      </c>
      <c r="F106" s="19">
        <v>0</v>
      </c>
      <c r="G106" s="19">
        <v>0</v>
      </c>
      <c r="H106" s="19">
        <v>0</v>
      </c>
      <c r="I106" s="20">
        <v>0</v>
      </c>
      <c r="J106" s="19">
        <f t="shared" si="7"/>
        <v>0</v>
      </c>
      <c r="K106" s="19">
        <f t="shared" si="8"/>
        <v>0</v>
      </c>
      <c r="L106" s="19">
        <v>-6.6E-4</v>
      </c>
      <c r="M106" s="19">
        <v>2.7399999999999998E-3</v>
      </c>
      <c r="N106" s="19">
        <v>2.7399999999999998E-3</v>
      </c>
      <c r="O106" s="19">
        <v>2.7100000000000002E-3</v>
      </c>
      <c r="P106" s="19">
        <v>2.6800000000000001E-3</v>
      </c>
      <c r="Q106" s="19"/>
      <c r="R106" s="19">
        <f t="shared" si="9"/>
        <v>0</v>
      </c>
      <c r="S106" s="19">
        <f t="shared" si="10"/>
        <v>0</v>
      </c>
      <c r="T106" s="19">
        <f t="shared" si="11"/>
        <v>0</v>
      </c>
      <c r="U106" s="19">
        <f t="shared" si="12"/>
        <v>0</v>
      </c>
      <c r="V106" s="21">
        <f t="shared" si="13"/>
        <v>0</v>
      </c>
    </row>
    <row r="107" spans="1:22" ht="13.5" x14ac:dyDescent="0.35">
      <c r="A107" s="18">
        <v>100851</v>
      </c>
      <c r="B107" s="19" t="s">
        <v>133</v>
      </c>
      <c r="C107" s="19">
        <v>12</v>
      </c>
      <c r="D107" s="19">
        <v>101</v>
      </c>
      <c r="E107" s="19">
        <v>112</v>
      </c>
      <c r="F107" s="19">
        <v>0</v>
      </c>
      <c r="G107" s="19">
        <v>0</v>
      </c>
      <c r="H107" s="19">
        <v>0</v>
      </c>
      <c r="I107" s="20">
        <v>0</v>
      </c>
      <c r="J107" s="19">
        <f t="shared" si="7"/>
        <v>0</v>
      </c>
      <c r="K107" s="19">
        <f t="shared" si="8"/>
        <v>0</v>
      </c>
      <c r="L107" s="19">
        <v>-6.6E-4</v>
      </c>
      <c r="M107" s="19">
        <v>2.7399999999999998E-3</v>
      </c>
      <c r="N107" s="19">
        <v>2.7399999999999998E-3</v>
      </c>
      <c r="O107" s="19">
        <v>2.7100000000000002E-3</v>
      </c>
      <c r="P107" s="19">
        <v>2.6800000000000001E-3</v>
      </c>
      <c r="Q107" s="19"/>
      <c r="R107" s="19">
        <f t="shared" si="9"/>
        <v>0</v>
      </c>
      <c r="S107" s="19">
        <f t="shared" si="10"/>
        <v>0</v>
      </c>
      <c r="T107" s="19">
        <f t="shared" si="11"/>
        <v>0</v>
      </c>
      <c r="U107" s="19">
        <f t="shared" si="12"/>
        <v>0</v>
      </c>
      <c r="V107" s="21">
        <f t="shared" si="13"/>
        <v>0</v>
      </c>
    </row>
    <row r="108" spans="1:22" ht="13.5" x14ac:dyDescent="0.35">
      <c r="A108" s="18">
        <v>100870</v>
      </c>
      <c r="B108" s="19" t="s">
        <v>134</v>
      </c>
      <c r="C108" s="19">
        <v>0.6</v>
      </c>
      <c r="D108" s="19">
        <v>101</v>
      </c>
      <c r="E108" s="19">
        <v>113</v>
      </c>
      <c r="F108" s="19">
        <v>0</v>
      </c>
      <c r="G108" s="19">
        <v>0</v>
      </c>
      <c r="H108" s="19">
        <v>0</v>
      </c>
      <c r="I108" s="20">
        <v>0</v>
      </c>
      <c r="J108" s="19">
        <f t="shared" si="7"/>
        <v>0</v>
      </c>
      <c r="K108" s="19">
        <f t="shared" si="8"/>
        <v>0</v>
      </c>
      <c r="L108" s="19">
        <v>-6.6E-4</v>
      </c>
      <c r="M108" s="19">
        <v>2.7399999999999998E-3</v>
      </c>
      <c r="N108" s="19">
        <v>2.7399999999999998E-3</v>
      </c>
      <c r="O108" s="19">
        <v>2.7100000000000002E-3</v>
      </c>
      <c r="P108" s="19">
        <v>2.6800000000000001E-3</v>
      </c>
      <c r="Q108" s="19"/>
      <c r="R108" s="19">
        <f t="shared" si="9"/>
        <v>0</v>
      </c>
      <c r="S108" s="19">
        <f t="shared" si="10"/>
        <v>0</v>
      </c>
      <c r="T108" s="19">
        <f t="shared" si="11"/>
        <v>0</v>
      </c>
      <c r="U108" s="19">
        <f t="shared" si="12"/>
        <v>0</v>
      </c>
      <c r="V108" s="21">
        <f t="shared" si="13"/>
        <v>0</v>
      </c>
    </row>
    <row r="109" spans="1:22" ht="13.5" x14ac:dyDescent="0.35">
      <c r="A109" s="18">
        <v>101062</v>
      </c>
      <c r="B109" s="19" t="s">
        <v>135</v>
      </c>
      <c r="C109" s="19">
        <v>34.5</v>
      </c>
      <c r="D109" s="19">
        <v>101</v>
      </c>
      <c r="E109" s="19">
        <v>112</v>
      </c>
      <c r="F109" s="19">
        <v>0</v>
      </c>
      <c r="G109" s="19">
        <v>0</v>
      </c>
      <c r="H109" s="19">
        <v>0</v>
      </c>
      <c r="I109" s="20">
        <v>0</v>
      </c>
      <c r="J109" s="19">
        <f t="shared" si="7"/>
        <v>0</v>
      </c>
      <c r="K109" s="19">
        <f t="shared" si="8"/>
        <v>0</v>
      </c>
      <c r="L109" s="19">
        <v>-6.6E-4</v>
      </c>
      <c r="M109" s="19">
        <v>2.7399999999999998E-3</v>
      </c>
      <c r="N109" s="19">
        <v>2.7399999999999998E-3</v>
      </c>
      <c r="O109" s="19">
        <v>2.7100000000000002E-3</v>
      </c>
      <c r="P109" s="19">
        <v>2.6800000000000001E-3</v>
      </c>
      <c r="Q109" s="19"/>
      <c r="R109" s="19">
        <f t="shared" si="9"/>
        <v>0</v>
      </c>
      <c r="S109" s="19">
        <f t="shared" si="10"/>
        <v>0</v>
      </c>
      <c r="T109" s="19">
        <f t="shared" si="11"/>
        <v>0</v>
      </c>
      <c r="U109" s="19">
        <f t="shared" si="12"/>
        <v>0</v>
      </c>
      <c r="V109" s="21">
        <f t="shared" si="13"/>
        <v>0</v>
      </c>
    </row>
    <row r="110" spans="1:22" ht="13.5" x14ac:dyDescent="0.35">
      <c r="A110" s="18">
        <v>102101</v>
      </c>
      <c r="B110" s="19" t="s">
        <v>136</v>
      </c>
      <c r="C110" s="19">
        <v>4</v>
      </c>
      <c r="D110" s="19">
        <v>101</v>
      </c>
      <c r="E110" s="19">
        <v>112</v>
      </c>
      <c r="F110" s="19">
        <v>0</v>
      </c>
      <c r="G110" s="19">
        <v>0</v>
      </c>
      <c r="H110" s="19">
        <v>0</v>
      </c>
      <c r="I110" s="20">
        <v>0</v>
      </c>
      <c r="J110" s="19">
        <f t="shared" si="7"/>
        <v>0</v>
      </c>
      <c r="K110" s="19">
        <f t="shared" si="8"/>
        <v>0</v>
      </c>
      <c r="L110" s="19">
        <v>-6.6E-4</v>
      </c>
      <c r="M110" s="19">
        <v>2.7399999999999998E-3</v>
      </c>
      <c r="N110" s="19">
        <v>2.7399999999999998E-3</v>
      </c>
      <c r="O110" s="19">
        <v>2.7100000000000002E-3</v>
      </c>
      <c r="P110" s="19">
        <v>2.6800000000000001E-3</v>
      </c>
      <c r="Q110" s="19"/>
      <c r="R110" s="19">
        <f t="shared" si="9"/>
        <v>0</v>
      </c>
      <c r="S110" s="19">
        <f t="shared" si="10"/>
        <v>0</v>
      </c>
      <c r="T110" s="19">
        <f t="shared" si="11"/>
        <v>0</v>
      </c>
      <c r="U110" s="19">
        <f t="shared" si="12"/>
        <v>0</v>
      </c>
      <c r="V110" s="21">
        <f t="shared" si="13"/>
        <v>0</v>
      </c>
    </row>
    <row r="111" spans="1:22" ht="13.5" x14ac:dyDescent="0.35">
      <c r="A111" s="18">
        <v>102125</v>
      </c>
      <c r="B111" s="19" t="s">
        <v>137</v>
      </c>
      <c r="C111" s="19">
        <v>12</v>
      </c>
      <c r="D111" s="19">
        <v>101</v>
      </c>
      <c r="E111" s="19">
        <v>112</v>
      </c>
      <c r="F111" s="19">
        <v>0</v>
      </c>
      <c r="G111" s="19">
        <v>0</v>
      </c>
      <c r="H111" s="19">
        <v>0</v>
      </c>
      <c r="I111" s="20">
        <v>0</v>
      </c>
      <c r="J111" s="19">
        <f t="shared" si="7"/>
        <v>0</v>
      </c>
      <c r="K111" s="19">
        <f t="shared" si="8"/>
        <v>0</v>
      </c>
      <c r="L111" s="19">
        <v>-6.6E-4</v>
      </c>
      <c r="M111" s="19">
        <v>-2.64E-3</v>
      </c>
      <c r="N111" s="19">
        <v>-2.64E-3</v>
      </c>
      <c r="O111" s="19">
        <v>-2.6700000000000001E-3</v>
      </c>
      <c r="P111" s="19">
        <v>-2.7000000000000001E-3</v>
      </c>
      <c r="Q111" s="19"/>
      <c r="R111" s="19">
        <f t="shared" si="9"/>
        <v>0</v>
      </c>
      <c r="S111" s="19">
        <f t="shared" si="10"/>
        <v>0</v>
      </c>
      <c r="T111" s="19">
        <f t="shared" si="11"/>
        <v>0</v>
      </c>
      <c r="U111" s="19">
        <f t="shared" si="12"/>
        <v>0</v>
      </c>
      <c r="V111" s="21">
        <f t="shared" si="13"/>
        <v>0</v>
      </c>
    </row>
    <row r="112" spans="1:22" ht="13.5" x14ac:dyDescent="0.35">
      <c r="A112" s="18">
        <v>102195</v>
      </c>
      <c r="B112" s="19" t="s">
        <v>138</v>
      </c>
      <c r="C112" s="19">
        <v>34.5</v>
      </c>
      <c r="D112" s="19">
        <v>101</v>
      </c>
      <c r="E112" s="19">
        <v>112</v>
      </c>
      <c r="F112" s="19">
        <v>0</v>
      </c>
      <c r="G112" s="19">
        <v>0</v>
      </c>
      <c r="H112" s="19">
        <v>0</v>
      </c>
      <c r="I112" s="20">
        <v>0</v>
      </c>
      <c r="J112" s="19">
        <f t="shared" si="7"/>
        <v>0</v>
      </c>
      <c r="K112" s="19">
        <f t="shared" si="8"/>
        <v>0</v>
      </c>
      <c r="L112" s="19">
        <v>-6.6E-4</v>
      </c>
      <c r="M112" s="19">
        <v>2.7399999999999998E-3</v>
      </c>
      <c r="N112" s="19">
        <v>2.7399999999999998E-3</v>
      </c>
      <c r="O112" s="19">
        <v>2.7100000000000002E-3</v>
      </c>
      <c r="P112" s="19">
        <v>2.6800000000000001E-3</v>
      </c>
      <c r="Q112" s="19"/>
      <c r="R112" s="19">
        <f t="shared" si="9"/>
        <v>0</v>
      </c>
      <c r="S112" s="19">
        <f t="shared" si="10"/>
        <v>0</v>
      </c>
      <c r="T112" s="19">
        <f t="shared" si="11"/>
        <v>0</v>
      </c>
      <c r="U112" s="19">
        <f t="shared" si="12"/>
        <v>0</v>
      </c>
      <c r="V112" s="21">
        <f t="shared" si="13"/>
        <v>0</v>
      </c>
    </row>
    <row r="113" spans="1:22" ht="13.5" x14ac:dyDescent="0.35">
      <c r="A113" s="18">
        <v>103050</v>
      </c>
      <c r="B113" s="19" t="s">
        <v>139</v>
      </c>
      <c r="C113" s="19">
        <v>0.56999999999999995</v>
      </c>
      <c r="D113" s="19">
        <v>101</v>
      </c>
      <c r="E113" s="19">
        <v>363</v>
      </c>
      <c r="F113" s="19">
        <v>0</v>
      </c>
      <c r="G113" s="19">
        <v>0</v>
      </c>
      <c r="H113" s="19">
        <v>0</v>
      </c>
      <c r="I113" s="20">
        <v>0</v>
      </c>
      <c r="J113" s="19">
        <f t="shared" si="7"/>
        <v>0</v>
      </c>
      <c r="K113" s="19">
        <f t="shared" si="8"/>
        <v>0</v>
      </c>
      <c r="L113" s="19">
        <v>-6.6E-4</v>
      </c>
      <c r="M113" s="19">
        <v>2.7399999999999998E-3</v>
      </c>
      <c r="N113" s="19">
        <v>2.7399999999999998E-3</v>
      </c>
      <c r="O113" s="19">
        <v>2.7100000000000002E-3</v>
      </c>
      <c r="P113" s="19">
        <v>2.6800000000000001E-3</v>
      </c>
      <c r="Q113" s="19"/>
      <c r="R113" s="19">
        <f t="shared" si="9"/>
        <v>0</v>
      </c>
      <c r="S113" s="19">
        <f t="shared" si="10"/>
        <v>0</v>
      </c>
      <c r="T113" s="19">
        <f t="shared" si="11"/>
        <v>0</v>
      </c>
      <c r="U113" s="19">
        <f t="shared" si="12"/>
        <v>0</v>
      </c>
      <c r="V113" s="21">
        <f t="shared" si="13"/>
        <v>0</v>
      </c>
    </row>
    <row r="114" spans="1:22" ht="13.5" x14ac:dyDescent="0.35">
      <c r="A114" s="18">
        <v>103051</v>
      </c>
      <c r="B114" s="19" t="s">
        <v>140</v>
      </c>
      <c r="C114" s="19">
        <v>0.56999999999999995</v>
      </c>
      <c r="D114" s="19">
        <v>101</v>
      </c>
      <c r="E114" s="19">
        <v>363</v>
      </c>
      <c r="F114" s="19">
        <v>0</v>
      </c>
      <c r="G114" s="19">
        <v>0</v>
      </c>
      <c r="H114" s="19">
        <v>0</v>
      </c>
      <c r="I114" s="20">
        <v>0</v>
      </c>
      <c r="J114" s="19">
        <f t="shared" si="7"/>
        <v>0</v>
      </c>
      <c r="K114" s="19">
        <f t="shared" si="8"/>
        <v>0</v>
      </c>
      <c r="L114" s="19">
        <v>-6.6E-4</v>
      </c>
      <c r="M114" s="19">
        <v>2.7399999999999998E-3</v>
      </c>
      <c r="N114" s="19">
        <v>2.7399999999999998E-3</v>
      </c>
      <c r="O114" s="19">
        <v>2.7100000000000002E-3</v>
      </c>
      <c r="P114" s="19">
        <v>2.6800000000000001E-3</v>
      </c>
      <c r="Q114" s="19"/>
      <c r="R114" s="19">
        <f t="shared" si="9"/>
        <v>0</v>
      </c>
      <c r="S114" s="19">
        <f t="shared" si="10"/>
        <v>0</v>
      </c>
      <c r="T114" s="19">
        <f t="shared" si="11"/>
        <v>0</v>
      </c>
      <c r="U114" s="19">
        <f t="shared" si="12"/>
        <v>0</v>
      </c>
      <c r="V114" s="21">
        <f t="shared" si="13"/>
        <v>0</v>
      </c>
    </row>
    <row r="115" spans="1:22" ht="13.5" x14ac:dyDescent="0.35">
      <c r="A115" s="18">
        <v>103052</v>
      </c>
      <c r="B115" s="19" t="s">
        <v>141</v>
      </c>
      <c r="C115" s="19">
        <v>0.56999999999999995</v>
      </c>
      <c r="D115" s="19">
        <v>101</v>
      </c>
      <c r="E115" s="19">
        <v>363</v>
      </c>
      <c r="F115" s="19">
        <v>0</v>
      </c>
      <c r="G115" s="19">
        <v>0</v>
      </c>
      <c r="H115" s="19">
        <v>0</v>
      </c>
      <c r="I115" s="20">
        <v>0</v>
      </c>
      <c r="J115" s="19">
        <f t="shared" si="7"/>
        <v>0</v>
      </c>
      <c r="K115" s="19">
        <f t="shared" si="8"/>
        <v>0</v>
      </c>
      <c r="L115" s="19">
        <v>-6.6E-4</v>
      </c>
      <c r="M115" s="19">
        <v>2.7399999999999998E-3</v>
      </c>
      <c r="N115" s="19">
        <v>2.7399999999999998E-3</v>
      </c>
      <c r="O115" s="19">
        <v>2.7100000000000002E-3</v>
      </c>
      <c r="P115" s="19">
        <v>2.6800000000000001E-3</v>
      </c>
      <c r="Q115" s="19"/>
      <c r="R115" s="19">
        <f t="shared" si="9"/>
        <v>0</v>
      </c>
      <c r="S115" s="19">
        <f t="shared" si="10"/>
        <v>0</v>
      </c>
      <c r="T115" s="19">
        <f t="shared" si="11"/>
        <v>0</v>
      </c>
      <c r="U115" s="19">
        <f t="shared" si="12"/>
        <v>0</v>
      </c>
      <c r="V115" s="21">
        <f t="shared" si="13"/>
        <v>0</v>
      </c>
    </row>
    <row r="116" spans="1:22" ht="13.5" x14ac:dyDescent="0.35">
      <c r="A116" s="18">
        <v>103060</v>
      </c>
      <c r="B116" s="19" t="s">
        <v>142</v>
      </c>
      <c r="C116" s="19">
        <v>18</v>
      </c>
      <c r="D116" s="19">
        <v>101</v>
      </c>
      <c r="E116" s="19">
        <v>353</v>
      </c>
      <c r="F116" s="19">
        <v>157.84</v>
      </c>
      <c r="G116" s="19">
        <v>0</v>
      </c>
      <c r="H116" s="19">
        <v>157.84</v>
      </c>
      <c r="I116" s="20">
        <v>157.84</v>
      </c>
      <c r="J116" s="19">
        <f t="shared" si="7"/>
        <v>0</v>
      </c>
      <c r="K116" s="19">
        <f t="shared" si="8"/>
        <v>0</v>
      </c>
      <c r="L116" s="19">
        <v>-6.6E-4</v>
      </c>
      <c r="M116" s="19">
        <v>2.7399999999999998E-3</v>
      </c>
      <c r="N116" s="19">
        <v>2.7399999999999998E-3</v>
      </c>
      <c r="O116" s="19">
        <v>2.7100000000000002E-3</v>
      </c>
      <c r="P116" s="19">
        <v>2.6800000000000001E-3</v>
      </c>
      <c r="Q116" s="19"/>
      <c r="R116" s="19">
        <f t="shared" si="9"/>
        <v>0</v>
      </c>
      <c r="S116" s="19">
        <f t="shared" si="10"/>
        <v>0</v>
      </c>
      <c r="T116" s="19">
        <f t="shared" si="11"/>
        <v>0</v>
      </c>
      <c r="U116" s="19">
        <f t="shared" si="12"/>
        <v>0</v>
      </c>
      <c r="V116" s="21">
        <f t="shared" si="13"/>
        <v>0</v>
      </c>
    </row>
    <row r="117" spans="1:22" ht="13.5" x14ac:dyDescent="0.35">
      <c r="A117" s="18">
        <v>103061</v>
      </c>
      <c r="B117" s="19" t="s">
        <v>143</v>
      </c>
      <c r="C117" s="19">
        <v>18</v>
      </c>
      <c r="D117" s="19">
        <v>101</v>
      </c>
      <c r="E117" s="19">
        <v>353</v>
      </c>
      <c r="F117" s="19">
        <v>157.84</v>
      </c>
      <c r="G117" s="19">
        <v>0</v>
      </c>
      <c r="H117" s="19">
        <v>157.84</v>
      </c>
      <c r="I117" s="20">
        <v>157.84</v>
      </c>
      <c r="J117" s="19">
        <f t="shared" si="7"/>
        <v>0</v>
      </c>
      <c r="K117" s="19">
        <f t="shared" si="8"/>
        <v>0</v>
      </c>
      <c r="L117" s="19">
        <v>-6.6E-4</v>
      </c>
      <c r="M117" s="19">
        <v>2.7399999999999998E-3</v>
      </c>
      <c r="N117" s="19">
        <v>2.7399999999999998E-3</v>
      </c>
      <c r="O117" s="19">
        <v>2.7100000000000002E-3</v>
      </c>
      <c r="P117" s="19">
        <v>2.6800000000000001E-3</v>
      </c>
      <c r="Q117" s="19"/>
      <c r="R117" s="19">
        <f t="shared" si="9"/>
        <v>0</v>
      </c>
      <c r="S117" s="19">
        <f t="shared" si="10"/>
        <v>0</v>
      </c>
      <c r="T117" s="19">
        <f t="shared" si="11"/>
        <v>0</v>
      </c>
      <c r="U117" s="19">
        <f t="shared" si="12"/>
        <v>0</v>
      </c>
      <c r="V117" s="21">
        <f t="shared" si="13"/>
        <v>0</v>
      </c>
    </row>
    <row r="118" spans="1:22" ht="13.5" x14ac:dyDescent="0.35">
      <c r="A118" s="18">
        <v>103062</v>
      </c>
      <c r="B118" s="19" t="s">
        <v>144</v>
      </c>
      <c r="C118" s="19">
        <v>18</v>
      </c>
      <c r="D118" s="19">
        <v>101</v>
      </c>
      <c r="E118" s="19">
        <v>353</v>
      </c>
      <c r="F118" s="19">
        <v>176.98</v>
      </c>
      <c r="G118" s="19">
        <v>0</v>
      </c>
      <c r="H118" s="19">
        <v>176.98</v>
      </c>
      <c r="I118" s="20">
        <v>176.98</v>
      </c>
      <c r="J118" s="19">
        <f t="shared" si="7"/>
        <v>0</v>
      </c>
      <c r="K118" s="19">
        <f t="shared" si="8"/>
        <v>0</v>
      </c>
      <c r="L118" s="19">
        <v>-6.6E-4</v>
      </c>
      <c r="M118" s="19">
        <v>2.7399999999999998E-3</v>
      </c>
      <c r="N118" s="19">
        <v>2.7399999999999998E-3</v>
      </c>
      <c r="O118" s="19">
        <v>2.7100000000000002E-3</v>
      </c>
      <c r="P118" s="19">
        <v>2.6800000000000001E-3</v>
      </c>
      <c r="Q118" s="19"/>
      <c r="R118" s="19">
        <f t="shared" si="9"/>
        <v>0</v>
      </c>
      <c r="S118" s="19">
        <f t="shared" si="10"/>
        <v>0</v>
      </c>
      <c r="T118" s="19">
        <f t="shared" si="11"/>
        <v>0</v>
      </c>
      <c r="U118" s="19">
        <f t="shared" si="12"/>
        <v>0</v>
      </c>
      <c r="V118" s="21">
        <f t="shared" si="13"/>
        <v>0</v>
      </c>
    </row>
    <row r="119" spans="1:22" ht="13.5" x14ac:dyDescent="0.35">
      <c r="A119" s="18">
        <v>103066</v>
      </c>
      <c r="B119" s="19" t="s">
        <v>145</v>
      </c>
      <c r="C119" s="19">
        <v>13.8</v>
      </c>
      <c r="D119" s="19">
        <v>101</v>
      </c>
      <c r="E119" s="19">
        <v>353</v>
      </c>
      <c r="F119" s="19">
        <v>21.76</v>
      </c>
      <c r="G119" s="19">
        <v>0</v>
      </c>
      <c r="H119" s="19">
        <v>21.76</v>
      </c>
      <c r="I119" s="20">
        <v>21.76</v>
      </c>
      <c r="J119" s="19">
        <f t="shared" si="7"/>
        <v>0</v>
      </c>
      <c r="K119" s="19">
        <f t="shared" si="8"/>
        <v>0</v>
      </c>
      <c r="L119" s="19">
        <v>-6.6E-4</v>
      </c>
      <c r="M119" s="19">
        <v>2.7399999999999998E-3</v>
      </c>
      <c r="N119" s="19">
        <v>2.7399999999999998E-3</v>
      </c>
      <c r="O119" s="19">
        <v>2.7100000000000002E-3</v>
      </c>
      <c r="P119" s="19">
        <v>2.6800000000000001E-3</v>
      </c>
      <c r="Q119" s="19"/>
      <c r="R119" s="19">
        <f t="shared" si="9"/>
        <v>0</v>
      </c>
      <c r="S119" s="19">
        <f t="shared" si="10"/>
        <v>0</v>
      </c>
      <c r="T119" s="19">
        <f t="shared" si="11"/>
        <v>0</v>
      </c>
      <c r="U119" s="19">
        <f t="shared" si="12"/>
        <v>0</v>
      </c>
      <c r="V119" s="21">
        <f t="shared" si="13"/>
        <v>0</v>
      </c>
    </row>
    <row r="120" spans="1:22" ht="13.5" x14ac:dyDescent="0.35">
      <c r="A120" s="18">
        <v>103067</v>
      </c>
      <c r="B120" s="19" t="s">
        <v>146</v>
      </c>
      <c r="C120" s="19">
        <v>12.5</v>
      </c>
      <c r="D120" s="19">
        <v>101</v>
      </c>
      <c r="E120" s="19">
        <v>353</v>
      </c>
      <c r="F120" s="19">
        <v>24.5</v>
      </c>
      <c r="G120" s="19">
        <v>0</v>
      </c>
      <c r="H120" s="19">
        <v>24.5</v>
      </c>
      <c r="I120" s="20">
        <v>24.5</v>
      </c>
      <c r="J120" s="19">
        <f t="shared" si="7"/>
        <v>0</v>
      </c>
      <c r="K120" s="19">
        <f t="shared" si="8"/>
        <v>0</v>
      </c>
      <c r="L120" s="19">
        <v>-6.6E-4</v>
      </c>
      <c r="M120" s="19">
        <v>2.7399999999999998E-3</v>
      </c>
      <c r="N120" s="19">
        <v>2.7399999999999998E-3</v>
      </c>
      <c r="O120" s="19">
        <v>2.7100000000000002E-3</v>
      </c>
      <c r="P120" s="19">
        <v>2.6800000000000001E-3</v>
      </c>
      <c r="Q120" s="19"/>
      <c r="R120" s="19">
        <f t="shared" si="9"/>
        <v>0</v>
      </c>
      <c r="S120" s="19">
        <f t="shared" si="10"/>
        <v>0</v>
      </c>
      <c r="T120" s="19">
        <f t="shared" si="11"/>
        <v>0</v>
      </c>
      <c r="U120" s="19">
        <f t="shared" si="12"/>
        <v>0</v>
      </c>
      <c r="V120" s="21">
        <f t="shared" si="13"/>
        <v>0</v>
      </c>
    </row>
    <row r="121" spans="1:22" ht="13.5" x14ac:dyDescent="0.35">
      <c r="A121" s="18">
        <v>103069</v>
      </c>
      <c r="B121" s="19" t="s">
        <v>147</v>
      </c>
      <c r="C121" s="19">
        <v>13.2</v>
      </c>
      <c r="D121" s="19">
        <v>101</v>
      </c>
      <c r="E121" s="19">
        <v>364</v>
      </c>
      <c r="F121" s="19">
        <v>0</v>
      </c>
      <c r="G121" s="19">
        <v>0</v>
      </c>
      <c r="H121" s="19">
        <v>0</v>
      </c>
      <c r="I121" s="20">
        <v>0</v>
      </c>
      <c r="J121" s="19">
        <f t="shared" si="7"/>
        <v>0</v>
      </c>
      <c r="K121" s="19">
        <f t="shared" si="8"/>
        <v>0</v>
      </c>
      <c r="L121" s="19">
        <v>-6.6E-4</v>
      </c>
      <c r="M121" s="19">
        <v>2.7399999999999998E-3</v>
      </c>
      <c r="N121" s="19">
        <v>2.7399999999999998E-3</v>
      </c>
      <c r="O121" s="19">
        <v>2.7100000000000002E-3</v>
      </c>
      <c r="P121" s="19">
        <v>2.6800000000000001E-3</v>
      </c>
      <c r="Q121" s="19"/>
      <c r="R121" s="19">
        <f t="shared" si="9"/>
        <v>0</v>
      </c>
      <c r="S121" s="19">
        <f t="shared" si="10"/>
        <v>0</v>
      </c>
      <c r="T121" s="19">
        <f t="shared" si="11"/>
        <v>0</v>
      </c>
      <c r="U121" s="19">
        <f t="shared" si="12"/>
        <v>0</v>
      </c>
      <c r="V121" s="21">
        <f t="shared" si="13"/>
        <v>0</v>
      </c>
    </row>
    <row r="122" spans="1:22" ht="13.5" x14ac:dyDescent="0.35">
      <c r="A122" s="18">
        <v>103070</v>
      </c>
      <c r="B122" s="19" t="s">
        <v>148</v>
      </c>
      <c r="C122" s="19">
        <v>12.5</v>
      </c>
      <c r="D122" s="19">
        <v>101</v>
      </c>
      <c r="E122" s="19">
        <v>384</v>
      </c>
      <c r="F122" s="19">
        <v>24.5</v>
      </c>
      <c r="G122" s="19">
        <v>0</v>
      </c>
      <c r="H122" s="19">
        <v>24.5</v>
      </c>
      <c r="I122" s="20">
        <v>24.5</v>
      </c>
      <c r="J122" s="19">
        <f t="shared" si="7"/>
        <v>0</v>
      </c>
      <c r="K122" s="19">
        <f t="shared" si="8"/>
        <v>0</v>
      </c>
      <c r="L122" s="19">
        <v>-6.6E-4</v>
      </c>
      <c r="M122" s="19">
        <v>2.7399999999999998E-3</v>
      </c>
      <c r="N122" s="19">
        <v>2.7399999999999998E-3</v>
      </c>
      <c r="O122" s="19">
        <v>2.7100000000000002E-3</v>
      </c>
      <c r="P122" s="19">
        <v>2.6800000000000001E-3</v>
      </c>
      <c r="Q122" s="19"/>
      <c r="R122" s="19">
        <f t="shared" si="9"/>
        <v>0</v>
      </c>
      <c r="S122" s="19">
        <f t="shared" si="10"/>
        <v>0</v>
      </c>
      <c r="T122" s="19">
        <f t="shared" si="11"/>
        <v>0</v>
      </c>
      <c r="U122" s="19">
        <f t="shared" si="12"/>
        <v>0</v>
      </c>
      <c r="V122" s="21">
        <f t="shared" si="13"/>
        <v>0</v>
      </c>
    </row>
    <row r="123" spans="1:22" ht="13.5" x14ac:dyDescent="0.35">
      <c r="A123" s="18">
        <v>103076</v>
      </c>
      <c r="B123" s="19" t="s">
        <v>149</v>
      </c>
      <c r="C123" s="19">
        <v>4.16</v>
      </c>
      <c r="D123" s="19">
        <v>101</v>
      </c>
      <c r="E123" s="19">
        <v>354</v>
      </c>
      <c r="F123" s="19">
        <v>0</v>
      </c>
      <c r="G123" s="19">
        <v>0</v>
      </c>
      <c r="H123" s="19">
        <v>0</v>
      </c>
      <c r="I123" s="20">
        <v>0</v>
      </c>
      <c r="J123" s="19">
        <f t="shared" si="7"/>
        <v>0</v>
      </c>
      <c r="K123" s="19">
        <f t="shared" si="8"/>
        <v>0</v>
      </c>
      <c r="L123" s="19">
        <v>-6.6E-4</v>
      </c>
      <c r="M123" s="19">
        <v>2.7399999999999998E-3</v>
      </c>
      <c r="N123" s="19">
        <v>2.7399999999999998E-3</v>
      </c>
      <c r="O123" s="19">
        <v>2.7100000000000002E-3</v>
      </c>
      <c r="P123" s="19">
        <v>2.6800000000000001E-3</v>
      </c>
      <c r="Q123" s="19"/>
      <c r="R123" s="19">
        <f t="shared" si="9"/>
        <v>0</v>
      </c>
      <c r="S123" s="19">
        <f t="shared" si="10"/>
        <v>0</v>
      </c>
      <c r="T123" s="19">
        <f t="shared" si="11"/>
        <v>0</v>
      </c>
      <c r="U123" s="19">
        <f t="shared" si="12"/>
        <v>0</v>
      </c>
      <c r="V123" s="21">
        <f t="shared" si="13"/>
        <v>0</v>
      </c>
    </row>
    <row r="124" spans="1:22" ht="13.5" x14ac:dyDescent="0.35">
      <c r="A124" s="18">
        <v>103077</v>
      </c>
      <c r="B124" s="19" t="s">
        <v>150</v>
      </c>
      <c r="C124" s="19">
        <v>4.16</v>
      </c>
      <c r="D124" s="19">
        <v>101</v>
      </c>
      <c r="E124" s="19">
        <v>352</v>
      </c>
      <c r="F124" s="19">
        <v>0</v>
      </c>
      <c r="G124" s="19">
        <v>0</v>
      </c>
      <c r="H124" s="19">
        <v>0</v>
      </c>
      <c r="I124" s="20">
        <v>0</v>
      </c>
      <c r="J124" s="19">
        <f t="shared" si="7"/>
        <v>0</v>
      </c>
      <c r="K124" s="19">
        <f t="shared" si="8"/>
        <v>0</v>
      </c>
      <c r="L124" s="19">
        <v>-6.6E-4</v>
      </c>
      <c r="M124" s="19">
        <v>2.7399999999999998E-3</v>
      </c>
      <c r="N124" s="19">
        <v>2.7399999999999998E-3</v>
      </c>
      <c r="O124" s="19">
        <v>2.7100000000000002E-3</v>
      </c>
      <c r="P124" s="19">
        <v>2.6800000000000001E-3</v>
      </c>
      <c r="Q124" s="19"/>
      <c r="R124" s="19">
        <f t="shared" si="9"/>
        <v>0</v>
      </c>
      <c r="S124" s="19">
        <f t="shared" si="10"/>
        <v>0</v>
      </c>
      <c r="T124" s="19">
        <f t="shared" si="11"/>
        <v>0</v>
      </c>
      <c r="U124" s="19">
        <f t="shared" si="12"/>
        <v>0</v>
      </c>
      <c r="V124" s="21">
        <f t="shared" si="13"/>
        <v>0</v>
      </c>
    </row>
    <row r="125" spans="1:22" ht="13.5" x14ac:dyDescent="0.35">
      <c r="A125" s="18">
        <v>103079</v>
      </c>
      <c r="B125" s="19" t="s">
        <v>151</v>
      </c>
      <c r="C125" s="19">
        <v>2.2999999999999998</v>
      </c>
      <c r="D125" s="19">
        <v>101</v>
      </c>
      <c r="E125" s="19">
        <v>374</v>
      </c>
      <c r="F125" s="19">
        <v>0</v>
      </c>
      <c r="G125" s="19">
        <v>0</v>
      </c>
      <c r="H125" s="19">
        <v>0</v>
      </c>
      <c r="I125" s="20">
        <v>0</v>
      </c>
      <c r="J125" s="19">
        <f t="shared" si="7"/>
        <v>0</v>
      </c>
      <c r="K125" s="19">
        <f t="shared" si="8"/>
        <v>0</v>
      </c>
      <c r="L125" s="19">
        <v>-6.6E-4</v>
      </c>
      <c r="M125" s="19">
        <v>2.7399999999999998E-3</v>
      </c>
      <c r="N125" s="19">
        <v>2.7399999999999998E-3</v>
      </c>
      <c r="O125" s="19">
        <v>2.7100000000000002E-3</v>
      </c>
      <c r="P125" s="19">
        <v>2.6800000000000001E-3</v>
      </c>
      <c r="Q125" s="19"/>
      <c r="R125" s="19">
        <f t="shared" si="9"/>
        <v>0</v>
      </c>
      <c r="S125" s="19">
        <f t="shared" si="10"/>
        <v>0</v>
      </c>
      <c r="T125" s="19">
        <f t="shared" si="11"/>
        <v>0</v>
      </c>
      <c r="U125" s="19">
        <f t="shared" si="12"/>
        <v>0</v>
      </c>
      <c r="V125" s="21">
        <f t="shared" si="13"/>
        <v>0</v>
      </c>
    </row>
    <row r="126" spans="1:22" ht="13.5" x14ac:dyDescent="0.35">
      <c r="A126" s="18">
        <v>103090</v>
      </c>
      <c r="B126" s="19" t="s">
        <v>152</v>
      </c>
      <c r="C126" s="19">
        <v>0.69</v>
      </c>
      <c r="D126" s="19">
        <v>101</v>
      </c>
      <c r="E126" s="19">
        <v>364</v>
      </c>
      <c r="F126" s="19">
        <v>0</v>
      </c>
      <c r="G126" s="19">
        <v>0</v>
      </c>
      <c r="H126" s="19">
        <v>0</v>
      </c>
      <c r="I126" s="20">
        <v>0</v>
      </c>
      <c r="J126" s="19">
        <f t="shared" si="7"/>
        <v>0</v>
      </c>
      <c r="K126" s="19">
        <f t="shared" si="8"/>
        <v>0</v>
      </c>
      <c r="L126" s="19">
        <v>-6.6E-4</v>
      </c>
      <c r="M126" s="19">
        <v>2.7399999999999998E-3</v>
      </c>
      <c r="N126" s="19">
        <v>2.7399999999999998E-3</v>
      </c>
      <c r="O126" s="19">
        <v>2.7100000000000002E-3</v>
      </c>
      <c r="P126" s="19">
        <v>2.6800000000000001E-3</v>
      </c>
      <c r="Q126" s="19"/>
      <c r="R126" s="19">
        <f t="shared" si="9"/>
        <v>0</v>
      </c>
      <c r="S126" s="19">
        <f t="shared" si="10"/>
        <v>0</v>
      </c>
      <c r="T126" s="19">
        <f t="shared" si="11"/>
        <v>0</v>
      </c>
      <c r="U126" s="19">
        <f t="shared" si="12"/>
        <v>0</v>
      </c>
      <c r="V126" s="21">
        <f t="shared" si="13"/>
        <v>0</v>
      </c>
    </row>
    <row r="127" spans="1:22" ht="13.5" x14ac:dyDescent="0.35">
      <c r="A127" s="18">
        <v>103093</v>
      </c>
      <c r="B127" s="19" t="s">
        <v>153</v>
      </c>
      <c r="C127" s="19">
        <v>0.69</v>
      </c>
      <c r="D127" s="19">
        <v>101</v>
      </c>
      <c r="E127" s="19">
        <v>364</v>
      </c>
      <c r="F127" s="19">
        <v>0</v>
      </c>
      <c r="G127" s="19">
        <v>0</v>
      </c>
      <c r="H127" s="19">
        <v>0</v>
      </c>
      <c r="I127" s="20">
        <v>0</v>
      </c>
      <c r="J127" s="19">
        <f t="shared" si="7"/>
        <v>0</v>
      </c>
      <c r="K127" s="19">
        <f t="shared" si="8"/>
        <v>0</v>
      </c>
      <c r="L127" s="19">
        <v>-6.6E-4</v>
      </c>
      <c r="M127" s="19">
        <v>2.7399999999999998E-3</v>
      </c>
      <c r="N127" s="19">
        <v>2.7399999999999998E-3</v>
      </c>
      <c r="O127" s="19">
        <v>2.7100000000000002E-3</v>
      </c>
      <c r="P127" s="19">
        <v>2.6800000000000001E-3</v>
      </c>
      <c r="Q127" s="19"/>
      <c r="R127" s="19">
        <f t="shared" si="9"/>
        <v>0</v>
      </c>
      <c r="S127" s="19">
        <f t="shared" si="10"/>
        <v>0</v>
      </c>
      <c r="T127" s="19">
        <f t="shared" si="11"/>
        <v>0</v>
      </c>
      <c r="U127" s="19">
        <f t="shared" si="12"/>
        <v>0</v>
      </c>
      <c r="V127" s="21">
        <f t="shared" si="13"/>
        <v>0</v>
      </c>
    </row>
    <row r="128" spans="1:22" ht="13.5" x14ac:dyDescent="0.35">
      <c r="A128" s="18">
        <v>103107</v>
      </c>
      <c r="B128" s="19" t="s">
        <v>154</v>
      </c>
      <c r="C128" s="19">
        <v>6.9</v>
      </c>
      <c r="D128" s="19">
        <v>101</v>
      </c>
      <c r="E128" s="19">
        <v>364</v>
      </c>
      <c r="F128" s="19">
        <v>3.01</v>
      </c>
      <c r="G128" s="19">
        <v>0</v>
      </c>
      <c r="H128" s="19">
        <v>3.01</v>
      </c>
      <c r="I128" s="20">
        <v>3.01</v>
      </c>
      <c r="J128" s="19">
        <f t="shared" si="7"/>
        <v>0</v>
      </c>
      <c r="K128" s="19">
        <f t="shared" si="8"/>
        <v>0</v>
      </c>
      <c r="L128" s="19">
        <v>-6.6E-4</v>
      </c>
      <c r="M128" s="19">
        <v>2.7399999999999998E-3</v>
      </c>
      <c r="N128" s="19">
        <v>2.7399999999999998E-3</v>
      </c>
      <c r="O128" s="19">
        <v>2.7100000000000002E-3</v>
      </c>
      <c r="P128" s="19">
        <v>2.6800000000000001E-3</v>
      </c>
      <c r="Q128" s="19"/>
      <c r="R128" s="19">
        <f t="shared" si="9"/>
        <v>0</v>
      </c>
      <c r="S128" s="19">
        <f t="shared" si="10"/>
        <v>0</v>
      </c>
      <c r="T128" s="19">
        <f t="shared" si="11"/>
        <v>0</v>
      </c>
      <c r="U128" s="19">
        <f t="shared" si="12"/>
        <v>0</v>
      </c>
      <c r="V128" s="21">
        <f t="shared" si="13"/>
        <v>0</v>
      </c>
    </row>
    <row r="129" spans="1:22" ht="13.5" x14ac:dyDescent="0.35">
      <c r="A129" s="18">
        <v>103119</v>
      </c>
      <c r="B129" s="19" t="s">
        <v>155</v>
      </c>
      <c r="C129" s="19">
        <v>6.9</v>
      </c>
      <c r="D129" s="19">
        <v>101</v>
      </c>
      <c r="E129" s="19">
        <v>364</v>
      </c>
      <c r="F129" s="19">
        <v>18.54</v>
      </c>
      <c r="G129" s="19">
        <v>0</v>
      </c>
      <c r="H129" s="19">
        <v>18.54</v>
      </c>
      <c r="I129" s="20">
        <v>18.54</v>
      </c>
      <c r="J129" s="19">
        <f t="shared" si="7"/>
        <v>0</v>
      </c>
      <c r="K129" s="19">
        <f t="shared" si="8"/>
        <v>0</v>
      </c>
      <c r="L129" s="19">
        <v>-6.6E-4</v>
      </c>
      <c r="M129" s="19">
        <v>2.7399999999999998E-3</v>
      </c>
      <c r="N129" s="19">
        <v>2.7399999999999998E-3</v>
      </c>
      <c r="O129" s="19">
        <v>2.7100000000000002E-3</v>
      </c>
      <c r="P129" s="19">
        <v>2.6800000000000001E-3</v>
      </c>
      <c r="Q129" s="19"/>
      <c r="R129" s="19">
        <f t="shared" si="9"/>
        <v>0</v>
      </c>
      <c r="S129" s="19">
        <f t="shared" si="10"/>
        <v>0</v>
      </c>
      <c r="T129" s="19">
        <f t="shared" si="11"/>
        <v>0</v>
      </c>
      <c r="U129" s="19">
        <f t="shared" si="12"/>
        <v>0</v>
      </c>
      <c r="V129" s="21">
        <f t="shared" si="13"/>
        <v>0</v>
      </c>
    </row>
    <row r="130" spans="1:22" ht="13.5" x14ac:dyDescent="0.35">
      <c r="A130" s="18">
        <v>103123</v>
      </c>
      <c r="B130" s="19" t="s">
        <v>156</v>
      </c>
      <c r="C130" s="19">
        <v>13.8</v>
      </c>
      <c r="D130" s="19">
        <v>101</v>
      </c>
      <c r="E130" s="19">
        <v>364</v>
      </c>
      <c r="F130" s="19">
        <v>15.76</v>
      </c>
      <c r="G130" s="19">
        <v>0</v>
      </c>
      <c r="H130" s="19">
        <v>15.76</v>
      </c>
      <c r="I130" s="20">
        <v>15.76</v>
      </c>
      <c r="J130" s="19">
        <f t="shared" si="7"/>
        <v>0</v>
      </c>
      <c r="K130" s="19">
        <f t="shared" si="8"/>
        <v>0</v>
      </c>
      <c r="L130" s="19">
        <v>-6.6E-4</v>
      </c>
      <c r="M130" s="19">
        <v>2.7399999999999998E-3</v>
      </c>
      <c r="N130" s="19">
        <v>2.7399999999999998E-3</v>
      </c>
      <c r="O130" s="19">
        <v>2.7100000000000002E-3</v>
      </c>
      <c r="P130" s="19">
        <v>2.6800000000000001E-3</v>
      </c>
      <c r="Q130" s="19"/>
      <c r="R130" s="19">
        <f t="shared" si="9"/>
        <v>0</v>
      </c>
      <c r="S130" s="19">
        <f t="shared" si="10"/>
        <v>0</v>
      </c>
      <c r="T130" s="19">
        <f t="shared" si="11"/>
        <v>0</v>
      </c>
      <c r="U130" s="19">
        <f t="shared" si="12"/>
        <v>0</v>
      </c>
      <c r="V130" s="21">
        <f t="shared" si="13"/>
        <v>0</v>
      </c>
    </row>
    <row r="131" spans="1:22" ht="13.5" x14ac:dyDescent="0.35">
      <c r="A131" s="18">
        <v>103124</v>
      </c>
      <c r="B131" s="19" t="s">
        <v>157</v>
      </c>
      <c r="C131" s="19">
        <v>6.9</v>
      </c>
      <c r="D131" s="19">
        <v>101</v>
      </c>
      <c r="E131" s="19">
        <v>364</v>
      </c>
      <c r="F131" s="19">
        <v>23.33</v>
      </c>
      <c r="G131" s="19">
        <v>0</v>
      </c>
      <c r="H131" s="19">
        <v>23.33</v>
      </c>
      <c r="I131" s="20">
        <v>23.33</v>
      </c>
      <c r="J131" s="19">
        <f t="shared" si="7"/>
        <v>0</v>
      </c>
      <c r="K131" s="19">
        <f t="shared" si="8"/>
        <v>0</v>
      </c>
      <c r="L131" s="19">
        <v>-6.6E-4</v>
      </c>
      <c r="M131" s="19">
        <v>2.7399999999999998E-3</v>
      </c>
      <c r="N131" s="19">
        <v>2.7399999999999998E-3</v>
      </c>
      <c r="O131" s="19">
        <v>2.7100000000000002E-3</v>
      </c>
      <c r="P131" s="19">
        <v>2.6800000000000001E-3</v>
      </c>
      <c r="Q131" s="19"/>
      <c r="R131" s="19">
        <f t="shared" si="9"/>
        <v>0</v>
      </c>
      <c r="S131" s="19">
        <f t="shared" si="10"/>
        <v>0</v>
      </c>
      <c r="T131" s="19">
        <f t="shared" si="11"/>
        <v>0</v>
      </c>
      <c r="U131" s="19">
        <f t="shared" si="12"/>
        <v>0</v>
      </c>
      <c r="V131" s="21">
        <f t="shared" si="13"/>
        <v>0</v>
      </c>
    </row>
    <row r="132" spans="1:22" ht="13.5" x14ac:dyDescent="0.35">
      <c r="A132" s="18">
        <v>103129</v>
      </c>
      <c r="B132" s="19" t="s">
        <v>158</v>
      </c>
      <c r="C132" s="19">
        <v>0.48</v>
      </c>
      <c r="D132" s="19">
        <v>101</v>
      </c>
      <c r="E132" s="19">
        <v>381</v>
      </c>
      <c r="F132" s="19">
        <v>0</v>
      </c>
      <c r="G132" s="19">
        <v>0</v>
      </c>
      <c r="H132" s="19">
        <v>0</v>
      </c>
      <c r="I132" s="20">
        <v>0</v>
      </c>
      <c r="J132" s="19">
        <f t="shared" si="7"/>
        <v>0</v>
      </c>
      <c r="K132" s="19">
        <f t="shared" si="8"/>
        <v>0</v>
      </c>
      <c r="L132" s="19">
        <v>-6.6E-4</v>
      </c>
      <c r="M132" s="19">
        <v>2.7399999999999998E-3</v>
      </c>
      <c r="N132" s="19">
        <v>2.7399999999999998E-3</v>
      </c>
      <c r="O132" s="19">
        <v>2.7100000000000002E-3</v>
      </c>
      <c r="P132" s="19">
        <v>2.6800000000000001E-3</v>
      </c>
      <c r="Q132" s="19"/>
      <c r="R132" s="19">
        <f t="shared" si="9"/>
        <v>0</v>
      </c>
      <c r="S132" s="19">
        <f t="shared" si="10"/>
        <v>0</v>
      </c>
      <c r="T132" s="19">
        <f t="shared" si="11"/>
        <v>0</v>
      </c>
      <c r="U132" s="19">
        <f t="shared" si="12"/>
        <v>0</v>
      </c>
      <c r="V132" s="21">
        <f t="shared" si="13"/>
        <v>0</v>
      </c>
    </row>
    <row r="133" spans="1:22" ht="13.5" x14ac:dyDescent="0.35">
      <c r="A133" s="18">
        <v>103131</v>
      </c>
      <c r="B133" s="19" t="s">
        <v>159</v>
      </c>
      <c r="C133" s="19">
        <v>6.9</v>
      </c>
      <c r="D133" s="19">
        <v>101</v>
      </c>
      <c r="E133" s="19">
        <v>364</v>
      </c>
      <c r="F133" s="19">
        <v>6.18</v>
      </c>
      <c r="G133" s="19">
        <v>0</v>
      </c>
      <c r="H133" s="19">
        <v>6.18</v>
      </c>
      <c r="I133" s="20">
        <v>6.18</v>
      </c>
      <c r="J133" s="19">
        <f t="shared" si="7"/>
        <v>0</v>
      </c>
      <c r="K133" s="19">
        <f t="shared" si="8"/>
        <v>0</v>
      </c>
      <c r="L133" s="19">
        <v>-6.6E-4</v>
      </c>
      <c r="M133" s="19">
        <v>2.7399999999999998E-3</v>
      </c>
      <c r="N133" s="19">
        <v>2.7399999999999998E-3</v>
      </c>
      <c r="O133" s="19">
        <v>2.7100000000000002E-3</v>
      </c>
      <c r="P133" s="19">
        <v>2.6800000000000001E-3</v>
      </c>
      <c r="Q133" s="19"/>
      <c r="R133" s="19">
        <f t="shared" si="9"/>
        <v>0</v>
      </c>
      <c r="S133" s="19">
        <f t="shared" si="10"/>
        <v>0</v>
      </c>
      <c r="T133" s="19">
        <f t="shared" si="11"/>
        <v>0</v>
      </c>
      <c r="U133" s="19">
        <f t="shared" si="12"/>
        <v>0</v>
      </c>
      <c r="V133" s="21">
        <f t="shared" si="13"/>
        <v>0</v>
      </c>
    </row>
    <row r="134" spans="1:22" ht="13.5" x14ac:dyDescent="0.35">
      <c r="A134" s="18">
        <v>103132</v>
      </c>
      <c r="B134" s="19" t="s">
        <v>160</v>
      </c>
      <c r="C134" s="19">
        <v>6.9</v>
      </c>
      <c r="D134" s="19">
        <v>101</v>
      </c>
      <c r="E134" s="19">
        <v>364</v>
      </c>
      <c r="F134" s="19">
        <v>6.33</v>
      </c>
      <c r="G134" s="19">
        <v>0</v>
      </c>
      <c r="H134" s="19">
        <v>6.33</v>
      </c>
      <c r="I134" s="20">
        <v>6.33</v>
      </c>
      <c r="J134" s="19">
        <f t="shared" si="7"/>
        <v>0</v>
      </c>
      <c r="K134" s="19">
        <f t="shared" si="8"/>
        <v>0</v>
      </c>
      <c r="L134" s="19">
        <v>-6.6E-4</v>
      </c>
      <c r="M134" s="19">
        <v>2.7399999999999998E-3</v>
      </c>
      <c r="N134" s="19">
        <v>2.7399999999999998E-3</v>
      </c>
      <c r="O134" s="19">
        <v>2.7100000000000002E-3</v>
      </c>
      <c r="P134" s="19">
        <v>2.6800000000000001E-3</v>
      </c>
      <c r="Q134" s="19"/>
      <c r="R134" s="19">
        <f t="shared" si="9"/>
        <v>0</v>
      </c>
      <c r="S134" s="19">
        <f t="shared" si="10"/>
        <v>0</v>
      </c>
      <c r="T134" s="19">
        <f t="shared" si="11"/>
        <v>0</v>
      </c>
      <c r="U134" s="19">
        <f t="shared" si="12"/>
        <v>0</v>
      </c>
      <c r="V134" s="21">
        <f t="shared" si="13"/>
        <v>0</v>
      </c>
    </row>
    <row r="135" spans="1:22" ht="13.5" x14ac:dyDescent="0.35">
      <c r="A135" s="18">
        <v>103133</v>
      </c>
      <c r="B135" s="19" t="s">
        <v>161</v>
      </c>
      <c r="C135" s="19">
        <v>6.9</v>
      </c>
      <c r="D135" s="19">
        <v>101</v>
      </c>
      <c r="E135" s="19">
        <v>363</v>
      </c>
      <c r="F135" s="19">
        <v>10.43</v>
      </c>
      <c r="G135" s="19">
        <v>0</v>
      </c>
      <c r="H135" s="19">
        <v>10.43</v>
      </c>
      <c r="I135" s="20">
        <v>10.43</v>
      </c>
      <c r="J135" s="19">
        <f t="shared" si="7"/>
        <v>0</v>
      </c>
      <c r="K135" s="19">
        <f t="shared" si="8"/>
        <v>0</v>
      </c>
      <c r="L135" s="19">
        <v>-6.6E-4</v>
      </c>
      <c r="M135" s="19">
        <v>2.7399999999999998E-3</v>
      </c>
      <c r="N135" s="19">
        <v>2.7399999999999998E-3</v>
      </c>
      <c r="O135" s="19">
        <v>2.7100000000000002E-3</v>
      </c>
      <c r="P135" s="19">
        <v>2.6800000000000001E-3</v>
      </c>
      <c r="Q135" s="19"/>
      <c r="R135" s="19">
        <f t="shared" si="9"/>
        <v>0</v>
      </c>
      <c r="S135" s="19">
        <f t="shared" si="10"/>
        <v>0</v>
      </c>
      <c r="T135" s="19">
        <f t="shared" si="11"/>
        <v>0</v>
      </c>
      <c r="U135" s="19">
        <f t="shared" si="12"/>
        <v>0</v>
      </c>
      <c r="V135" s="21">
        <f t="shared" si="13"/>
        <v>0</v>
      </c>
    </row>
    <row r="136" spans="1:22" ht="13.5" x14ac:dyDescent="0.35">
      <c r="A136" s="18">
        <v>103134</v>
      </c>
      <c r="B136" s="19" t="s">
        <v>162</v>
      </c>
      <c r="C136" s="19">
        <v>6.9</v>
      </c>
      <c r="D136" s="19">
        <v>101</v>
      </c>
      <c r="E136" s="19">
        <v>363</v>
      </c>
      <c r="F136" s="19">
        <v>10.43</v>
      </c>
      <c r="G136" s="19">
        <v>0</v>
      </c>
      <c r="H136" s="19">
        <v>10.43</v>
      </c>
      <c r="I136" s="20">
        <v>10.43</v>
      </c>
      <c r="J136" s="19">
        <f t="shared" si="7"/>
        <v>0</v>
      </c>
      <c r="K136" s="19">
        <f t="shared" si="8"/>
        <v>0</v>
      </c>
      <c r="L136" s="19">
        <v>-6.6E-4</v>
      </c>
      <c r="M136" s="19">
        <v>2.7399999999999998E-3</v>
      </c>
      <c r="N136" s="19">
        <v>2.7399999999999998E-3</v>
      </c>
      <c r="O136" s="19">
        <v>2.7100000000000002E-3</v>
      </c>
      <c r="P136" s="19">
        <v>2.6800000000000001E-3</v>
      </c>
      <c r="Q136" s="19"/>
      <c r="R136" s="19">
        <f t="shared" si="9"/>
        <v>0</v>
      </c>
      <c r="S136" s="19">
        <f t="shared" si="10"/>
        <v>0</v>
      </c>
      <c r="T136" s="19">
        <f t="shared" si="11"/>
        <v>0</v>
      </c>
      <c r="U136" s="19">
        <f t="shared" si="12"/>
        <v>0</v>
      </c>
      <c r="V136" s="21">
        <f t="shared" si="13"/>
        <v>0</v>
      </c>
    </row>
    <row r="137" spans="1:22" ht="13.5" x14ac:dyDescent="0.35">
      <c r="A137" s="18">
        <v>103135</v>
      </c>
      <c r="B137" s="19" t="s">
        <v>163</v>
      </c>
      <c r="C137" s="19">
        <v>6.9</v>
      </c>
      <c r="D137" s="19">
        <v>101</v>
      </c>
      <c r="E137" s="19">
        <v>363</v>
      </c>
      <c r="F137" s="19">
        <v>11.36</v>
      </c>
      <c r="G137" s="19">
        <v>0</v>
      </c>
      <c r="H137" s="19">
        <v>11.36</v>
      </c>
      <c r="I137" s="20">
        <v>11.36</v>
      </c>
      <c r="J137" s="19">
        <f t="shared" si="7"/>
        <v>0</v>
      </c>
      <c r="K137" s="19">
        <f t="shared" si="8"/>
        <v>0</v>
      </c>
      <c r="L137" s="19">
        <v>-6.6E-4</v>
      </c>
      <c r="M137" s="19">
        <v>2.7399999999999998E-3</v>
      </c>
      <c r="N137" s="19">
        <v>2.7399999999999998E-3</v>
      </c>
      <c r="O137" s="19">
        <v>2.7100000000000002E-3</v>
      </c>
      <c r="P137" s="19">
        <v>2.6800000000000001E-3</v>
      </c>
      <c r="Q137" s="19"/>
      <c r="R137" s="19">
        <f t="shared" si="9"/>
        <v>0</v>
      </c>
      <c r="S137" s="19">
        <f t="shared" si="10"/>
        <v>0</v>
      </c>
      <c r="T137" s="19">
        <f t="shared" si="11"/>
        <v>0</v>
      </c>
      <c r="U137" s="19">
        <f t="shared" si="12"/>
        <v>0</v>
      </c>
      <c r="V137" s="21">
        <f t="shared" si="13"/>
        <v>0</v>
      </c>
    </row>
    <row r="138" spans="1:22" ht="13.5" x14ac:dyDescent="0.35">
      <c r="A138" s="18">
        <v>103140</v>
      </c>
      <c r="B138" s="19" t="s">
        <v>164</v>
      </c>
      <c r="C138" s="19">
        <v>0.65</v>
      </c>
      <c r="D138" s="19">
        <v>101</v>
      </c>
      <c r="E138" s="19">
        <v>384</v>
      </c>
      <c r="F138" s="19">
        <v>0</v>
      </c>
      <c r="G138" s="19">
        <v>0</v>
      </c>
      <c r="H138" s="19">
        <v>0</v>
      </c>
      <c r="I138" s="20">
        <v>0</v>
      </c>
      <c r="J138" s="19">
        <f t="shared" si="7"/>
        <v>0</v>
      </c>
      <c r="K138" s="19">
        <f t="shared" si="8"/>
        <v>0</v>
      </c>
      <c r="L138" s="19">
        <v>-6.6E-4</v>
      </c>
      <c r="M138" s="19">
        <v>2.7399999999999998E-3</v>
      </c>
      <c r="N138" s="19">
        <v>2.7399999999999998E-3</v>
      </c>
      <c r="O138" s="19">
        <v>2.7100000000000002E-3</v>
      </c>
      <c r="P138" s="19">
        <v>2.6800000000000001E-3</v>
      </c>
      <c r="Q138" s="19"/>
      <c r="R138" s="19">
        <f t="shared" si="9"/>
        <v>0</v>
      </c>
      <c r="S138" s="19">
        <f t="shared" si="10"/>
        <v>0</v>
      </c>
      <c r="T138" s="19">
        <f t="shared" si="11"/>
        <v>0</v>
      </c>
      <c r="U138" s="19">
        <f t="shared" si="12"/>
        <v>0</v>
      </c>
      <c r="V138" s="21">
        <f t="shared" si="13"/>
        <v>0</v>
      </c>
    </row>
    <row r="139" spans="1:22" ht="13.5" x14ac:dyDescent="0.35">
      <c r="A139" s="18">
        <v>103141</v>
      </c>
      <c r="B139" s="19" t="s">
        <v>165</v>
      </c>
      <c r="C139" s="19">
        <v>2.2999999999999998</v>
      </c>
      <c r="D139" s="19">
        <v>101</v>
      </c>
      <c r="E139" s="19">
        <v>364</v>
      </c>
      <c r="F139" s="19">
        <v>9.5</v>
      </c>
      <c r="G139" s="19">
        <v>0</v>
      </c>
      <c r="H139" s="19">
        <v>9.5</v>
      </c>
      <c r="I139" s="20">
        <v>9.5</v>
      </c>
      <c r="J139" s="19">
        <f t="shared" si="7"/>
        <v>0</v>
      </c>
      <c r="K139" s="19">
        <f t="shared" si="8"/>
        <v>0</v>
      </c>
      <c r="L139" s="19">
        <v>-6.6E-4</v>
      </c>
      <c r="M139" s="19">
        <v>2.7399999999999998E-3</v>
      </c>
      <c r="N139" s="19">
        <v>2.7399999999999998E-3</v>
      </c>
      <c r="O139" s="19">
        <v>2.7100000000000002E-3</v>
      </c>
      <c r="P139" s="19">
        <v>2.6800000000000001E-3</v>
      </c>
      <c r="Q139" s="19"/>
      <c r="R139" s="19">
        <f t="shared" si="9"/>
        <v>0</v>
      </c>
      <c r="S139" s="19">
        <f t="shared" si="10"/>
        <v>0</v>
      </c>
      <c r="T139" s="19">
        <f t="shared" si="11"/>
        <v>0</v>
      </c>
      <c r="U139" s="19">
        <f t="shared" si="12"/>
        <v>0</v>
      </c>
      <c r="V139" s="21">
        <f t="shared" si="13"/>
        <v>0</v>
      </c>
    </row>
    <row r="140" spans="1:22" ht="13.5" x14ac:dyDescent="0.35">
      <c r="A140" s="18">
        <v>103143</v>
      </c>
      <c r="B140" s="19" t="s">
        <v>166</v>
      </c>
      <c r="C140" s="19">
        <v>12.5</v>
      </c>
      <c r="D140" s="19">
        <v>101</v>
      </c>
      <c r="E140" s="19">
        <v>364</v>
      </c>
      <c r="F140" s="19">
        <v>0</v>
      </c>
      <c r="G140" s="19">
        <v>0</v>
      </c>
      <c r="H140" s="19">
        <v>0</v>
      </c>
      <c r="I140" s="20">
        <v>0</v>
      </c>
      <c r="J140" s="19">
        <f t="shared" si="7"/>
        <v>0</v>
      </c>
      <c r="K140" s="19">
        <f t="shared" si="8"/>
        <v>0</v>
      </c>
      <c r="L140" s="19">
        <v>-6.6E-4</v>
      </c>
      <c r="M140" s="19">
        <v>2.7399999999999998E-3</v>
      </c>
      <c r="N140" s="19">
        <v>2.7399999999999998E-3</v>
      </c>
      <c r="O140" s="19">
        <v>2.7100000000000002E-3</v>
      </c>
      <c r="P140" s="19">
        <v>2.6800000000000001E-3</v>
      </c>
      <c r="Q140" s="19"/>
      <c r="R140" s="19">
        <f t="shared" si="9"/>
        <v>0</v>
      </c>
      <c r="S140" s="19">
        <f t="shared" si="10"/>
        <v>0</v>
      </c>
      <c r="T140" s="19">
        <f t="shared" si="11"/>
        <v>0</v>
      </c>
      <c r="U140" s="19">
        <f t="shared" si="12"/>
        <v>0</v>
      </c>
      <c r="V140" s="21">
        <f t="shared" si="13"/>
        <v>0</v>
      </c>
    </row>
    <row r="141" spans="1:22" ht="13.5" x14ac:dyDescent="0.35">
      <c r="A141" s="18">
        <v>103147</v>
      </c>
      <c r="B141" s="19" t="s">
        <v>167</v>
      </c>
      <c r="C141" s="19">
        <v>0.65</v>
      </c>
      <c r="D141" s="19">
        <v>101</v>
      </c>
      <c r="E141" s="19">
        <v>364</v>
      </c>
      <c r="F141" s="19">
        <v>0</v>
      </c>
      <c r="G141" s="19">
        <v>0</v>
      </c>
      <c r="H141" s="19">
        <v>0</v>
      </c>
      <c r="I141" s="20">
        <v>0</v>
      </c>
      <c r="J141" s="19">
        <f t="shared" si="7"/>
        <v>0</v>
      </c>
      <c r="K141" s="19">
        <f t="shared" si="8"/>
        <v>0</v>
      </c>
      <c r="L141" s="19">
        <v>-6.6E-4</v>
      </c>
      <c r="M141" s="19">
        <v>2.7399999999999998E-3</v>
      </c>
      <c r="N141" s="19">
        <v>2.7399999999999998E-3</v>
      </c>
      <c r="O141" s="19">
        <v>2.7100000000000002E-3</v>
      </c>
      <c r="P141" s="19">
        <v>2.6800000000000001E-3</v>
      </c>
      <c r="Q141" s="19"/>
      <c r="R141" s="19">
        <f t="shared" si="9"/>
        <v>0</v>
      </c>
      <c r="S141" s="19">
        <f t="shared" si="10"/>
        <v>0</v>
      </c>
      <c r="T141" s="19">
        <f t="shared" si="11"/>
        <v>0</v>
      </c>
      <c r="U141" s="19">
        <f t="shared" si="12"/>
        <v>0</v>
      </c>
      <c r="V141" s="21">
        <f t="shared" si="13"/>
        <v>0</v>
      </c>
    </row>
    <row r="142" spans="1:22" ht="13.5" x14ac:dyDescent="0.35">
      <c r="A142" s="18">
        <v>103152</v>
      </c>
      <c r="B142" s="19" t="s">
        <v>168</v>
      </c>
      <c r="C142" s="19">
        <v>0.69</v>
      </c>
      <c r="D142" s="19">
        <v>101</v>
      </c>
      <c r="E142" s="19">
        <v>353</v>
      </c>
      <c r="F142" s="19">
        <v>0</v>
      </c>
      <c r="G142" s="19">
        <v>0</v>
      </c>
      <c r="H142" s="19">
        <v>0</v>
      </c>
      <c r="I142" s="20">
        <v>0</v>
      </c>
      <c r="J142" s="19">
        <f t="shared" ref="J142:J205" si="14">I142-F142</f>
        <v>0</v>
      </c>
      <c r="K142" s="19">
        <f t="shared" ref="K142:K205" si="15">H142-I142</f>
        <v>0</v>
      </c>
      <c r="L142" s="19">
        <v>-6.6E-4</v>
      </c>
      <c r="M142" s="19">
        <v>2.7399999999999998E-3</v>
      </c>
      <c r="N142" s="19">
        <v>2.7399999999999998E-3</v>
      </c>
      <c r="O142" s="19">
        <v>2.7100000000000002E-3</v>
      </c>
      <c r="P142" s="19">
        <v>2.6800000000000001E-3</v>
      </c>
      <c r="Q142" s="19"/>
      <c r="R142" s="19">
        <f t="shared" ref="R142:R205" si="16">L142*J142</f>
        <v>0</v>
      </c>
      <c r="S142" s="19">
        <f t="shared" ref="S142:S205" si="17">M142*J142</f>
        <v>0</v>
      </c>
      <c r="T142" s="19">
        <f t="shared" ref="T142:T205" si="18">N142*J142</f>
        <v>0</v>
      </c>
      <c r="U142" s="19">
        <f t="shared" ref="U142:U205" si="19">O142*J142</f>
        <v>0</v>
      </c>
      <c r="V142" s="21">
        <f t="shared" ref="V142:V205" si="20">P142*J142</f>
        <v>0</v>
      </c>
    </row>
    <row r="143" spans="1:22" ht="13.5" x14ac:dyDescent="0.35">
      <c r="A143" s="18">
        <v>103166</v>
      </c>
      <c r="B143" s="19" t="s">
        <v>169</v>
      </c>
      <c r="C143" s="19">
        <v>0.65</v>
      </c>
      <c r="D143" s="19">
        <v>101</v>
      </c>
      <c r="E143" s="19">
        <v>353</v>
      </c>
      <c r="F143" s="19">
        <v>0</v>
      </c>
      <c r="G143" s="19">
        <v>0</v>
      </c>
      <c r="H143" s="19">
        <v>0</v>
      </c>
      <c r="I143" s="20">
        <v>0</v>
      </c>
      <c r="J143" s="19">
        <f t="shared" si="14"/>
        <v>0</v>
      </c>
      <c r="K143" s="19">
        <f t="shared" si="15"/>
        <v>0</v>
      </c>
      <c r="L143" s="19">
        <v>-6.6E-4</v>
      </c>
      <c r="M143" s="19">
        <v>2.7399999999999998E-3</v>
      </c>
      <c r="N143" s="19">
        <v>2.7399999999999998E-3</v>
      </c>
      <c r="O143" s="19">
        <v>2.7100000000000002E-3</v>
      </c>
      <c r="P143" s="19">
        <v>2.6800000000000001E-3</v>
      </c>
      <c r="Q143" s="19"/>
      <c r="R143" s="19">
        <f t="shared" si="16"/>
        <v>0</v>
      </c>
      <c r="S143" s="19">
        <f t="shared" si="17"/>
        <v>0</v>
      </c>
      <c r="T143" s="19">
        <f t="shared" si="18"/>
        <v>0</v>
      </c>
      <c r="U143" s="19">
        <f t="shared" si="19"/>
        <v>0</v>
      </c>
      <c r="V143" s="21">
        <f t="shared" si="20"/>
        <v>0</v>
      </c>
    </row>
    <row r="144" spans="1:22" ht="13.5" x14ac:dyDescent="0.35">
      <c r="A144" s="18">
        <v>103169</v>
      </c>
      <c r="B144" s="19" t="s">
        <v>170</v>
      </c>
      <c r="C144" s="19">
        <v>0.65</v>
      </c>
      <c r="D144" s="19">
        <v>101</v>
      </c>
      <c r="E144" s="19">
        <v>353</v>
      </c>
      <c r="F144" s="19">
        <v>0</v>
      </c>
      <c r="G144" s="19">
        <v>0</v>
      </c>
      <c r="H144" s="19">
        <v>0</v>
      </c>
      <c r="I144" s="20">
        <v>0</v>
      </c>
      <c r="J144" s="19">
        <f t="shared" si="14"/>
        <v>0</v>
      </c>
      <c r="K144" s="19">
        <f t="shared" si="15"/>
        <v>0</v>
      </c>
      <c r="L144" s="19">
        <v>-6.6E-4</v>
      </c>
      <c r="M144" s="19">
        <v>2.7399999999999998E-3</v>
      </c>
      <c r="N144" s="19">
        <v>2.7399999999999998E-3</v>
      </c>
      <c r="O144" s="19">
        <v>2.7100000000000002E-3</v>
      </c>
      <c r="P144" s="19">
        <v>2.6800000000000001E-3</v>
      </c>
      <c r="Q144" s="19"/>
      <c r="R144" s="19">
        <f t="shared" si="16"/>
        <v>0</v>
      </c>
      <c r="S144" s="19">
        <f t="shared" si="17"/>
        <v>0</v>
      </c>
      <c r="T144" s="19">
        <f t="shared" si="18"/>
        <v>0</v>
      </c>
      <c r="U144" s="19">
        <f t="shared" si="19"/>
        <v>0</v>
      </c>
      <c r="V144" s="21">
        <f t="shared" si="20"/>
        <v>0</v>
      </c>
    </row>
    <row r="145" spans="1:22" ht="13.5" x14ac:dyDescent="0.35">
      <c r="A145" s="18">
        <v>103170</v>
      </c>
      <c r="B145" s="19" t="s">
        <v>171</v>
      </c>
      <c r="C145" s="19">
        <v>0.48</v>
      </c>
      <c r="D145" s="19">
        <v>101</v>
      </c>
      <c r="E145" s="19">
        <v>353</v>
      </c>
      <c r="F145" s="19">
        <v>0</v>
      </c>
      <c r="G145" s="19">
        <v>0</v>
      </c>
      <c r="H145" s="19">
        <v>0</v>
      </c>
      <c r="I145" s="20">
        <v>0</v>
      </c>
      <c r="J145" s="19">
        <f t="shared" si="14"/>
        <v>0</v>
      </c>
      <c r="K145" s="19">
        <f t="shared" si="15"/>
        <v>0</v>
      </c>
      <c r="L145" s="19">
        <v>-6.6E-4</v>
      </c>
      <c r="M145" s="19">
        <v>2.7399999999999998E-3</v>
      </c>
      <c r="N145" s="19">
        <v>2.7399999999999998E-3</v>
      </c>
      <c r="O145" s="19">
        <v>2.7100000000000002E-3</v>
      </c>
      <c r="P145" s="19">
        <v>2.6800000000000001E-3</v>
      </c>
      <c r="Q145" s="19"/>
      <c r="R145" s="19">
        <f t="shared" si="16"/>
        <v>0</v>
      </c>
      <c r="S145" s="19">
        <f t="shared" si="17"/>
        <v>0</v>
      </c>
      <c r="T145" s="19">
        <f t="shared" si="18"/>
        <v>0</v>
      </c>
      <c r="U145" s="19">
        <f t="shared" si="19"/>
        <v>0</v>
      </c>
      <c r="V145" s="21">
        <f t="shared" si="20"/>
        <v>0</v>
      </c>
    </row>
    <row r="146" spans="1:22" ht="13.5" x14ac:dyDescent="0.35">
      <c r="A146" s="18">
        <v>103173</v>
      </c>
      <c r="B146" s="19" t="s">
        <v>172</v>
      </c>
      <c r="C146" s="19">
        <v>0.6</v>
      </c>
      <c r="D146" s="19">
        <v>101</v>
      </c>
      <c r="E146" s="19">
        <v>384</v>
      </c>
      <c r="F146" s="19">
        <v>0</v>
      </c>
      <c r="G146" s="19">
        <v>0</v>
      </c>
      <c r="H146" s="19">
        <v>0</v>
      </c>
      <c r="I146" s="20">
        <v>0</v>
      </c>
      <c r="J146" s="19">
        <f t="shared" si="14"/>
        <v>0</v>
      </c>
      <c r="K146" s="19">
        <f t="shared" si="15"/>
        <v>0</v>
      </c>
      <c r="L146" s="19">
        <v>-6.6E-4</v>
      </c>
      <c r="M146" s="19">
        <v>2.7399999999999998E-3</v>
      </c>
      <c r="N146" s="19">
        <v>2.7399999999999998E-3</v>
      </c>
      <c r="O146" s="19">
        <v>2.7100000000000002E-3</v>
      </c>
      <c r="P146" s="19">
        <v>2.6800000000000001E-3</v>
      </c>
      <c r="Q146" s="19"/>
      <c r="R146" s="19">
        <f t="shared" si="16"/>
        <v>0</v>
      </c>
      <c r="S146" s="19">
        <f t="shared" si="17"/>
        <v>0</v>
      </c>
      <c r="T146" s="19">
        <f t="shared" si="18"/>
        <v>0</v>
      </c>
      <c r="U146" s="19">
        <f t="shared" si="19"/>
        <v>0</v>
      </c>
      <c r="V146" s="21">
        <f t="shared" si="20"/>
        <v>0</v>
      </c>
    </row>
    <row r="147" spans="1:22" ht="13.5" x14ac:dyDescent="0.35">
      <c r="A147" s="18">
        <v>103174</v>
      </c>
      <c r="B147" s="19" t="s">
        <v>173</v>
      </c>
      <c r="C147" s="19">
        <v>0.6</v>
      </c>
      <c r="D147" s="19">
        <v>101</v>
      </c>
      <c r="E147" s="19">
        <v>384</v>
      </c>
      <c r="F147" s="19">
        <v>0</v>
      </c>
      <c r="G147" s="19">
        <v>0</v>
      </c>
      <c r="H147" s="19">
        <v>0</v>
      </c>
      <c r="I147" s="20">
        <v>0</v>
      </c>
      <c r="J147" s="19">
        <f t="shared" si="14"/>
        <v>0</v>
      </c>
      <c r="K147" s="19">
        <f t="shared" si="15"/>
        <v>0</v>
      </c>
      <c r="L147" s="19">
        <v>-6.6E-4</v>
      </c>
      <c r="M147" s="19">
        <v>2.7399999999999998E-3</v>
      </c>
      <c r="N147" s="19">
        <v>2.7399999999999998E-3</v>
      </c>
      <c r="O147" s="19">
        <v>2.7100000000000002E-3</v>
      </c>
      <c r="P147" s="19">
        <v>2.6800000000000001E-3</v>
      </c>
      <c r="Q147" s="19"/>
      <c r="R147" s="19">
        <f t="shared" si="16"/>
        <v>0</v>
      </c>
      <c r="S147" s="19">
        <f t="shared" si="17"/>
        <v>0</v>
      </c>
      <c r="T147" s="19">
        <f t="shared" si="18"/>
        <v>0</v>
      </c>
      <c r="U147" s="19">
        <f t="shared" si="19"/>
        <v>0</v>
      </c>
      <c r="V147" s="21">
        <f t="shared" si="20"/>
        <v>0</v>
      </c>
    </row>
    <row r="148" spans="1:22" ht="13.5" x14ac:dyDescent="0.35">
      <c r="A148" s="18">
        <v>105110</v>
      </c>
      <c r="B148" s="19" t="s">
        <v>174</v>
      </c>
      <c r="C148" s="19">
        <v>0.48</v>
      </c>
      <c r="D148" s="19">
        <v>101</v>
      </c>
      <c r="E148" s="19">
        <v>524</v>
      </c>
      <c r="F148" s="19">
        <v>0</v>
      </c>
      <c r="G148" s="19">
        <v>0</v>
      </c>
      <c r="H148" s="19">
        <v>0</v>
      </c>
      <c r="I148" s="20">
        <v>0</v>
      </c>
      <c r="J148" s="19">
        <f t="shared" si="14"/>
        <v>0</v>
      </c>
      <c r="K148" s="19">
        <f t="shared" si="15"/>
        <v>0</v>
      </c>
      <c r="L148" s="19">
        <v>-6.6E-4</v>
      </c>
      <c r="M148" s="19">
        <v>2.2899999999999999E-3</v>
      </c>
      <c r="N148" s="19">
        <v>2.2899999999999999E-3</v>
      </c>
      <c r="O148" s="19">
        <v>2.2599999999999999E-3</v>
      </c>
      <c r="P148" s="19">
        <v>2.2399999999999998E-3</v>
      </c>
      <c r="Q148" s="19"/>
      <c r="R148" s="19">
        <f t="shared" si="16"/>
        <v>0</v>
      </c>
      <c r="S148" s="19">
        <f t="shared" si="17"/>
        <v>0</v>
      </c>
      <c r="T148" s="19">
        <f t="shared" si="18"/>
        <v>0</v>
      </c>
      <c r="U148" s="19">
        <f t="shared" si="19"/>
        <v>0</v>
      </c>
      <c r="V148" s="21">
        <f t="shared" si="20"/>
        <v>0</v>
      </c>
    </row>
    <row r="149" spans="1:22" ht="13.5" x14ac:dyDescent="0.35">
      <c r="A149" s="18">
        <v>105113</v>
      </c>
      <c r="B149" s="19" t="s">
        <v>175</v>
      </c>
      <c r="C149" s="19">
        <v>1</v>
      </c>
      <c r="D149" s="19">
        <v>101</v>
      </c>
      <c r="E149" s="19">
        <v>524</v>
      </c>
      <c r="F149" s="19">
        <v>0</v>
      </c>
      <c r="G149" s="19">
        <v>0</v>
      </c>
      <c r="H149" s="19">
        <v>0</v>
      </c>
      <c r="I149" s="20">
        <v>0</v>
      </c>
      <c r="J149" s="19">
        <f t="shared" si="14"/>
        <v>0</v>
      </c>
      <c r="K149" s="19">
        <f t="shared" si="15"/>
        <v>0</v>
      </c>
      <c r="L149" s="19">
        <v>-6.6E-4</v>
      </c>
      <c r="M149" s="19">
        <v>2.2899999999999999E-3</v>
      </c>
      <c r="N149" s="19">
        <v>2.2899999999999999E-3</v>
      </c>
      <c r="O149" s="19">
        <v>2.2599999999999999E-3</v>
      </c>
      <c r="P149" s="19">
        <v>2.2399999999999998E-3</v>
      </c>
      <c r="Q149" s="19"/>
      <c r="R149" s="19">
        <f t="shared" si="16"/>
        <v>0</v>
      </c>
      <c r="S149" s="19">
        <f t="shared" si="17"/>
        <v>0</v>
      </c>
      <c r="T149" s="19">
        <f t="shared" si="18"/>
        <v>0</v>
      </c>
      <c r="U149" s="19">
        <f t="shared" si="19"/>
        <v>0</v>
      </c>
      <c r="V149" s="21">
        <f t="shared" si="20"/>
        <v>0</v>
      </c>
    </row>
    <row r="150" spans="1:22" ht="13.5" x14ac:dyDescent="0.35">
      <c r="A150" s="18">
        <v>105117</v>
      </c>
      <c r="B150" s="19" t="s">
        <v>176</v>
      </c>
      <c r="C150" s="19">
        <v>1</v>
      </c>
      <c r="D150" s="19">
        <v>101</v>
      </c>
      <c r="E150" s="19">
        <v>524</v>
      </c>
      <c r="F150" s="19">
        <v>8.15</v>
      </c>
      <c r="G150" s="19">
        <v>0</v>
      </c>
      <c r="H150" s="19">
        <v>8.15</v>
      </c>
      <c r="I150" s="20">
        <v>8.15</v>
      </c>
      <c r="J150" s="19">
        <f t="shared" si="14"/>
        <v>0</v>
      </c>
      <c r="K150" s="19">
        <f t="shared" si="15"/>
        <v>0</v>
      </c>
      <c r="L150" s="19">
        <v>-6.6E-4</v>
      </c>
      <c r="M150" s="19">
        <v>2.2899999999999999E-3</v>
      </c>
      <c r="N150" s="19">
        <v>2.2899999999999999E-3</v>
      </c>
      <c r="O150" s="19">
        <v>2.2599999999999999E-3</v>
      </c>
      <c r="P150" s="19">
        <v>2.2399999999999998E-3</v>
      </c>
      <c r="Q150" s="19"/>
      <c r="R150" s="19">
        <f t="shared" si="16"/>
        <v>0</v>
      </c>
      <c r="S150" s="19">
        <f t="shared" si="17"/>
        <v>0</v>
      </c>
      <c r="T150" s="19">
        <f t="shared" si="18"/>
        <v>0</v>
      </c>
      <c r="U150" s="19">
        <f t="shared" si="19"/>
        <v>0</v>
      </c>
      <c r="V150" s="21">
        <f t="shared" si="20"/>
        <v>0</v>
      </c>
    </row>
    <row r="151" spans="1:22" ht="13.5" x14ac:dyDescent="0.35">
      <c r="A151" s="18">
        <v>105120</v>
      </c>
      <c r="B151" s="19" t="s">
        <v>177</v>
      </c>
      <c r="C151" s="19">
        <v>1</v>
      </c>
      <c r="D151" s="19">
        <v>101</v>
      </c>
      <c r="E151" s="19">
        <v>524</v>
      </c>
      <c r="F151" s="19">
        <v>0</v>
      </c>
      <c r="G151" s="19">
        <v>0</v>
      </c>
      <c r="H151" s="19">
        <v>0</v>
      </c>
      <c r="I151" s="20">
        <v>0</v>
      </c>
      <c r="J151" s="19">
        <f t="shared" si="14"/>
        <v>0</v>
      </c>
      <c r="K151" s="19">
        <f t="shared" si="15"/>
        <v>0</v>
      </c>
      <c r="L151" s="19">
        <v>-6.6E-4</v>
      </c>
      <c r="M151" s="19">
        <v>2.2899999999999999E-3</v>
      </c>
      <c r="N151" s="19">
        <v>2.2899999999999999E-3</v>
      </c>
      <c r="O151" s="19">
        <v>2.2599999999999999E-3</v>
      </c>
      <c r="P151" s="19">
        <v>2.2399999999999998E-3</v>
      </c>
      <c r="Q151" s="19"/>
      <c r="R151" s="19">
        <f t="shared" si="16"/>
        <v>0</v>
      </c>
      <c r="S151" s="19">
        <f t="shared" si="17"/>
        <v>0</v>
      </c>
      <c r="T151" s="19">
        <f t="shared" si="18"/>
        <v>0</v>
      </c>
      <c r="U151" s="19">
        <f t="shared" si="19"/>
        <v>0</v>
      </c>
      <c r="V151" s="21">
        <f t="shared" si="20"/>
        <v>0</v>
      </c>
    </row>
    <row r="152" spans="1:22" ht="13.5" x14ac:dyDescent="0.35">
      <c r="A152" s="18">
        <v>105123</v>
      </c>
      <c r="B152" s="19" t="s">
        <v>178</v>
      </c>
      <c r="C152" s="19">
        <v>1</v>
      </c>
      <c r="D152" s="19">
        <v>101</v>
      </c>
      <c r="E152" s="19">
        <v>524</v>
      </c>
      <c r="F152" s="19">
        <v>0</v>
      </c>
      <c r="G152" s="19">
        <v>0</v>
      </c>
      <c r="H152" s="19">
        <v>0</v>
      </c>
      <c r="I152" s="20">
        <v>0</v>
      </c>
      <c r="J152" s="19">
        <f t="shared" si="14"/>
        <v>0</v>
      </c>
      <c r="K152" s="19">
        <f t="shared" si="15"/>
        <v>0</v>
      </c>
      <c r="L152" s="19">
        <v>-6.6E-4</v>
      </c>
      <c r="M152" s="19">
        <v>2.2899999999999999E-3</v>
      </c>
      <c r="N152" s="19">
        <v>2.2899999999999999E-3</v>
      </c>
      <c r="O152" s="19">
        <v>2.2599999999999999E-3</v>
      </c>
      <c r="P152" s="19">
        <v>2.2399999999999998E-3</v>
      </c>
      <c r="Q152" s="19"/>
      <c r="R152" s="19">
        <f t="shared" si="16"/>
        <v>0</v>
      </c>
      <c r="S152" s="19">
        <f t="shared" si="17"/>
        <v>0</v>
      </c>
      <c r="T152" s="19">
        <f t="shared" si="18"/>
        <v>0</v>
      </c>
      <c r="U152" s="19">
        <f t="shared" si="19"/>
        <v>0</v>
      </c>
      <c r="V152" s="21">
        <f t="shared" si="20"/>
        <v>0</v>
      </c>
    </row>
    <row r="153" spans="1:22" ht="13.5" x14ac:dyDescent="0.35">
      <c r="A153" s="18">
        <v>105125</v>
      </c>
      <c r="B153" s="19" t="s">
        <v>179</v>
      </c>
      <c r="C153" s="19">
        <v>1</v>
      </c>
      <c r="D153" s="19">
        <v>101</v>
      </c>
      <c r="E153" s="19">
        <v>524</v>
      </c>
      <c r="F153" s="19">
        <v>0</v>
      </c>
      <c r="G153" s="19">
        <v>0</v>
      </c>
      <c r="H153" s="19">
        <v>0</v>
      </c>
      <c r="I153" s="20">
        <v>0</v>
      </c>
      <c r="J153" s="19">
        <f t="shared" si="14"/>
        <v>0</v>
      </c>
      <c r="K153" s="19">
        <f t="shared" si="15"/>
        <v>0</v>
      </c>
      <c r="L153" s="19">
        <v>-6.6E-4</v>
      </c>
      <c r="M153" s="19">
        <v>2.2899999999999999E-3</v>
      </c>
      <c r="N153" s="19">
        <v>2.2899999999999999E-3</v>
      </c>
      <c r="O153" s="19">
        <v>2.2599999999999999E-3</v>
      </c>
      <c r="P153" s="19">
        <v>2.2399999999999998E-3</v>
      </c>
      <c r="Q153" s="19"/>
      <c r="R153" s="19">
        <f t="shared" si="16"/>
        <v>0</v>
      </c>
      <c r="S153" s="19">
        <f t="shared" si="17"/>
        <v>0</v>
      </c>
      <c r="T153" s="19">
        <f t="shared" si="18"/>
        <v>0</v>
      </c>
      <c r="U153" s="19">
        <f t="shared" si="19"/>
        <v>0</v>
      </c>
      <c r="V153" s="21">
        <f t="shared" si="20"/>
        <v>0</v>
      </c>
    </row>
    <row r="154" spans="1:22" ht="13.5" x14ac:dyDescent="0.35">
      <c r="A154" s="18">
        <v>105128</v>
      </c>
      <c r="B154" s="19" t="s">
        <v>180</v>
      </c>
      <c r="C154" s="19">
        <v>1</v>
      </c>
      <c r="D154" s="19">
        <v>101</v>
      </c>
      <c r="E154" s="19">
        <v>524</v>
      </c>
      <c r="F154" s="19">
        <v>0</v>
      </c>
      <c r="G154" s="19">
        <v>0</v>
      </c>
      <c r="H154" s="19">
        <v>0</v>
      </c>
      <c r="I154" s="20">
        <v>0</v>
      </c>
      <c r="J154" s="19">
        <f t="shared" si="14"/>
        <v>0</v>
      </c>
      <c r="K154" s="19">
        <f t="shared" si="15"/>
        <v>0</v>
      </c>
      <c r="L154" s="19">
        <v>-6.6E-4</v>
      </c>
      <c r="M154" s="19">
        <v>2.2899999999999999E-3</v>
      </c>
      <c r="N154" s="19">
        <v>2.2899999999999999E-3</v>
      </c>
      <c r="O154" s="19">
        <v>2.2599999999999999E-3</v>
      </c>
      <c r="P154" s="19">
        <v>2.2399999999999998E-3</v>
      </c>
      <c r="Q154" s="19"/>
      <c r="R154" s="19">
        <f t="shared" si="16"/>
        <v>0</v>
      </c>
      <c r="S154" s="19">
        <f t="shared" si="17"/>
        <v>0</v>
      </c>
      <c r="T154" s="19">
        <f t="shared" si="18"/>
        <v>0</v>
      </c>
      <c r="U154" s="19">
        <f t="shared" si="19"/>
        <v>0</v>
      </c>
      <c r="V154" s="21">
        <f t="shared" si="20"/>
        <v>0</v>
      </c>
    </row>
    <row r="155" spans="1:22" ht="13.5" x14ac:dyDescent="0.35">
      <c r="A155" s="18">
        <v>105132</v>
      </c>
      <c r="B155" s="19" t="s">
        <v>181</v>
      </c>
      <c r="C155" s="19">
        <v>1</v>
      </c>
      <c r="D155" s="19">
        <v>101</v>
      </c>
      <c r="E155" s="19">
        <v>524</v>
      </c>
      <c r="F155" s="19">
        <v>0</v>
      </c>
      <c r="G155" s="19">
        <v>0</v>
      </c>
      <c r="H155" s="19">
        <v>0</v>
      </c>
      <c r="I155" s="20">
        <v>0</v>
      </c>
      <c r="J155" s="19">
        <f t="shared" si="14"/>
        <v>0</v>
      </c>
      <c r="K155" s="19">
        <f t="shared" si="15"/>
        <v>0</v>
      </c>
      <c r="L155" s="19">
        <v>-6.6E-4</v>
      </c>
      <c r="M155" s="19">
        <v>2.2899999999999999E-3</v>
      </c>
      <c r="N155" s="19">
        <v>2.2899999999999999E-3</v>
      </c>
      <c r="O155" s="19">
        <v>2.2599999999999999E-3</v>
      </c>
      <c r="P155" s="19">
        <v>2.2399999999999998E-3</v>
      </c>
      <c r="Q155" s="19"/>
      <c r="R155" s="19">
        <f t="shared" si="16"/>
        <v>0</v>
      </c>
      <c r="S155" s="19">
        <f t="shared" si="17"/>
        <v>0</v>
      </c>
      <c r="T155" s="19">
        <f t="shared" si="18"/>
        <v>0</v>
      </c>
      <c r="U155" s="19">
        <f t="shared" si="19"/>
        <v>0</v>
      </c>
      <c r="V155" s="21">
        <f t="shared" si="20"/>
        <v>0</v>
      </c>
    </row>
    <row r="156" spans="1:22" ht="13.5" x14ac:dyDescent="0.35">
      <c r="A156" s="18">
        <v>105135</v>
      </c>
      <c r="B156" s="19" t="s">
        <v>182</v>
      </c>
      <c r="C156" s="19">
        <v>1</v>
      </c>
      <c r="D156" s="19">
        <v>101</v>
      </c>
      <c r="E156" s="19">
        <v>524</v>
      </c>
      <c r="F156" s="19">
        <v>0</v>
      </c>
      <c r="G156" s="19">
        <v>0</v>
      </c>
      <c r="H156" s="19">
        <v>0</v>
      </c>
      <c r="I156" s="20">
        <v>0</v>
      </c>
      <c r="J156" s="19">
        <f t="shared" si="14"/>
        <v>0</v>
      </c>
      <c r="K156" s="19">
        <f t="shared" si="15"/>
        <v>0</v>
      </c>
      <c r="L156" s="19">
        <v>-6.6E-4</v>
      </c>
      <c r="M156" s="19">
        <v>2.2899999999999999E-3</v>
      </c>
      <c r="N156" s="19">
        <v>2.2899999999999999E-3</v>
      </c>
      <c r="O156" s="19">
        <v>2.2599999999999999E-3</v>
      </c>
      <c r="P156" s="19">
        <v>2.2399999999999998E-3</v>
      </c>
      <c r="Q156" s="19"/>
      <c r="R156" s="19">
        <f t="shared" si="16"/>
        <v>0</v>
      </c>
      <c r="S156" s="19">
        <f t="shared" si="17"/>
        <v>0</v>
      </c>
      <c r="T156" s="19">
        <f t="shared" si="18"/>
        <v>0</v>
      </c>
      <c r="U156" s="19">
        <f t="shared" si="19"/>
        <v>0</v>
      </c>
      <c r="V156" s="21">
        <f t="shared" si="20"/>
        <v>0</v>
      </c>
    </row>
    <row r="157" spans="1:22" ht="13.5" x14ac:dyDescent="0.35">
      <c r="A157" s="18">
        <v>105138</v>
      </c>
      <c r="B157" s="19" t="s">
        <v>183</v>
      </c>
      <c r="C157" s="19">
        <v>1</v>
      </c>
      <c r="D157" s="19">
        <v>101</v>
      </c>
      <c r="E157" s="19">
        <v>524</v>
      </c>
      <c r="F157" s="19">
        <v>0</v>
      </c>
      <c r="G157" s="19">
        <v>0</v>
      </c>
      <c r="H157" s="19">
        <v>0</v>
      </c>
      <c r="I157" s="20">
        <v>0</v>
      </c>
      <c r="J157" s="19">
        <f t="shared" si="14"/>
        <v>0</v>
      </c>
      <c r="K157" s="19">
        <f t="shared" si="15"/>
        <v>0</v>
      </c>
      <c r="L157" s="19">
        <v>-6.6E-4</v>
      </c>
      <c r="M157" s="19">
        <v>2.2899999999999999E-3</v>
      </c>
      <c r="N157" s="19">
        <v>2.2899999999999999E-3</v>
      </c>
      <c r="O157" s="19">
        <v>2.2599999999999999E-3</v>
      </c>
      <c r="P157" s="19">
        <v>2.2399999999999998E-3</v>
      </c>
      <c r="Q157" s="19"/>
      <c r="R157" s="19">
        <f t="shared" si="16"/>
        <v>0</v>
      </c>
      <c r="S157" s="19">
        <f t="shared" si="17"/>
        <v>0</v>
      </c>
      <c r="T157" s="19">
        <f t="shared" si="18"/>
        <v>0</v>
      </c>
      <c r="U157" s="19">
        <f t="shared" si="19"/>
        <v>0</v>
      </c>
      <c r="V157" s="21">
        <f t="shared" si="20"/>
        <v>0</v>
      </c>
    </row>
    <row r="158" spans="1:22" ht="13.5" x14ac:dyDescent="0.35">
      <c r="A158" s="18">
        <v>105140</v>
      </c>
      <c r="B158" s="19" t="s">
        <v>184</v>
      </c>
      <c r="C158" s="19">
        <v>1</v>
      </c>
      <c r="D158" s="19">
        <v>101</v>
      </c>
      <c r="E158" s="19">
        <v>524</v>
      </c>
      <c r="F158" s="19">
        <v>0</v>
      </c>
      <c r="G158" s="19">
        <v>0</v>
      </c>
      <c r="H158" s="19">
        <v>0</v>
      </c>
      <c r="I158" s="20">
        <v>0</v>
      </c>
      <c r="J158" s="19">
        <f t="shared" si="14"/>
        <v>0</v>
      </c>
      <c r="K158" s="19">
        <f t="shared" si="15"/>
        <v>0</v>
      </c>
      <c r="L158" s="19">
        <v>-6.6E-4</v>
      </c>
      <c r="M158" s="19">
        <v>2.2899999999999999E-3</v>
      </c>
      <c r="N158" s="19">
        <v>2.2899999999999999E-3</v>
      </c>
      <c r="O158" s="19">
        <v>2.2599999999999999E-3</v>
      </c>
      <c r="P158" s="19">
        <v>2.2399999999999998E-3</v>
      </c>
      <c r="Q158" s="19"/>
      <c r="R158" s="19">
        <f t="shared" si="16"/>
        <v>0</v>
      </c>
      <c r="S158" s="19">
        <f t="shared" si="17"/>
        <v>0</v>
      </c>
      <c r="T158" s="19">
        <f t="shared" si="18"/>
        <v>0</v>
      </c>
      <c r="U158" s="19">
        <f t="shared" si="19"/>
        <v>0</v>
      </c>
      <c r="V158" s="21">
        <f t="shared" si="20"/>
        <v>0</v>
      </c>
    </row>
    <row r="159" spans="1:22" ht="13.5" x14ac:dyDescent="0.35">
      <c r="A159" s="18">
        <v>105143</v>
      </c>
      <c r="B159" s="19" t="s">
        <v>185</v>
      </c>
      <c r="C159" s="19">
        <v>1</v>
      </c>
      <c r="D159" s="19">
        <v>101</v>
      </c>
      <c r="E159" s="19">
        <v>524</v>
      </c>
      <c r="F159" s="19">
        <v>0</v>
      </c>
      <c r="G159" s="19">
        <v>0</v>
      </c>
      <c r="H159" s="19">
        <v>0</v>
      </c>
      <c r="I159" s="20">
        <v>0</v>
      </c>
      <c r="J159" s="19">
        <f t="shared" si="14"/>
        <v>0</v>
      </c>
      <c r="K159" s="19">
        <f t="shared" si="15"/>
        <v>0</v>
      </c>
      <c r="L159" s="19">
        <v>-6.6E-4</v>
      </c>
      <c r="M159" s="19">
        <v>2.2899999999999999E-3</v>
      </c>
      <c r="N159" s="19">
        <v>2.2899999999999999E-3</v>
      </c>
      <c r="O159" s="19">
        <v>2.2599999999999999E-3</v>
      </c>
      <c r="P159" s="19">
        <v>2.2399999999999998E-3</v>
      </c>
      <c r="Q159" s="19"/>
      <c r="R159" s="19">
        <f t="shared" si="16"/>
        <v>0</v>
      </c>
      <c r="S159" s="19">
        <f t="shared" si="17"/>
        <v>0</v>
      </c>
      <c r="T159" s="19">
        <f t="shared" si="18"/>
        <v>0</v>
      </c>
      <c r="U159" s="19">
        <f t="shared" si="19"/>
        <v>0</v>
      </c>
      <c r="V159" s="21">
        <f t="shared" si="20"/>
        <v>0</v>
      </c>
    </row>
    <row r="160" spans="1:22" ht="13.5" x14ac:dyDescent="0.35">
      <c r="A160" s="18">
        <v>105145</v>
      </c>
      <c r="B160" s="19" t="s">
        <v>186</v>
      </c>
      <c r="C160" s="19">
        <v>1</v>
      </c>
      <c r="D160" s="19">
        <v>101</v>
      </c>
      <c r="E160" s="19">
        <v>524</v>
      </c>
      <c r="F160" s="19">
        <v>0</v>
      </c>
      <c r="G160" s="19">
        <v>0</v>
      </c>
      <c r="H160" s="19">
        <v>0</v>
      </c>
      <c r="I160" s="20">
        <v>0</v>
      </c>
      <c r="J160" s="19">
        <f t="shared" si="14"/>
        <v>0</v>
      </c>
      <c r="K160" s="19">
        <f t="shared" si="15"/>
        <v>0</v>
      </c>
      <c r="L160" s="19">
        <v>-6.6E-4</v>
      </c>
      <c r="M160" s="19">
        <v>2.2899999999999999E-3</v>
      </c>
      <c r="N160" s="19">
        <v>2.2899999999999999E-3</v>
      </c>
      <c r="O160" s="19">
        <v>2.2599999999999999E-3</v>
      </c>
      <c r="P160" s="19">
        <v>2.2399999999999998E-3</v>
      </c>
      <c r="Q160" s="19"/>
      <c r="R160" s="19">
        <f t="shared" si="16"/>
        <v>0</v>
      </c>
      <c r="S160" s="19">
        <f t="shared" si="17"/>
        <v>0</v>
      </c>
      <c r="T160" s="19">
        <f t="shared" si="18"/>
        <v>0</v>
      </c>
      <c r="U160" s="19">
        <f t="shared" si="19"/>
        <v>0</v>
      </c>
      <c r="V160" s="21">
        <f t="shared" si="20"/>
        <v>0</v>
      </c>
    </row>
    <row r="161" spans="1:22" ht="13.5" x14ac:dyDescent="0.35">
      <c r="A161" s="18">
        <v>105147</v>
      </c>
      <c r="B161" s="19" t="s">
        <v>187</v>
      </c>
      <c r="C161" s="19">
        <v>1</v>
      </c>
      <c r="D161" s="19">
        <v>101</v>
      </c>
      <c r="E161" s="19">
        <v>524</v>
      </c>
      <c r="F161" s="19">
        <v>0</v>
      </c>
      <c r="G161" s="19">
        <v>0</v>
      </c>
      <c r="H161" s="19">
        <v>0</v>
      </c>
      <c r="I161" s="20">
        <v>0</v>
      </c>
      <c r="J161" s="19">
        <f t="shared" si="14"/>
        <v>0</v>
      </c>
      <c r="K161" s="19">
        <f t="shared" si="15"/>
        <v>0</v>
      </c>
      <c r="L161" s="19">
        <v>-6.6E-4</v>
      </c>
      <c r="M161" s="19">
        <v>2.2899999999999999E-3</v>
      </c>
      <c r="N161" s="19">
        <v>2.2899999999999999E-3</v>
      </c>
      <c r="O161" s="19">
        <v>2.2599999999999999E-3</v>
      </c>
      <c r="P161" s="19">
        <v>2.2399999999999998E-3</v>
      </c>
      <c r="Q161" s="19"/>
      <c r="R161" s="19">
        <f t="shared" si="16"/>
        <v>0</v>
      </c>
      <c r="S161" s="19">
        <f t="shared" si="17"/>
        <v>0</v>
      </c>
      <c r="T161" s="19">
        <f t="shared" si="18"/>
        <v>0</v>
      </c>
      <c r="U161" s="19">
        <f t="shared" si="19"/>
        <v>0</v>
      </c>
      <c r="V161" s="21">
        <f t="shared" si="20"/>
        <v>0</v>
      </c>
    </row>
    <row r="162" spans="1:22" ht="13.5" x14ac:dyDescent="0.35">
      <c r="A162" s="18">
        <v>105149</v>
      </c>
      <c r="B162" s="19" t="s">
        <v>188</v>
      </c>
      <c r="C162" s="19">
        <v>1</v>
      </c>
      <c r="D162" s="19">
        <v>101</v>
      </c>
      <c r="E162" s="19">
        <v>524</v>
      </c>
      <c r="F162" s="19">
        <v>0</v>
      </c>
      <c r="G162" s="19">
        <v>0</v>
      </c>
      <c r="H162" s="19">
        <v>0</v>
      </c>
      <c r="I162" s="20">
        <v>0</v>
      </c>
      <c r="J162" s="19">
        <f t="shared" si="14"/>
        <v>0</v>
      </c>
      <c r="K162" s="19">
        <f t="shared" si="15"/>
        <v>0</v>
      </c>
      <c r="L162" s="19">
        <v>-6.6E-4</v>
      </c>
      <c r="M162" s="19">
        <v>2.2899999999999999E-3</v>
      </c>
      <c r="N162" s="19">
        <v>2.2899999999999999E-3</v>
      </c>
      <c r="O162" s="19">
        <v>2.2599999999999999E-3</v>
      </c>
      <c r="P162" s="19">
        <v>2.2399999999999998E-3</v>
      </c>
      <c r="Q162" s="19"/>
      <c r="R162" s="19">
        <f t="shared" si="16"/>
        <v>0</v>
      </c>
      <c r="S162" s="19">
        <f t="shared" si="17"/>
        <v>0</v>
      </c>
      <c r="T162" s="19">
        <f t="shared" si="18"/>
        <v>0</v>
      </c>
      <c r="U162" s="19">
        <f t="shared" si="19"/>
        <v>0</v>
      </c>
      <c r="V162" s="21">
        <f t="shared" si="20"/>
        <v>0</v>
      </c>
    </row>
    <row r="163" spans="1:22" ht="13.5" x14ac:dyDescent="0.35">
      <c r="A163" s="18">
        <v>105151</v>
      </c>
      <c r="B163" s="19" t="s">
        <v>189</v>
      </c>
      <c r="C163" s="19">
        <v>1</v>
      </c>
      <c r="D163" s="19">
        <v>101</v>
      </c>
      <c r="E163" s="19">
        <v>524</v>
      </c>
      <c r="F163" s="19">
        <v>0</v>
      </c>
      <c r="G163" s="19">
        <v>0</v>
      </c>
      <c r="H163" s="19">
        <v>0</v>
      </c>
      <c r="I163" s="20">
        <v>0</v>
      </c>
      <c r="J163" s="19">
        <f t="shared" si="14"/>
        <v>0</v>
      </c>
      <c r="K163" s="19">
        <f t="shared" si="15"/>
        <v>0</v>
      </c>
      <c r="L163" s="19">
        <v>-6.6E-4</v>
      </c>
      <c r="M163" s="19">
        <v>2.2899999999999999E-3</v>
      </c>
      <c r="N163" s="19">
        <v>2.2899999999999999E-3</v>
      </c>
      <c r="O163" s="19">
        <v>2.2599999999999999E-3</v>
      </c>
      <c r="P163" s="19">
        <v>2.2399999999999998E-3</v>
      </c>
      <c r="Q163" s="19"/>
      <c r="R163" s="19">
        <f t="shared" si="16"/>
        <v>0</v>
      </c>
      <c r="S163" s="19">
        <f t="shared" si="17"/>
        <v>0</v>
      </c>
      <c r="T163" s="19">
        <f t="shared" si="18"/>
        <v>0</v>
      </c>
      <c r="U163" s="19">
        <f t="shared" si="19"/>
        <v>0</v>
      </c>
      <c r="V163" s="21">
        <f t="shared" si="20"/>
        <v>0</v>
      </c>
    </row>
    <row r="164" spans="1:22" ht="13.5" x14ac:dyDescent="0.35">
      <c r="A164" s="18">
        <v>105152</v>
      </c>
      <c r="B164" s="19" t="s">
        <v>190</v>
      </c>
      <c r="C164" s="19">
        <v>6.6</v>
      </c>
      <c r="D164" s="19">
        <v>101</v>
      </c>
      <c r="E164" s="19">
        <v>523</v>
      </c>
      <c r="F164" s="19">
        <v>0</v>
      </c>
      <c r="G164" s="19">
        <v>0</v>
      </c>
      <c r="H164" s="19">
        <v>0</v>
      </c>
      <c r="I164" s="20">
        <v>0</v>
      </c>
      <c r="J164" s="19">
        <f t="shared" si="14"/>
        <v>0</v>
      </c>
      <c r="K164" s="19">
        <f t="shared" si="15"/>
        <v>0</v>
      </c>
      <c r="L164" s="19">
        <v>-6.6E-4</v>
      </c>
      <c r="M164" s="19">
        <v>2.2899999999999999E-3</v>
      </c>
      <c r="N164" s="19">
        <v>2.2899999999999999E-3</v>
      </c>
      <c r="O164" s="19">
        <v>2.2599999999999999E-3</v>
      </c>
      <c r="P164" s="19">
        <v>2.2399999999999998E-3</v>
      </c>
      <c r="Q164" s="19"/>
      <c r="R164" s="19">
        <f t="shared" si="16"/>
        <v>0</v>
      </c>
      <c r="S164" s="19">
        <f t="shared" si="17"/>
        <v>0</v>
      </c>
      <c r="T164" s="19">
        <f t="shared" si="18"/>
        <v>0</v>
      </c>
      <c r="U164" s="19">
        <f t="shared" si="19"/>
        <v>0</v>
      </c>
      <c r="V164" s="21">
        <f t="shared" si="20"/>
        <v>0</v>
      </c>
    </row>
    <row r="165" spans="1:22" ht="13.5" x14ac:dyDescent="0.35">
      <c r="A165" s="18">
        <v>105180</v>
      </c>
      <c r="B165" s="19" t="s">
        <v>191</v>
      </c>
      <c r="C165" s="19">
        <v>4.16</v>
      </c>
      <c r="D165" s="19">
        <v>101</v>
      </c>
      <c r="E165" s="19">
        <v>524</v>
      </c>
      <c r="F165" s="19">
        <v>0</v>
      </c>
      <c r="G165" s="19">
        <v>0</v>
      </c>
      <c r="H165" s="19">
        <v>0</v>
      </c>
      <c r="I165" s="20">
        <v>0</v>
      </c>
      <c r="J165" s="19">
        <f t="shared" si="14"/>
        <v>0</v>
      </c>
      <c r="K165" s="19">
        <f t="shared" si="15"/>
        <v>0</v>
      </c>
      <c r="L165" s="19">
        <v>-6.6E-4</v>
      </c>
      <c r="M165" s="19">
        <v>2.2899999999999999E-3</v>
      </c>
      <c r="N165" s="19">
        <v>2.2899999999999999E-3</v>
      </c>
      <c r="O165" s="19">
        <v>2.2599999999999999E-3</v>
      </c>
      <c r="P165" s="19">
        <v>2.2399999999999998E-3</v>
      </c>
      <c r="Q165" s="19"/>
      <c r="R165" s="19">
        <f t="shared" si="16"/>
        <v>0</v>
      </c>
      <c r="S165" s="19">
        <f t="shared" si="17"/>
        <v>0</v>
      </c>
      <c r="T165" s="19">
        <f t="shared" si="18"/>
        <v>0</v>
      </c>
      <c r="U165" s="19">
        <f t="shared" si="19"/>
        <v>0</v>
      </c>
      <c r="V165" s="21">
        <f t="shared" si="20"/>
        <v>0</v>
      </c>
    </row>
    <row r="166" spans="1:22" ht="13.5" x14ac:dyDescent="0.35">
      <c r="A166" s="18">
        <v>105188</v>
      </c>
      <c r="B166" s="19" t="s">
        <v>192</v>
      </c>
      <c r="C166" s="19">
        <v>13.8</v>
      </c>
      <c r="D166" s="19">
        <v>101</v>
      </c>
      <c r="E166" s="19">
        <v>523</v>
      </c>
      <c r="F166" s="19">
        <v>65.38</v>
      </c>
      <c r="G166" s="19">
        <v>0</v>
      </c>
      <c r="H166" s="19">
        <v>65.38</v>
      </c>
      <c r="I166" s="20">
        <v>65.38</v>
      </c>
      <c r="J166" s="19">
        <f t="shared" si="14"/>
        <v>0</v>
      </c>
      <c r="K166" s="19">
        <f t="shared" si="15"/>
        <v>0</v>
      </c>
      <c r="L166" s="19">
        <v>-6.6E-4</v>
      </c>
      <c r="M166" s="19">
        <v>2.2899999999999999E-3</v>
      </c>
      <c r="N166" s="19">
        <v>2.2899999999999999E-3</v>
      </c>
      <c r="O166" s="19">
        <v>2.2599999999999999E-3</v>
      </c>
      <c r="P166" s="19">
        <v>2.2399999999999998E-3</v>
      </c>
      <c r="Q166" s="19"/>
      <c r="R166" s="19">
        <f t="shared" si="16"/>
        <v>0</v>
      </c>
      <c r="S166" s="19">
        <f t="shared" si="17"/>
        <v>0</v>
      </c>
      <c r="T166" s="19">
        <f t="shared" si="18"/>
        <v>0</v>
      </c>
      <c r="U166" s="19">
        <f t="shared" si="19"/>
        <v>0</v>
      </c>
      <c r="V166" s="21">
        <f t="shared" si="20"/>
        <v>0</v>
      </c>
    </row>
    <row r="167" spans="1:22" ht="13.5" x14ac:dyDescent="0.35">
      <c r="A167" s="18">
        <v>105193</v>
      </c>
      <c r="B167" s="19" t="s">
        <v>193</v>
      </c>
      <c r="C167" s="19">
        <v>23</v>
      </c>
      <c r="D167" s="19">
        <v>101</v>
      </c>
      <c r="E167" s="19">
        <v>524</v>
      </c>
      <c r="F167" s="19">
        <v>0</v>
      </c>
      <c r="G167" s="19">
        <v>0</v>
      </c>
      <c r="H167" s="19">
        <v>0</v>
      </c>
      <c r="I167" s="20">
        <v>0</v>
      </c>
      <c r="J167" s="19">
        <f t="shared" si="14"/>
        <v>0</v>
      </c>
      <c r="K167" s="19">
        <f t="shared" si="15"/>
        <v>0</v>
      </c>
      <c r="L167" s="19">
        <v>-6.6E-4</v>
      </c>
      <c r="M167" s="19">
        <v>2.2899999999999999E-3</v>
      </c>
      <c r="N167" s="19">
        <v>2.2899999999999999E-3</v>
      </c>
      <c r="O167" s="19">
        <v>2.2599999999999999E-3</v>
      </c>
      <c r="P167" s="19">
        <v>2.2399999999999998E-3</v>
      </c>
      <c r="Q167" s="19"/>
      <c r="R167" s="19">
        <f t="shared" si="16"/>
        <v>0</v>
      </c>
      <c r="S167" s="19">
        <f t="shared" si="17"/>
        <v>0</v>
      </c>
      <c r="T167" s="19">
        <f t="shared" si="18"/>
        <v>0</v>
      </c>
      <c r="U167" s="19">
        <f t="shared" si="19"/>
        <v>0</v>
      </c>
      <c r="V167" s="21">
        <f t="shared" si="20"/>
        <v>0</v>
      </c>
    </row>
    <row r="168" spans="1:22" ht="13.5" x14ac:dyDescent="0.35">
      <c r="A168" s="18">
        <v>105194</v>
      </c>
      <c r="B168" s="19" t="s">
        <v>194</v>
      </c>
      <c r="C168" s="19">
        <v>2.2999999999999998</v>
      </c>
      <c r="D168" s="19">
        <v>101</v>
      </c>
      <c r="E168" s="19">
        <v>524</v>
      </c>
      <c r="F168" s="19">
        <v>0</v>
      </c>
      <c r="G168" s="19">
        <v>0</v>
      </c>
      <c r="H168" s="19">
        <v>0</v>
      </c>
      <c r="I168" s="20">
        <v>0</v>
      </c>
      <c r="J168" s="19">
        <f t="shared" si="14"/>
        <v>0</v>
      </c>
      <c r="K168" s="19">
        <f t="shared" si="15"/>
        <v>0</v>
      </c>
      <c r="L168" s="19">
        <v>-6.6E-4</v>
      </c>
      <c r="M168" s="19">
        <v>2.2899999999999999E-3</v>
      </c>
      <c r="N168" s="19">
        <v>2.2899999999999999E-3</v>
      </c>
      <c r="O168" s="19">
        <v>2.2599999999999999E-3</v>
      </c>
      <c r="P168" s="19">
        <v>2.2399999999999998E-3</v>
      </c>
      <c r="Q168" s="19"/>
      <c r="R168" s="19">
        <f t="shared" si="16"/>
        <v>0</v>
      </c>
      <c r="S168" s="19">
        <f t="shared" si="17"/>
        <v>0</v>
      </c>
      <c r="T168" s="19">
        <f t="shared" si="18"/>
        <v>0</v>
      </c>
      <c r="U168" s="19">
        <f t="shared" si="19"/>
        <v>0</v>
      </c>
      <c r="V168" s="21">
        <f t="shared" si="20"/>
        <v>0</v>
      </c>
    </row>
    <row r="169" spans="1:22" ht="13.5" x14ac:dyDescent="0.35">
      <c r="A169" s="18">
        <v>105197</v>
      </c>
      <c r="B169" s="19" t="s">
        <v>195</v>
      </c>
      <c r="C169" s="19">
        <v>0.69</v>
      </c>
      <c r="D169" s="19">
        <v>101</v>
      </c>
      <c r="E169" s="19">
        <v>523</v>
      </c>
      <c r="F169" s="19">
        <v>2.5</v>
      </c>
      <c r="G169" s="19">
        <v>0</v>
      </c>
      <c r="H169" s="19">
        <v>2.5</v>
      </c>
      <c r="I169" s="20">
        <v>2.5</v>
      </c>
      <c r="J169" s="19">
        <f t="shared" si="14"/>
        <v>0</v>
      </c>
      <c r="K169" s="19">
        <f t="shared" si="15"/>
        <v>0</v>
      </c>
      <c r="L169" s="19">
        <v>-6.6E-4</v>
      </c>
      <c r="M169" s="19">
        <v>2.2899999999999999E-3</v>
      </c>
      <c r="N169" s="19">
        <v>2.2899999999999999E-3</v>
      </c>
      <c r="O169" s="19">
        <v>2.2599999999999999E-3</v>
      </c>
      <c r="P169" s="19">
        <v>2.2399999999999998E-3</v>
      </c>
      <c r="Q169" s="19"/>
      <c r="R169" s="19">
        <f t="shared" si="16"/>
        <v>0</v>
      </c>
      <c r="S169" s="19">
        <f t="shared" si="17"/>
        <v>0</v>
      </c>
      <c r="T169" s="19">
        <f t="shared" si="18"/>
        <v>0</v>
      </c>
      <c r="U169" s="19">
        <f t="shared" si="19"/>
        <v>0</v>
      </c>
      <c r="V169" s="21">
        <f t="shared" si="20"/>
        <v>0</v>
      </c>
    </row>
    <row r="170" spans="1:22" ht="13.5" x14ac:dyDescent="0.35">
      <c r="A170" s="18">
        <v>105206</v>
      </c>
      <c r="B170" s="19" t="s">
        <v>196</v>
      </c>
      <c r="C170" s="19">
        <v>13.2</v>
      </c>
      <c r="D170" s="19">
        <v>101</v>
      </c>
      <c r="E170" s="19">
        <v>524</v>
      </c>
      <c r="F170" s="19">
        <v>0</v>
      </c>
      <c r="G170" s="19">
        <v>0</v>
      </c>
      <c r="H170" s="19">
        <v>0</v>
      </c>
      <c r="I170" s="20">
        <v>0</v>
      </c>
      <c r="J170" s="19">
        <f t="shared" si="14"/>
        <v>0</v>
      </c>
      <c r="K170" s="19">
        <f t="shared" si="15"/>
        <v>0</v>
      </c>
      <c r="L170" s="19">
        <v>-6.6E-4</v>
      </c>
      <c r="M170" s="19">
        <v>2.2899999999999999E-3</v>
      </c>
      <c r="N170" s="19">
        <v>2.2899999999999999E-3</v>
      </c>
      <c r="O170" s="19">
        <v>2.2599999999999999E-3</v>
      </c>
      <c r="P170" s="19">
        <v>2.2399999999999998E-3</v>
      </c>
      <c r="Q170" s="19"/>
      <c r="R170" s="19">
        <f t="shared" si="16"/>
        <v>0</v>
      </c>
      <c r="S170" s="19">
        <f t="shared" si="17"/>
        <v>0</v>
      </c>
      <c r="T170" s="19">
        <f t="shared" si="18"/>
        <v>0</v>
      </c>
      <c r="U170" s="19">
        <f t="shared" si="19"/>
        <v>0</v>
      </c>
      <c r="V170" s="21">
        <f t="shared" si="20"/>
        <v>0</v>
      </c>
    </row>
    <row r="171" spans="1:22" ht="13.5" x14ac:dyDescent="0.35">
      <c r="A171" s="18">
        <v>105219</v>
      </c>
      <c r="B171" s="19" t="s">
        <v>197</v>
      </c>
      <c r="C171" s="19">
        <v>13.8</v>
      </c>
      <c r="D171" s="19">
        <v>101</v>
      </c>
      <c r="E171" s="19">
        <v>524</v>
      </c>
      <c r="F171" s="19">
        <v>15.75</v>
      </c>
      <c r="G171" s="19">
        <v>0</v>
      </c>
      <c r="H171" s="19">
        <v>15.75</v>
      </c>
      <c r="I171" s="20">
        <v>15.75</v>
      </c>
      <c r="J171" s="19">
        <f t="shared" si="14"/>
        <v>0</v>
      </c>
      <c r="K171" s="19">
        <f t="shared" si="15"/>
        <v>0</v>
      </c>
      <c r="L171" s="19">
        <v>-6.6E-4</v>
      </c>
      <c r="M171" s="19">
        <v>2.2899999999999999E-3</v>
      </c>
      <c r="N171" s="19">
        <v>2.2899999999999999E-3</v>
      </c>
      <c r="O171" s="19">
        <v>2.2599999999999999E-3</v>
      </c>
      <c r="P171" s="19">
        <v>2.2399999999999998E-3</v>
      </c>
      <c r="Q171" s="19"/>
      <c r="R171" s="19">
        <f t="shared" si="16"/>
        <v>0</v>
      </c>
      <c r="S171" s="19">
        <f t="shared" si="17"/>
        <v>0</v>
      </c>
      <c r="T171" s="19">
        <f t="shared" si="18"/>
        <v>0</v>
      </c>
      <c r="U171" s="19">
        <f t="shared" si="19"/>
        <v>0</v>
      </c>
      <c r="V171" s="21">
        <f t="shared" si="20"/>
        <v>0</v>
      </c>
    </row>
    <row r="172" spans="1:22" ht="13.5" x14ac:dyDescent="0.35">
      <c r="A172" s="18">
        <v>105221</v>
      </c>
      <c r="B172" s="19" t="s">
        <v>198</v>
      </c>
      <c r="C172" s="19">
        <v>13.8</v>
      </c>
      <c r="D172" s="19">
        <v>101</v>
      </c>
      <c r="E172" s="19">
        <v>524</v>
      </c>
      <c r="F172" s="19">
        <v>18</v>
      </c>
      <c r="G172" s="19">
        <v>0</v>
      </c>
      <c r="H172" s="19">
        <v>18</v>
      </c>
      <c r="I172" s="20">
        <v>18</v>
      </c>
      <c r="J172" s="19">
        <f t="shared" si="14"/>
        <v>0</v>
      </c>
      <c r="K172" s="19">
        <f t="shared" si="15"/>
        <v>0</v>
      </c>
      <c r="L172" s="19">
        <v>-6.6E-4</v>
      </c>
      <c r="M172" s="19">
        <v>2.2899999999999999E-3</v>
      </c>
      <c r="N172" s="19">
        <v>2.2899999999999999E-3</v>
      </c>
      <c r="O172" s="19">
        <v>2.2599999999999999E-3</v>
      </c>
      <c r="P172" s="19">
        <v>2.2399999999999998E-3</v>
      </c>
      <c r="Q172" s="19"/>
      <c r="R172" s="19">
        <f t="shared" si="16"/>
        <v>0</v>
      </c>
      <c r="S172" s="19">
        <f t="shared" si="17"/>
        <v>0</v>
      </c>
      <c r="T172" s="19">
        <f t="shared" si="18"/>
        <v>0</v>
      </c>
      <c r="U172" s="19">
        <f t="shared" si="19"/>
        <v>0</v>
      </c>
      <c r="V172" s="21">
        <f t="shared" si="20"/>
        <v>0</v>
      </c>
    </row>
    <row r="173" spans="1:22" ht="13.5" x14ac:dyDescent="0.35">
      <c r="A173" s="18">
        <v>105257</v>
      </c>
      <c r="B173" s="19" t="s">
        <v>199</v>
      </c>
      <c r="C173" s="19">
        <v>12.5</v>
      </c>
      <c r="D173" s="19">
        <v>101</v>
      </c>
      <c r="E173" s="19">
        <v>563</v>
      </c>
      <c r="F173" s="19">
        <v>0</v>
      </c>
      <c r="G173" s="19">
        <v>0</v>
      </c>
      <c r="H173" s="19">
        <v>0</v>
      </c>
      <c r="I173" s="20">
        <v>0</v>
      </c>
      <c r="J173" s="19">
        <f t="shared" si="14"/>
        <v>0</v>
      </c>
      <c r="K173" s="19">
        <f t="shared" si="15"/>
        <v>0</v>
      </c>
      <c r="L173" s="19">
        <v>-6.6E-4</v>
      </c>
      <c r="M173" s="19">
        <v>2.7399999999999998E-3</v>
      </c>
      <c r="N173" s="19">
        <v>2.7399999999999998E-3</v>
      </c>
      <c r="O173" s="19">
        <v>2.7100000000000002E-3</v>
      </c>
      <c r="P173" s="19">
        <v>2.6800000000000001E-3</v>
      </c>
      <c r="Q173" s="19"/>
      <c r="R173" s="19">
        <f t="shared" si="16"/>
        <v>0</v>
      </c>
      <c r="S173" s="19">
        <f t="shared" si="17"/>
        <v>0</v>
      </c>
      <c r="T173" s="19">
        <f t="shared" si="18"/>
        <v>0</v>
      </c>
      <c r="U173" s="19">
        <f t="shared" si="19"/>
        <v>0</v>
      </c>
      <c r="V173" s="21">
        <f t="shared" si="20"/>
        <v>0</v>
      </c>
    </row>
    <row r="174" spans="1:22" ht="13.5" x14ac:dyDescent="0.35">
      <c r="A174" s="18">
        <v>105258</v>
      </c>
      <c r="B174" s="19" t="s">
        <v>200</v>
      </c>
      <c r="C174" s="19">
        <v>12.5</v>
      </c>
      <c r="D174" s="19">
        <v>101</v>
      </c>
      <c r="E174" s="19">
        <v>563</v>
      </c>
      <c r="F174" s="19">
        <v>0</v>
      </c>
      <c r="G174" s="19">
        <v>0</v>
      </c>
      <c r="H174" s="19">
        <v>0</v>
      </c>
      <c r="I174" s="20">
        <v>0</v>
      </c>
      <c r="J174" s="19">
        <f t="shared" si="14"/>
        <v>0</v>
      </c>
      <c r="K174" s="19">
        <f t="shared" si="15"/>
        <v>0</v>
      </c>
      <c r="L174" s="19">
        <v>-6.6E-4</v>
      </c>
      <c r="M174" s="19">
        <v>2.7399999999999998E-3</v>
      </c>
      <c r="N174" s="19">
        <v>2.7399999999999998E-3</v>
      </c>
      <c r="O174" s="19">
        <v>2.7100000000000002E-3</v>
      </c>
      <c r="P174" s="19">
        <v>2.6800000000000001E-3</v>
      </c>
      <c r="Q174" s="19"/>
      <c r="R174" s="19">
        <f t="shared" si="16"/>
        <v>0</v>
      </c>
      <c r="S174" s="19">
        <f t="shared" si="17"/>
        <v>0</v>
      </c>
      <c r="T174" s="19">
        <f t="shared" si="18"/>
        <v>0</v>
      </c>
      <c r="U174" s="19">
        <f t="shared" si="19"/>
        <v>0</v>
      </c>
      <c r="V174" s="21">
        <f t="shared" si="20"/>
        <v>0</v>
      </c>
    </row>
    <row r="175" spans="1:22" ht="13.5" x14ac:dyDescent="0.35">
      <c r="A175" s="18">
        <v>105271</v>
      </c>
      <c r="B175" s="19" t="s">
        <v>201</v>
      </c>
      <c r="C175" s="19">
        <v>13.8</v>
      </c>
      <c r="D175" s="19">
        <v>101</v>
      </c>
      <c r="E175" s="19">
        <v>564</v>
      </c>
      <c r="F175" s="19">
        <v>0</v>
      </c>
      <c r="G175" s="19">
        <v>0</v>
      </c>
      <c r="H175" s="19">
        <v>0</v>
      </c>
      <c r="I175" s="20">
        <v>0</v>
      </c>
      <c r="J175" s="19">
        <f t="shared" si="14"/>
        <v>0</v>
      </c>
      <c r="K175" s="19">
        <f t="shared" si="15"/>
        <v>0</v>
      </c>
      <c r="L175" s="19">
        <v>-6.6E-4</v>
      </c>
      <c r="M175" s="19">
        <v>2.2300000000000002E-3</v>
      </c>
      <c r="N175" s="19">
        <v>2.2300000000000002E-3</v>
      </c>
      <c r="O175" s="19">
        <v>2.2000000000000001E-3</v>
      </c>
      <c r="P175" s="19">
        <v>2.1800000000000001E-3</v>
      </c>
      <c r="Q175" s="19"/>
      <c r="R175" s="19">
        <f t="shared" si="16"/>
        <v>0</v>
      </c>
      <c r="S175" s="19">
        <f t="shared" si="17"/>
        <v>0</v>
      </c>
      <c r="T175" s="19">
        <f t="shared" si="18"/>
        <v>0</v>
      </c>
      <c r="U175" s="19">
        <f t="shared" si="19"/>
        <v>0</v>
      </c>
      <c r="V175" s="21">
        <f t="shared" si="20"/>
        <v>0</v>
      </c>
    </row>
    <row r="176" spans="1:22" ht="13.5" x14ac:dyDescent="0.35">
      <c r="A176" s="18">
        <v>105276</v>
      </c>
      <c r="B176" s="19" t="s">
        <v>202</v>
      </c>
      <c r="C176" s="19">
        <v>13.8</v>
      </c>
      <c r="D176" s="19">
        <v>101</v>
      </c>
      <c r="E176" s="19">
        <v>564</v>
      </c>
      <c r="F176" s="19">
        <v>21.15</v>
      </c>
      <c r="G176" s="19">
        <v>0</v>
      </c>
      <c r="H176" s="19">
        <v>21.15</v>
      </c>
      <c r="I176" s="20">
        <v>21.15</v>
      </c>
      <c r="J176" s="19">
        <f t="shared" si="14"/>
        <v>0</v>
      </c>
      <c r="K176" s="19">
        <f t="shared" si="15"/>
        <v>0</v>
      </c>
      <c r="L176" s="19">
        <v>-6.6E-4</v>
      </c>
      <c r="M176" s="19">
        <v>2.2300000000000002E-3</v>
      </c>
      <c r="N176" s="19">
        <v>2.2300000000000002E-3</v>
      </c>
      <c r="O176" s="19">
        <v>2.2000000000000001E-3</v>
      </c>
      <c r="P176" s="19">
        <v>2.1800000000000001E-3</v>
      </c>
      <c r="Q176" s="19"/>
      <c r="R176" s="19">
        <f t="shared" si="16"/>
        <v>0</v>
      </c>
      <c r="S176" s="19">
        <f t="shared" si="17"/>
        <v>0</v>
      </c>
      <c r="T176" s="19">
        <f t="shared" si="18"/>
        <v>0</v>
      </c>
      <c r="U176" s="19">
        <f t="shared" si="19"/>
        <v>0</v>
      </c>
      <c r="V176" s="21">
        <f t="shared" si="20"/>
        <v>0</v>
      </c>
    </row>
    <row r="177" spans="1:22" ht="13.5" x14ac:dyDescent="0.35">
      <c r="A177" s="18">
        <v>105288</v>
      </c>
      <c r="B177" s="19" t="s">
        <v>203</v>
      </c>
      <c r="C177" s="19">
        <v>0.69</v>
      </c>
      <c r="D177" s="19">
        <v>101</v>
      </c>
      <c r="E177" s="19">
        <v>564</v>
      </c>
      <c r="F177" s="19">
        <v>4.88</v>
      </c>
      <c r="G177" s="19">
        <v>0</v>
      </c>
      <c r="H177" s="19">
        <v>4.88</v>
      </c>
      <c r="I177" s="20">
        <v>4.88</v>
      </c>
      <c r="J177" s="19">
        <f t="shared" si="14"/>
        <v>0</v>
      </c>
      <c r="K177" s="19">
        <f t="shared" si="15"/>
        <v>0</v>
      </c>
      <c r="L177" s="19">
        <v>-6.6E-4</v>
      </c>
      <c r="M177" s="19">
        <v>2.2300000000000002E-3</v>
      </c>
      <c r="N177" s="19">
        <v>2.2300000000000002E-3</v>
      </c>
      <c r="O177" s="19">
        <v>2.2000000000000001E-3</v>
      </c>
      <c r="P177" s="19">
        <v>2.1700000000000001E-3</v>
      </c>
      <c r="Q177" s="19"/>
      <c r="R177" s="19">
        <f t="shared" si="16"/>
        <v>0</v>
      </c>
      <c r="S177" s="19">
        <f t="shared" si="17"/>
        <v>0</v>
      </c>
      <c r="T177" s="19">
        <f t="shared" si="18"/>
        <v>0</v>
      </c>
      <c r="U177" s="19">
        <f t="shared" si="19"/>
        <v>0</v>
      </c>
      <c r="V177" s="21">
        <f t="shared" si="20"/>
        <v>0</v>
      </c>
    </row>
    <row r="178" spans="1:22" ht="13.5" x14ac:dyDescent="0.35">
      <c r="A178" s="18">
        <v>105290</v>
      </c>
      <c r="B178" s="19" t="s">
        <v>204</v>
      </c>
      <c r="C178" s="19">
        <v>0.69</v>
      </c>
      <c r="D178" s="19">
        <v>101</v>
      </c>
      <c r="E178" s="19">
        <v>564</v>
      </c>
      <c r="F178" s="19">
        <v>4.88</v>
      </c>
      <c r="G178" s="19">
        <v>0</v>
      </c>
      <c r="H178" s="19">
        <v>4.88</v>
      </c>
      <c r="I178" s="20">
        <v>4.88</v>
      </c>
      <c r="J178" s="19">
        <f t="shared" si="14"/>
        <v>0</v>
      </c>
      <c r="K178" s="19">
        <f t="shared" si="15"/>
        <v>0</v>
      </c>
      <c r="L178" s="19">
        <v>-6.6E-4</v>
      </c>
      <c r="M178" s="19">
        <v>2.2300000000000002E-3</v>
      </c>
      <c r="N178" s="19">
        <v>2.2300000000000002E-3</v>
      </c>
      <c r="O178" s="19">
        <v>2.2000000000000001E-3</v>
      </c>
      <c r="P178" s="19">
        <v>2.1700000000000001E-3</v>
      </c>
      <c r="Q178" s="19"/>
      <c r="R178" s="19">
        <f t="shared" si="16"/>
        <v>0</v>
      </c>
      <c r="S178" s="19">
        <f t="shared" si="17"/>
        <v>0</v>
      </c>
      <c r="T178" s="19">
        <f t="shared" si="18"/>
        <v>0</v>
      </c>
      <c r="U178" s="19">
        <f t="shared" si="19"/>
        <v>0</v>
      </c>
      <c r="V178" s="21">
        <f t="shared" si="20"/>
        <v>0</v>
      </c>
    </row>
    <row r="179" spans="1:22" ht="13.5" x14ac:dyDescent="0.35">
      <c r="A179" s="18">
        <v>105291</v>
      </c>
      <c r="B179" s="19" t="s">
        <v>205</v>
      </c>
      <c r="C179" s="19">
        <v>0.48</v>
      </c>
      <c r="D179" s="19">
        <v>101</v>
      </c>
      <c r="E179" s="19">
        <v>564</v>
      </c>
      <c r="F179" s="19">
        <v>0</v>
      </c>
      <c r="G179" s="19">
        <v>0</v>
      </c>
      <c r="H179" s="19">
        <v>0</v>
      </c>
      <c r="I179" s="20">
        <v>0</v>
      </c>
      <c r="J179" s="19">
        <f t="shared" si="14"/>
        <v>0</v>
      </c>
      <c r="K179" s="19">
        <f t="shared" si="15"/>
        <v>0</v>
      </c>
      <c r="L179" s="19">
        <v>-6.6E-4</v>
      </c>
      <c r="M179" s="19">
        <v>2.2300000000000002E-3</v>
      </c>
      <c r="N179" s="19">
        <v>2.2300000000000002E-3</v>
      </c>
      <c r="O179" s="19">
        <v>2.2000000000000001E-3</v>
      </c>
      <c r="P179" s="19">
        <v>2.1700000000000001E-3</v>
      </c>
      <c r="Q179" s="19"/>
      <c r="R179" s="19">
        <f t="shared" si="16"/>
        <v>0</v>
      </c>
      <c r="S179" s="19">
        <f t="shared" si="17"/>
        <v>0</v>
      </c>
      <c r="T179" s="19">
        <f t="shared" si="18"/>
        <v>0</v>
      </c>
      <c r="U179" s="19">
        <f t="shared" si="19"/>
        <v>0</v>
      </c>
      <c r="V179" s="21">
        <f t="shared" si="20"/>
        <v>0</v>
      </c>
    </row>
    <row r="180" spans="1:22" ht="13.5" x14ac:dyDescent="0.35">
      <c r="A180" s="18">
        <v>105297</v>
      </c>
      <c r="B180" s="19" t="s">
        <v>206</v>
      </c>
      <c r="C180" s="19">
        <v>13.8</v>
      </c>
      <c r="D180" s="19">
        <v>101</v>
      </c>
      <c r="E180" s="19">
        <v>564</v>
      </c>
      <c r="F180" s="19">
        <v>0</v>
      </c>
      <c r="G180" s="19">
        <v>0</v>
      </c>
      <c r="H180" s="19">
        <v>0</v>
      </c>
      <c r="I180" s="20">
        <v>0</v>
      </c>
      <c r="J180" s="19">
        <f t="shared" si="14"/>
        <v>0</v>
      </c>
      <c r="K180" s="19">
        <f t="shared" si="15"/>
        <v>0</v>
      </c>
      <c r="L180" s="19">
        <v>-6.6E-4</v>
      </c>
      <c r="M180" s="19">
        <v>2.2200000000000002E-3</v>
      </c>
      <c r="N180" s="19">
        <v>2.2200000000000002E-3</v>
      </c>
      <c r="O180" s="19">
        <v>2.1900000000000001E-3</v>
      </c>
      <c r="P180" s="19">
        <v>2.16E-3</v>
      </c>
      <c r="Q180" s="19"/>
      <c r="R180" s="19">
        <f t="shared" si="16"/>
        <v>0</v>
      </c>
      <c r="S180" s="19">
        <f t="shared" si="17"/>
        <v>0</v>
      </c>
      <c r="T180" s="19">
        <f t="shared" si="18"/>
        <v>0</v>
      </c>
      <c r="U180" s="19">
        <f t="shared" si="19"/>
        <v>0</v>
      </c>
      <c r="V180" s="21">
        <f t="shared" si="20"/>
        <v>0</v>
      </c>
    </row>
    <row r="181" spans="1:22" ht="13.5" x14ac:dyDescent="0.35">
      <c r="A181" s="18">
        <v>105310</v>
      </c>
      <c r="B181" s="19" t="s">
        <v>207</v>
      </c>
      <c r="C181" s="19">
        <v>13.8</v>
      </c>
      <c r="D181" s="19">
        <v>101</v>
      </c>
      <c r="E181" s="19">
        <v>564</v>
      </c>
      <c r="F181" s="19">
        <v>0</v>
      </c>
      <c r="G181" s="19">
        <v>0</v>
      </c>
      <c r="H181" s="19">
        <v>0</v>
      </c>
      <c r="I181" s="20">
        <v>0</v>
      </c>
      <c r="J181" s="19">
        <f t="shared" si="14"/>
        <v>0</v>
      </c>
      <c r="K181" s="19">
        <f t="shared" si="15"/>
        <v>0</v>
      </c>
      <c r="L181" s="19">
        <v>-6.6E-4</v>
      </c>
      <c r="M181" s="19">
        <v>2.2000000000000001E-3</v>
      </c>
      <c r="N181" s="19">
        <v>2.2000000000000001E-3</v>
      </c>
      <c r="O181" s="19">
        <v>2.1700000000000001E-3</v>
      </c>
      <c r="P181" s="19">
        <v>2.15E-3</v>
      </c>
      <c r="Q181" s="19"/>
      <c r="R181" s="19">
        <f t="shared" si="16"/>
        <v>0</v>
      </c>
      <c r="S181" s="19">
        <f t="shared" si="17"/>
        <v>0</v>
      </c>
      <c r="T181" s="19">
        <f t="shared" si="18"/>
        <v>0</v>
      </c>
      <c r="U181" s="19">
        <f t="shared" si="19"/>
        <v>0</v>
      </c>
      <c r="V181" s="21">
        <f t="shared" si="20"/>
        <v>0</v>
      </c>
    </row>
    <row r="182" spans="1:22" ht="13.5" x14ac:dyDescent="0.35">
      <c r="A182" s="18">
        <v>105317</v>
      </c>
      <c r="B182" s="19" t="s">
        <v>208</v>
      </c>
      <c r="C182" s="19">
        <v>2.2999999999999998</v>
      </c>
      <c r="D182" s="19">
        <v>101</v>
      </c>
      <c r="E182" s="19">
        <v>564</v>
      </c>
      <c r="F182" s="19">
        <v>0</v>
      </c>
      <c r="G182" s="19">
        <v>0</v>
      </c>
      <c r="H182" s="19">
        <v>0</v>
      </c>
      <c r="I182" s="20">
        <v>0</v>
      </c>
      <c r="J182" s="19">
        <f t="shared" si="14"/>
        <v>0</v>
      </c>
      <c r="K182" s="19">
        <f t="shared" si="15"/>
        <v>0</v>
      </c>
      <c r="L182" s="19">
        <v>-6.6E-4</v>
      </c>
      <c r="M182" s="19">
        <v>2.2000000000000001E-3</v>
      </c>
      <c r="N182" s="19">
        <v>2.2000000000000001E-3</v>
      </c>
      <c r="O182" s="19">
        <v>2.1700000000000001E-3</v>
      </c>
      <c r="P182" s="19">
        <v>2.15E-3</v>
      </c>
      <c r="Q182" s="19"/>
      <c r="R182" s="19">
        <f t="shared" si="16"/>
        <v>0</v>
      </c>
      <c r="S182" s="19">
        <f t="shared" si="17"/>
        <v>0</v>
      </c>
      <c r="T182" s="19">
        <f t="shared" si="18"/>
        <v>0</v>
      </c>
      <c r="U182" s="19">
        <f t="shared" si="19"/>
        <v>0</v>
      </c>
      <c r="V182" s="21">
        <f t="shared" si="20"/>
        <v>0</v>
      </c>
    </row>
    <row r="183" spans="1:22" ht="13.5" x14ac:dyDescent="0.35">
      <c r="A183" s="18">
        <v>105324</v>
      </c>
      <c r="B183" s="19" t="s">
        <v>209</v>
      </c>
      <c r="C183" s="19">
        <v>2.4</v>
      </c>
      <c r="D183" s="19">
        <v>101</v>
      </c>
      <c r="E183" s="19">
        <v>564</v>
      </c>
      <c r="F183" s="19">
        <v>0</v>
      </c>
      <c r="G183" s="19">
        <v>0</v>
      </c>
      <c r="H183" s="19">
        <v>0</v>
      </c>
      <c r="I183" s="20">
        <v>0</v>
      </c>
      <c r="J183" s="19">
        <f t="shared" si="14"/>
        <v>0</v>
      </c>
      <c r="K183" s="19">
        <f t="shared" si="15"/>
        <v>0</v>
      </c>
      <c r="L183" s="19">
        <v>-6.6E-4</v>
      </c>
      <c r="M183" s="19">
        <v>2.1800000000000001E-3</v>
      </c>
      <c r="N183" s="19">
        <v>2.1800000000000001E-3</v>
      </c>
      <c r="O183" s="19">
        <v>2.15E-3</v>
      </c>
      <c r="P183" s="19">
        <v>2.1299999999999999E-3</v>
      </c>
      <c r="Q183" s="19"/>
      <c r="R183" s="19">
        <f t="shared" si="16"/>
        <v>0</v>
      </c>
      <c r="S183" s="19">
        <f t="shared" si="17"/>
        <v>0</v>
      </c>
      <c r="T183" s="19">
        <f t="shared" si="18"/>
        <v>0</v>
      </c>
      <c r="U183" s="19">
        <f t="shared" si="19"/>
        <v>0</v>
      </c>
      <c r="V183" s="21">
        <f t="shared" si="20"/>
        <v>0</v>
      </c>
    </row>
    <row r="184" spans="1:22" ht="13.5" x14ac:dyDescent="0.35">
      <c r="A184" s="18">
        <v>105334</v>
      </c>
      <c r="B184" s="19" t="s">
        <v>210</v>
      </c>
      <c r="C184" s="19">
        <v>34.5</v>
      </c>
      <c r="D184" s="19">
        <v>101</v>
      </c>
      <c r="E184" s="19">
        <v>562</v>
      </c>
      <c r="F184" s="19">
        <v>0</v>
      </c>
      <c r="G184" s="19">
        <v>0</v>
      </c>
      <c r="H184" s="19">
        <v>0</v>
      </c>
      <c r="I184" s="20">
        <v>0</v>
      </c>
      <c r="J184" s="19">
        <f t="shared" si="14"/>
        <v>0</v>
      </c>
      <c r="K184" s="19">
        <f t="shared" si="15"/>
        <v>0</v>
      </c>
      <c r="L184" s="19">
        <v>-6.6E-4</v>
      </c>
      <c r="M184" s="19">
        <v>2.1800000000000001E-3</v>
      </c>
      <c r="N184" s="19">
        <v>2.1800000000000001E-3</v>
      </c>
      <c r="O184" s="19">
        <v>2.15E-3</v>
      </c>
      <c r="P184" s="19">
        <v>2.1299999999999999E-3</v>
      </c>
      <c r="Q184" s="19"/>
      <c r="R184" s="19">
        <f t="shared" si="16"/>
        <v>0</v>
      </c>
      <c r="S184" s="19">
        <f t="shared" si="17"/>
        <v>0</v>
      </c>
      <c r="T184" s="19">
        <f t="shared" si="18"/>
        <v>0</v>
      </c>
      <c r="U184" s="19">
        <f t="shared" si="19"/>
        <v>0</v>
      </c>
      <c r="V184" s="21">
        <f t="shared" si="20"/>
        <v>0</v>
      </c>
    </row>
    <row r="185" spans="1:22" ht="13.5" x14ac:dyDescent="0.35">
      <c r="A185" s="18">
        <v>105345</v>
      </c>
      <c r="B185" s="19" t="s">
        <v>211</v>
      </c>
      <c r="C185" s="19">
        <v>13.8</v>
      </c>
      <c r="D185" s="19">
        <v>101</v>
      </c>
      <c r="E185" s="19">
        <v>564</v>
      </c>
      <c r="F185" s="19">
        <v>17.5</v>
      </c>
      <c r="G185" s="19">
        <v>0</v>
      </c>
      <c r="H185" s="19">
        <v>17.5</v>
      </c>
      <c r="I185" s="20">
        <v>17.5</v>
      </c>
      <c r="J185" s="19">
        <f t="shared" si="14"/>
        <v>0</v>
      </c>
      <c r="K185" s="19">
        <f t="shared" si="15"/>
        <v>0</v>
      </c>
      <c r="L185" s="19">
        <v>-6.6E-4</v>
      </c>
      <c r="M185" s="19">
        <v>1.3600000000000001E-3</v>
      </c>
      <c r="N185" s="19">
        <v>1.3600000000000001E-3</v>
      </c>
      <c r="O185" s="19">
        <v>1.33E-3</v>
      </c>
      <c r="P185" s="19">
        <v>1.31E-3</v>
      </c>
      <c r="Q185" s="19"/>
      <c r="R185" s="19">
        <f t="shared" si="16"/>
        <v>0</v>
      </c>
      <c r="S185" s="19">
        <f t="shared" si="17"/>
        <v>0</v>
      </c>
      <c r="T185" s="19">
        <f t="shared" si="18"/>
        <v>0</v>
      </c>
      <c r="U185" s="19">
        <f t="shared" si="19"/>
        <v>0</v>
      </c>
      <c r="V185" s="21">
        <f t="shared" si="20"/>
        <v>0</v>
      </c>
    </row>
    <row r="186" spans="1:22" ht="13.5" x14ac:dyDescent="0.35">
      <c r="A186" s="18">
        <v>105350</v>
      </c>
      <c r="B186" s="19" t="s">
        <v>212</v>
      </c>
      <c r="C186" s="19">
        <v>0.69</v>
      </c>
      <c r="D186" s="19">
        <v>101</v>
      </c>
      <c r="E186" s="19">
        <v>564</v>
      </c>
      <c r="F186" s="19">
        <v>2.21</v>
      </c>
      <c r="G186" s="19">
        <v>0</v>
      </c>
      <c r="H186" s="19">
        <v>2.21</v>
      </c>
      <c r="I186" s="20">
        <v>2.21</v>
      </c>
      <c r="J186" s="19">
        <f t="shared" si="14"/>
        <v>0</v>
      </c>
      <c r="K186" s="19">
        <f t="shared" si="15"/>
        <v>0</v>
      </c>
      <c r="L186" s="19">
        <v>-6.6E-4</v>
      </c>
      <c r="M186" s="19">
        <v>1.3600000000000001E-3</v>
      </c>
      <c r="N186" s="19">
        <v>1.3600000000000001E-3</v>
      </c>
      <c r="O186" s="19">
        <v>1.33E-3</v>
      </c>
      <c r="P186" s="19">
        <v>1.31E-3</v>
      </c>
      <c r="Q186" s="19"/>
      <c r="R186" s="19">
        <f t="shared" si="16"/>
        <v>0</v>
      </c>
      <c r="S186" s="19">
        <f t="shared" si="17"/>
        <v>0</v>
      </c>
      <c r="T186" s="19">
        <f t="shared" si="18"/>
        <v>0</v>
      </c>
      <c r="U186" s="19">
        <f t="shared" si="19"/>
        <v>0</v>
      </c>
      <c r="V186" s="21">
        <f t="shared" si="20"/>
        <v>0</v>
      </c>
    </row>
    <row r="187" spans="1:22" ht="13.5" x14ac:dyDescent="0.35">
      <c r="A187" s="18">
        <v>105351</v>
      </c>
      <c r="B187" s="19" t="s">
        <v>213</v>
      </c>
      <c r="C187" s="19">
        <v>0.69</v>
      </c>
      <c r="D187" s="19">
        <v>101</v>
      </c>
      <c r="E187" s="19">
        <v>564</v>
      </c>
      <c r="F187" s="19">
        <v>2.21</v>
      </c>
      <c r="G187" s="19">
        <v>0</v>
      </c>
      <c r="H187" s="19">
        <v>2.21</v>
      </c>
      <c r="I187" s="20">
        <v>2.21</v>
      </c>
      <c r="J187" s="19">
        <f t="shared" si="14"/>
        <v>0</v>
      </c>
      <c r="K187" s="19">
        <f t="shared" si="15"/>
        <v>0</v>
      </c>
      <c r="L187" s="19">
        <v>-6.6E-4</v>
      </c>
      <c r="M187" s="19">
        <v>1.3600000000000001E-3</v>
      </c>
      <c r="N187" s="19">
        <v>1.3600000000000001E-3</v>
      </c>
      <c r="O187" s="19">
        <v>1.33E-3</v>
      </c>
      <c r="P187" s="19">
        <v>1.31E-3</v>
      </c>
      <c r="Q187" s="19"/>
      <c r="R187" s="19">
        <f t="shared" si="16"/>
        <v>0</v>
      </c>
      <c r="S187" s="19">
        <f t="shared" si="17"/>
        <v>0</v>
      </c>
      <c r="T187" s="19">
        <f t="shared" si="18"/>
        <v>0</v>
      </c>
      <c r="U187" s="19">
        <f t="shared" si="19"/>
        <v>0</v>
      </c>
      <c r="V187" s="21">
        <f t="shared" si="20"/>
        <v>0</v>
      </c>
    </row>
    <row r="188" spans="1:22" ht="13.5" x14ac:dyDescent="0.35">
      <c r="A188" s="18">
        <v>105357</v>
      </c>
      <c r="B188" s="19" t="s">
        <v>214</v>
      </c>
      <c r="C188" s="19">
        <v>12.5</v>
      </c>
      <c r="D188" s="19">
        <v>101</v>
      </c>
      <c r="E188" s="19">
        <v>563</v>
      </c>
      <c r="F188" s="19">
        <v>0</v>
      </c>
      <c r="G188" s="19">
        <v>0</v>
      </c>
      <c r="H188" s="19">
        <v>0</v>
      </c>
      <c r="I188" s="20">
        <v>0</v>
      </c>
      <c r="J188" s="19">
        <f t="shared" si="14"/>
        <v>0</v>
      </c>
      <c r="K188" s="19">
        <f t="shared" si="15"/>
        <v>0</v>
      </c>
      <c r="L188" s="19">
        <v>-6.6E-4</v>
      </c>
      <c r="M188" s="19">
        <v>2.3900000000000002E-3</v>
      </c>
      <c r="N188" s="19">
        <v>2.3900000000000002E-3</v>
      </c>
      <c r="O188" s="19">
        <v>2.3600000000000001E-3</v>
      </c>
      <c r="P188" s="19">
        <v>2.3400000000000001E-3</v>
      </c>
      <c r="Q188" s="19"/>
      <c r="R188" s="19">
        <f t="shared" si="16"/>
        <v>0</v>
      </c>
      <c r="S188" s="19">
        <f t="shared" si="17"/>
        <v>0</v>
      </c>
      <c r="T188" s="19">
        <f t="shared" si="18"/>
        <v>0</v>
      </c>
      <c r="U188" s="19">
        <f t="shared" si="19"/>
        <v>0</v>
      </c>
      <c r="V188" s="21">
        <f t="shared" si="20"/>
        <v>0</v>
      </c>
    </row>
    <row r="189" spans="1:22" ht="13.5" x14ac:dyDescent="0.35">
      <c r="A189" s="18">
        <v>105358</v>
      </c>
      <c r="B189" s="19" t="s">
        <v>215</v>
      </c>
      <c r="C189" s="19">
        <v>12.5</v>
      </c>
      <c r="D189" s="19">
        <v>101</v>
      </c>
      <c r="E189" s="19">
        <v>563</v>
      </c>
      <c r="F189" s="19">
        <v>0</v>
      </c>
      <c r="G189" s="19">
        <v>0</v>
      </c>
      <c r="H189" s="19">
        <v>0</v>
      </c>
      <c r="I189" s="20">
        <v>0</v>
      </c>
      <c r="J189" s="19">
        <f t="shared" si="14"/>
        <v>0</v>
      </c>
      <c r="K189" s="19">
        <f t="shared" si="15"/>
        <v>0</v>
      </c>
      <c r="L189" s="19">
        <v>-6.6E-4</v>
      </c>
      <c r="M189" s="19">
        <v>2.3900000000000002E-3</v>
      </c>
      <c r="N189" s="19">
        <v>2.3900000000000002E-3</v>
      </c>
      <c r="O189" s="19">
        <v>2.3600000000000001E-3</v>
      </c>
      <c r="P189" s="19">
        <v>2.3400000000000001E-3</v>
      </c>
      <c r="Q189" s="19"/>
      <c r="R189" s="19">
        <f t="shared" si="16"/>
        <v>0</v>
      </c>
      <c r="S189" s="19">
        <f t="shared" si="17"/>
        <v>0</v>
      </c>
      <c r="T189" s="19">
        <f t="shared" si="18"/>
        <v>0</v>
      </c>
      <c r="U189" s="19">
        <f t="shared" si="19"/>
        <v>0</v>
      </c>
      <c r="V189" s="21">
        <f t="shared" si="20"/>
        <v>0</v>
      </c>
    </row>
    <row r="190" spans="1:22" ht="13.5" x14ac:dyDescent="0.35">
      <c r="A190" s="18">
        <v>105362</v>
      </c>
      <c r="B190" s="19" t="s">
        <v>216</v>
      </c>
      <c r="C190" s="19">
        <v>4.16</v>
      </c>
      <c r="D190" s="19">
        <v>101</v>
      </c>
      <c r="E190" s="19">
        <v>644</v>
      </c>
      <c r="F190" s="19">
        <v>0</v>
      </c>
      <c r="G190" s="19">
        <v>0</v>
      </c>
      <c r="H190" s="19">
        <v>0</v>
      </c>
      <c r="I190" s="20">
        <v>0</v>
      </c>
      <c r="J190" s="19">
        <f t="shared" si="14"/>
        <v>0</v>
      </c>
      <c r="K190" s="19">
        <f t="shared" si="15"/>
        <v>0</v>
      </c>
      <c r="L190" s="19">
        <v>-6.6E-4</v>
      </c>
      <c r="M190" s="19">
        <v>2.3900000000000002E-3</v>
      </c>
      <c r="N190" s="19">
        <v>2.3900000000000002E-3</v>
      </c>
      <c r="O190" s="19">
        <v>2.3600000000000001E-3</v>
      </c>
      <c r="P190" s="19">
        <v>2.3400000000000001E-3</v>
      </c>
      <c r="Q190" s="19"/>
      <c r="R190" s="19">
        <f t="shared" si="16"/>
        <v>0</v>
      </c>
      <c r="S190" s="19">
        <f t="shared" si="17"/>
        <v>0</v>
      </c>
      <c r="T190" s="19">
        <f t="shared" si="18"/>
        <v>0</v>
      </c>
      <c r="U190" s="19">
        <f t="shared" si="19"/>
        <v>0</v>
      </c>
      <c r="V190" s="21">
        <f t="shared" si="20"/>
        <v>0</v>
      </c>
    </row>
    <row r="191" spans="1:22" ht="13.5" x14ac:dyDescent="0.35">
      <c r="A191" s="18">
        <v>105374</v>
      </c>
      <c r="B191" s="19" t="s">
        <v>217</v>
      </c>
      <c r="C191" s="19">
        <v>11</v>
      </c>
      <c r="D191" s="19">
        <v>101</v>
      </c>
      <c r="E191" s="19">
        <v>644</v>
      </c>
      <c r="F191" s="19">
        <v>0</v>
      </c>
      <c r="G191" s="19">
        <v>0</v>
      </c>
      <c r="H191" s="19">
        <v>0</v>
      </c>
      <c r="I191" s="20">
        <v>0</v>
      </c>
      <c r="J191" s="19">
        <f t="shared" si="14"/>
        <v>0</v>
      </c>
      <c r="K191" s="19">
        <f t="shared" si="15"/>
        <v>0</v>
      </c>
      <c r="L191" s="19">
        <v>-6.6E-4</v>
      </c>
      <c r="M191" s="19">
        <v>2.5400000000000002E-3</v>
      </c>
      <c r="N191" s="19">
        <v>2.5400000000000002E-3</v>
      </c>
      <c r="O191" s="19">
        <v>2.5100000000000001E-3</v>
      </c>
      <c r="P191" s="19">
        <v>2.49E-3</v>
      </c>
      <c r="Q191" s="19"/>
      <c r="R191" s="19">
        <f t="shared" si="16"/>
        <v>0</v>
      </c>
      <c r="S191" s="19">
        <f t="shared" si="17"/>
        <v>0</v>
      </c>
      <c r="T191" s="19">
        <f t="shared" si="18"/>
        <v>0</v>
      </c>
      <c r="U191" s="19">
        <f t="shared" si="19"/>
        <v>0</v>
      </c>
      <c r="V191" s="21">
        <f t="shared" si="20"/>
        <v>0</v>
      </c>
    </row>
    <row r="192" spans="1:22" ht="13.5" x14ac:dyDescent="0.35">
      <c r="A192" s="18">
        <v>105375</v>
      </c>
      <c r="B192" s="19" t="s">
        <v>218</v>
      </c>
      <c r="C192" s="19">
        <v>11</v>
      </c>
      <c r="D192" s="19">
        <v>101</v>
      </c>
      <c r="E192" s="19">
        <v>644</v>
      </c>
      <c r="F192" s="19">
        <v>0</v>
      </c>
      <c r="G192" s="19">
        <v>0</v>
      </c>
      <c r="H192" s="19">
        <v>0</v>
      </c>
      <c r="I192" s="20">
        <v>0</v>
      </c>
      <c r="J192" s="19">
        <f t="shared" si="14"/>
        <v>0</v>
      </c>
      <c r="K192" s="19">
        <f t="shared" si="15"/>
        <v>0</v>
      </c>
      <c r="L192" s="19">
        <v>-6.6E-4</v>
      </c>
      <c r="M192" s="19">
        <v>2.5400000000000002E-3</v>
      </c>
      <c r="N192" s="19">
        <v>2.5400000000000002E-3</v>
      </c>
      <c r="O192" s="19">
        <v>2.5100000000000001E-3</v>
      </c>
      <c r="P192" s="19">
        <v>2.49E-3</v>
      </c>
      <c r="Q192" s="19"/>
      <c r="R192" s="19">
        <f t="shared" si="16"/>
        <v>0</v>
      </c>
      <c r="S192" s="19">
        <f t="shared" si="17"/>
        <v>0</v>
      </c>
      <c r="T192" s="19">
        <f t="shared" si="18"/>
        <v>0</v>
      </c>
      <c r="U192" s="19">
        <f t="shared" si="19"/>
        <v>0</v>
      </c>
      <c r="V192" s="21">
        <f t="shared" si="20"/>
        <v>0</v>
      </c>
    </row>
    <row r="193" spans="1:22" ht="13.5" x14ac:dyDescent="0.35">
      <c r="A193" s="18">
        <v>105385</v>
      </c>
      <c r="B193" s="19" t="s">
        <v>219</v>
      </c>
      <c r="C193" s="19">
        <v>14.4</v>
      </c>
      <c r="D193" s="19">
        <v>101</v>
      </c>
      <c r="E193" s="19">
        <v>643</v>
      </c>
      <c r="F193" s="19">
        <v>112.5</v>
      </c>
      <c r="G193" s="19">
        <v>0</v>
      </c>
      <c r="H193" s="19">
        <v>112.5</v>
      </c>
      <c r="I193" s="20">
        <v>112.5</v>
      </c>
      <c r="J193" s="19">
        <f t="shared" si="14"/>
        <v>0</v>
      </c>
      <c r="K193" s="19">
        <f t="shared" si="15"/>
        <v>0</v>
      </c>
      <c r="L193" s="19">
        <v>-6.6E-4</v>
      </c>
      <c r="M193" s="19">
        <v>2.5600000000000002E-3</v>
      </c>
      <c r="N193" s="19">
        <v>2.5600000000000002E-3</v>
      </c>
      <c r="O193" s="19">
        <v>2.5300000000000001E-3</v>
      </c>
      <c r="P193" s="19">
        <v>2.5100000000000001E-3</v>
      </c>
      <c r="Q193" s="19"/>
      <c r="R193" s="19">
        <f t="shared" si="16"/>
        <v>0</v>
      </c>
      <c r="S193" s="19">
        <f t="shared" si="17"/>
        <v>0</v>
      </c>
      <c r="T193" s="19">
        <f t="shared" si="18"/>
        <v>0</v>
      </c>
      <c r="U193" s="19">
        <f t="shared" si="19"/>
        <v>0</v>
      </c>
      <c r="V193" s="21">
        <f t="shared" si="20"/>
        <v>0</v>
      </c>
    </row>
    <row r="194" spans="1:22" ht="13.5" x14ac:dyDescent="0.35">
      <c r="A194" s="18">
        <v>105386</v>
      </c>
      <c r="B194" s="19" t="s">
        <v>220</v>
      </c>
      <c r="C194" s="19">
        <v>24</v>
      </c>
      <c r="D194" s="19">
        <v>101</v>
      </c>
      <c r="E194" s="19">
        <v>643</v>
      </c>
      <c r="F194" s="19">
        <v>335.49</v>
      </c>
      <c r="G194" s="19">
        <v>0</v>
      </c>
      <c r="H194" s="19">
        <v>335.49</v>
      </c>
      <c r="I194" s="20">
        <v>335.49</v>
      </c>
      <c r="J194" s="19">
        <f t="shared" si="14"/>
        <v>0</v>
      </c>
      <c r="K194" s="19">
        <f t="shared" si="15"/>
        <v>0</v>
      </c>
      <c r="L194" s="19">
        <v>-6.6E-4</v>
      </c>
      <c r="M194" s="19">
        <v>2.5600000000000002E-3</v>
      </c>
      <c r="N194" s="19">
        <v>2.5600000000000002E-3</v>
      </c>
      <c r="O194" s="19">
        <v>2.5300000000000001E-3</v>
      </c>
      <c r="P194" s="19">
        <v>2.5100000000000001E-3</v>
      </c>
      <c r="Q194" s="19"/>
      <c r="R194" s="19">
        <f t="shared" si="16"/>
        <v>0</v>
      </c>
      <c r="S194" s="19">
        <f t="shared" si="17"/>
        <v>0</v>
      </c>
      <c r="T194" s="19">
        <f t="shared" si="18"/>
        <v>0</v>
      </c>
      <c r="U194" s="19">
        <f t="shared" si="19"/>
        <v>0</v>
      </c>
      <c r="V194" s="21">
        <f t="shared" si="20"/>
        <v>0</v>
      </c>
    </row>
    <row r="195" spans="1:22" ht="13.5" x14ac:dyDescent="0.35">
      <c r="A195" s="18">
        <v>105387</v>
      </c>
      <c r="B195" s="19" t="s">
        <v>221</v>
      </c>
      <c r="C195" s="19">
        <v>13.8</v>
      </c>
      <c r="D195" s="19">
        <v>101</v>
      </c>
      <c r="E195" s="19">
        <v>643</v>
      </c>
      <c r="F195" s="19">
        <v>0</v>
      </c>
      <c r="G195" s="19">
        <v>0</v>
      </c>
      <c r="H195" s="19">
        <v>0</v>
      </c>
      <c r="I195" s="20">
        <v>0</v>
      </c>
      <c r="J195" s="19">
        <f t="shared" si="14"/>
        <v>0</v>
      </c>
      <c r="K195" s="19">
        <f t="shared" si="15"/>
        <v>0</v>
      </c>
      <c r="L195" s="19">
        <v>-6.6E-4</v>
      </c>
      <c r="M195" s="19">
        <v>2.5600000000000002E-3</v>
      </c>
      <c r="N195" s="19">
        <v>2.5600000000000002E-3</v>
      </c>
      <c r="O195" s="19">
        <v>2.5300000000000001E-3</v>
      </c>
      <c r="P195" s="19">
        <v>2.5100000000000001E-3</v>
      </c>
      <c r="Q195" s="19"/>
      <c r="R195" s="19">
        <f t="shared" si="16"/>
        <v>0</v>
      </c>
      <c r="S195" s="19">
        <f t="shared" si="17"/>
        <v>0</v>
      </c>
      <c r="T195" s="19">
        <f t="shared" si="18"/>
        <v>0</v>
      </c>
      <c r="U195" s="19">
        <f t="shared" si="19"/>
        <v>0</v>
      </c>
      <c r="V195" s="21">
        <f t="shared" si="20"/>
        <v>0</v>
      </c>
    </row>
    <row r="196" spans="1:22" ht="13.5" x14ac:dyDescent="0.35">
      <c r="A196" s="18">
        <v>105415</v>
      </c>
      <c r="B196" s="19" t="s">
        <v>222</v>
      </c>
      <c r="C196" s="19">
        <v>4.16</v>
      </c>
      <c r="D196" s="19">
        <v>101</v>
      </c>
      <c r="E196" s="19">
        <v>604</v>
      </c>
      <c r="F196" s="19">
        <v>0</v>
      </c>
      <c r="G196" s="19">
        <v>0</v>
      </c>
      <c r="H196" s="19">
        <v>0</v>
      </c>
      <c r="I196" s="20">
        <v>0</v>
      </c>
      <c r="J196" s="19">
        <f t="shared" si="14"/>
        <v>0</v>
      </c>
      <c r="K196" s="19">
        <f t="shared" si="15"/>
        <v>0</v>
      </c>
      <c r="L196" s="19">
        <v>-6.6E-4</v>
      </c>
      <c r="M196" s="19">
        <v>2.6900000000000001E-3</v>
      </c>
      <c r="N196" s="19">
        <v>2.6900000000000001E-3</v>
      </c>
      <c r="O196" s="19">
        <v>2.66E-3</v>
      </c>
      <c r="P196" s="19">
        <v>2.63E-3</v>
      </c>
      <c r="Q196" s="19"/>
      <c r="R196" s="19">
        <f t="shared" si="16"/>
        <v>0</v>
      </c>
      <c r="S196" s="19">
        <f t="shared" si="17"/>
        <v>0</v>
      </c>
      <c r="T196" s="19">
        <f t="shared" si="18"/>
        <v>0</v>
      </c>
      <c r="U196" s="19">
        <f t="shared" si="19"/>
        <v>0</v>
      </c>
      <c r="V196" s="21">
        <f t="shared" si="20"/>
        <v>0</v>
      </c>
    </row>
    <row r="197" spans="1:22" ht="13.5" x14ac:dyDescent="0.35">
      <c r="A197" s="18">
        <v>105450</v>
      </c>
      <c r="B197" s="19" t="s">
        <v>223</v>
      </c>
      <c r="C197" s="19">
        <v>13.8</v>
      </c>
      <c r="D197" s="19">
        <v>101</v>
      </c>
      <c r="E197" s="19">
        <v>603</v>
      </c>
      <c r="F197" s="19">
        <v>47.5</v>
      </c>
      <c r="G197" s="19">
        <v>0</v>
      </c>
      <c r="H197" s="19">
        <v>47.5</v>
      </c>
      <c r="I197" s="20">
        <v>47.5</v>
      </c>
      <c r="J197" s="19">
        <f t="shared" si="14"/>
        <v>0</v>
      </c>
      <c r="K197" s="19">
        <f t="shared" si="15"/>
        <v>0</v>
      </c>
      <c r="L197" s="19">
        <v>-6.6E-4</v>
      </c>
      <c r="M197" s="19">
        <v>2.7000000000000001E-3</v>
      </c>
      <c r="N197" s="19">
        <v>2.7000000000000001E-3</v>
      </c>
      <c r="O197" s="19">
        <v>2.6700000000000001E-3</v>
      </c>
      <c r="P197" s="19">
        <v>2.64E-3</v>
      </c>
      <c r="Q197" s="19"/>
      <c r="R197" s="19">
        <f t="shared" si="16"/>
        <v>0</v>
      </c>
      <c r="S197" s="19">
        <f t="shared" si="17"/>
        <v>0</v>
      </c>
      <c r="T197" s="19">
        <f t="shared" si="18"/>
        <v>0</v>
      </c>
      <c r="U197" s="19">
        <f t="shared" si="19"/>
        <v>0</v>
      </c>
      <c r="V197" s="21">
        <f t="shared" si="20"/>
        <v>0</v>
      </c>
    </row>
    <row r="198" spans="1:22" ht="13.5" x14ac:dyDescent="0.35">
      <c r="A198" s="18">
        <v>105451</v>
      </c>
      <c r="B198" s="19" t="s">
        <v>224</v>
      </c>
      <c r="C198" s="19">
        <v>13.8</v>
      </c>
      <c r="D198" s="19">
        <v>101</v>
      </c>
      <c r="E198" s="19">
        <v>603</v>
      </c>
      <c r="F198" s="19">
        <v>49.6</v>
      </c>
      <c r="G198" s="19">
        <v>0</v>
      </c>
      <c r="H198" s="19">
        <v>49.6</v>
      </c>
      <c r="I198" s="20">
        <v>49.6</v>
      </c>
      <c r="J198" s="19">
        <f t="shared" si="14"/>
        <v>0</v>
      </c>
      <c r="K198" s="19">
        <f t="shared" si="15"/>
        <v>0</v>
      </c>
      <c r="L198" s="19">
        <v>-6.6E-4</v>
      </c>
      <c r="M198" s="19">
        <v>2.7000000000000001E-3</v>
      </c>
      <c r="N198" s="19">
        <v>2.7000000000000001E-3</v>
      </c>
      <c r="O198" s="19">
        <v>2.6700000000000001E-3</v>
      </c>
      <c r="P198" s="19">
        <v>2.64E-3</v>
      </c>
      <c r="Q198" s="19"/>
      <c r="R198" s="19">
        <f t="shared" si="16"/>
        <v>0</v>
      </c>
      <c r="S198" s="19">
        <f t="shared" si="17"/>
        <v>0</v>
      </c>
      <c r="T198" s="19">
        <f t="shared" si="18"/>
        <v>0</v>
      </c>
      <c r="U198" s="19">
        <f t="shared" si="19"/>
        <v>0</v>
      </c>
      <c r="V198" s="21">
        <f t="shared" si="20"/>
        <v>0</v>
      </c>
    </row>
    <row r="199" spans="1:22" ht="13.5" x14ac:dyDescent="0.35">
      <c r="A199" s="18">
        <v>105452</v>
      </c>
      <c r="B199" s="19" t="s">
        <v>225</v>
      </c>
      <c r="C199" s="19">
        <v>13.8</v>
      </c>
      <c r="D199" s="19">
        <v>101</v>
      </c>
      <c r="E199" s="19">
        <v>603</v>
      </c>
      <c r="F199" s="19">
        <v>48</v>
      </c>
      <c r="G199" s="19">
        <v>0</v>
      </c>
      <c r="H199" s="19">
        <v>48</v>
      </c>
      <c r="I199" s="20">
        <v>48</v>
      </c>
      <c r="J199" s="19">
        <f t="shared" si="14"/>
        <v>0</v>
      </c>
      <c r="K199" s="19">
        <f t="shared" si="15"/>
        <v>0</v>
      </c>
      <c r="L199" s="19">
        <v>-6.6E-4</v>
      </c>
      <c r="M199" s="19">
        <v>2.7000000000000001E-3</v>
      </c>
      <c r="N199" s="19">
        <v>2.7000000000000001E-3</v>
      </c>
      <c r="O199" s="19">
        <v>2.6700000000000001E-3</v>
      </c>
      <c r="P199" s="19">
        <v>2.64E-3</v>
      </c>
      <c r="Q199" s="19"/>
      <c r="R199" s="19">
        <f t="shared" si="16"/>
        <v>0</v>
      </c>
      <c r="S199" s="19">
        <f t="shared" si="17"/>
        <v>0</v>
      </c>
      <c r="T199" s="19">
        <f t="shared" si="18"/>
        <v>0</v>
      </c>
      <c r="U199" s="19">
        <f t="shared" si="19"/>
        <v>0</v>
      </c>
      <c r="V199" s="21">
        <f t="shared" si="20"/>
        <v>0</v>
      </c>
    </row>
    <row r="200" spans="1:22" ht="13.5" x14ac:dyDescent="0.35">
      <c r="A200" s="18">
        <v>105454</v>
      </c>
      <c r="B200" s="19" t="s">
        <v>226</v>
      </c>
      <c r="C200" s="19">
        <v>13.8</v>
      </c>
      <c r="D200" s="19">
        <v>101</v>
      </c>
      <c r="E200" s="19">
        <v>604</v>
      </c>
      <c r="F200" s="19">
        <v>0</v>
      </c>
      <c r="G200" s="19">
        <v>0</v>
      </c>
      <c r="H200" s="19">
        <v>0</v>
      </c>
      <c r="I200" s="20">
        <v>0</v>
      </c>
      <c r="J200" s="19">
        <f t="shared" si="14"/>
        <v>0</v>
      </c>
      <c r="K200" s="19">
        <f t="shared" si="15"/>
        <v>0</v>
      </c>
      <c r="L200" s="19">
        <v>-6.6E-4</v>
      </c>
      <c r="M200" s="19">
        <v>2.7000000000000001E-3</v>
      </c>
      <c r="N200" s="19">
        <v>2.7000000000000001E-3</v>
      </c>
      <c r="O200" s="19">
        <v>2.6700000000000001E-3</v>
      </c>
      <c r="P200" s="19">
        <v>2.64E-3</v>
      </c>
      <c r="Q200" s="19"/>
      <c r="R200" s="19">
        <f t="shared" si="16"/>
        <v>0</v>
      </c>
      <c r="S200" s="19">
        <f t="shared" si="17"/>
        <v>0</v>
      </c>
      <c r="T200" s="19">
        <f t="shared" si="18"/>
        <v>0</v>
      </c>
      <c r="U200" s="19">
        <f t="shared" si="19"/>
        <v>0</v>
      </c>
      <c r="V200" s="21">
        <f t="shared" si="20"/>
        <v>0</v>
      </c>
    </row>
    <row r="201" spans="1:22" ht="13.5" x14ac:dyDescent="0.35">
      <c r="A201" s="18">
        <v>105464</v>
      </c>
      <c r="B201" s="19" t="s">
        <v>227</v>
      </c>
      <c r="C201" s="19">
        <v>24</v>
      </c>
      <c r="D201" s="19">
        <v>101</v>
      </c>
      <c r="E201" s="19">
        <v>603</v>
      </c>
      <c r="F201" s="19">
        <v>407.5</v>
      </c>
      <c r="G201" s="19">
        <v>0</v>
      </c>
      <c r="H201" s="19">
        <v>407.5</v>
      </c>
      <c r="I201" s="20">
        <v>407.5</v>
      </c>
      <c r="J201" s="19">
        <f t="shared" si="14"/>
        <v>0</v>
      </c>
      <c r="K201" s="19">
        <f t="shared" si="15"/>
        <v>0</v>
      </c>
      <c r="L201" s="19">
        <v>-6.6E-4</v>
      </c>
      <c r="M201" s="19">
        <v>2.8600000000000001E-3</v>
      </c>
      <c r="N201" s="19">
        <v>2.8600000000000001E-3</v>
      </c>
      <c r="O201" s="19">
        <v>2.8300000000000001E-3</v>
      </c>
      <c r="P201" s="19">
        <v>2.8E-3</v>
      </c>
      <c r="Q201" s="19"/>
      <c r="R201" s="19">
        <f t="shared" si="16"/>
        <v>0</v>
      </c>
      <c r="S201" s="19">
        <f t="shared" si="17"/>
        <v>0</v>
      </c>
      <c r="T201" s="19">
        <f t="shared" si="18"/>
        <v>0</v>
      </c>
      <c r="U201" s="19">
        <f t="shared" si="19"/>
        <v>0</v>
      </c>
      <c r="V201" s="21">
        <f t="shared" si="20"/>
        <v>0</v>
      </c>
    </row>
    <row r="202" spans="1:22" ht="13.5" x14ac:dyDescent="0.35">
      <c r="A202" s="18">
        <v>105476</v>
      </c>
      <c r="B202" s="19" t="s">
        <v>228</v>
      </c>
      <c r="C202" s="19">
        <v>18</v>
      </c>
      <c r="D202" s="19">
        <v>101</v>
      </c>
      <c r="E202" s="19">
        <v>603</v>
      </c>
      <c r="F202" s="19">
        <v>175.28</v>
      </c>
      <c r="G202" s="19">
        <v>0</v>
      </c>
      <c r="H202" s="19">
        <v>175.28</v>
      </c>
      <c r="I202" s="20">
        <v>175.28</v>
      </c>
      <c r="J202" s="19">
        <f t="shared" si="14"/>
        <v>0</v>
      </c>
      <c r="K202" s="19">
        <f t="shared" si="15"/>
        <v>0</v>
      </c>
      <c r="L202" s="19">
        <v>-6.6E-4</v>
      </c>
      <c r="M202" s="19">
        <v>2.8600000000000001E-3</v>
      </c>
      <c r="N202" s="19">
        <v>2.8600000000000001E-3</v>
      </c>
      <c r="O202" s="19">
        <v>2.8300000000000001E-3</v>
      </c>
      <c r="P202" s="19">
        <v>2.8E-3</v>
      </c>
      <c r="Q202" s="19"/>
      <c r="R202" s="19">
        <f t="shared" si="16"/>
        <v>0</v>
      </c>
      <c r="S202" s="19">
        <f t="shared" si="17"/>
        <v>0</v>
      </c>
      <c r="T202" s="19">
        <f t="shared" si="18"/>
        <v>0</v>
      </c>
      <c r="U202" s="19">
        <f t="shared" si="19"/>
        <v>0</v>
      </c>
      <c r="V202" s="21">
        <f t="shared" si="20"/>
        <v>0</v>
      </c>
    </row>
    <row r="203" spans="1:22" ht="13.5" x14ac:dyDescent="0.35">
      <c r="A203" s="18">
        <v>105477</v>
      </c>
      <c r="B203" s="19" t="s">
        <v>229</v>
      </c>
      <c r="C203" s="19">
        <v>18</v>
      </c>
      <c r="D203" s="19">
        <v>101</v>
      </c>
      <c r="E203" s="19">
        <v>603</v>
      </c>
      <c r="F203" s="19">
        <v>175.28</v>
      </c>
      <c r="G203" s="19">
        <v>0</v>
      </c>
      <c r="H203" s="19">
        <v>175.28</v>
      </c>
      <c r="I203" s="20">
        <v>175.28</v>
      </c>
      <c r="J203" s="19">
        <f t="shared" si="14"/>
        <v>0</v>
      </c>
      <c r="K203" s="19">
        <f t="shared" si="15"/>
        <v>0</v>
      </c>
      <c r="L203" s="19">
        <v>-6.6E-4</v>
      </c>
      <c r="M203" s="19">
        <v>2.8600000000000001E-3</v>
      </c>
      <c r="N203" s="19">
        <v>2.8600000000000001E-3</v>
      </c>
      <c r="O203" s="19">
        <v>2.8300000000000001E-3</v>
      </c>
      <c r="P203" s="19">
        <v>2.8E-3</v>
      </c>
      <c r="Q203" s="19"/>
      <c r="R203" s="19">
        <f t="shared" si="16"/>
        <v>0</v>
      </c>
      <c r="S203" s="19">
        <f t="shared" si="17"/>
        <v>0</v>
      </c>
      <c r="T203" s="19">
        <f t="shared" si="18"/>
        <v>0</v>
      </c>
      <c r="U203" s="19">
        <f t="shared" si="19"/>
        <v>0</v>
      </c>
      <c r="V203" s="21">
        <f t="shared" si="20"/>
        <v>0</v>
      </c>
    </row>
    <row r="204" spans="1:22" ht="13.5" x14ac:dyDescent="0.35">
      <c r="A204" s="18">
        <v>105478</v>
      </c>
      <c r="B204" s="19" t="s">
        <v>230</v>
      </c>
      <c r="C204" s="19">
        <v>18</v>
      </c>
      <c r="D204" s="19">
        <v>101</v>
      </c>
      <c r="E204" s="19">
        <v>603</v>
      </c>
      <c r="F204" s="19">
        <v>208.95</v>
      </c>
      <c r="G204" s="19">
        <v>0</v>
      </c>
      <c r="H204" s="19">
        <v>208.95</v>
      </c>
      <c r="I204" s="20">
        <v>208.95</v>
      </c>
      <c r="J204" s="19">
        <f t="shared" si="14"/>
        <v>0</v>
      </c>
      <c r="K204" s="19">
        <f t="shared" si="15"/>
        <v>0</v>
      </c>
      <c r="L204" s="19">
        <v>-6.6E-4</v>
      </c>
      <c r="M204" s="19">
        <v>2.8600000000000001E-3</v>
      </c>
      <c r="N204" s="19">
        <v>2.8600000000000001E-3</v>
      </c>
      <c r="O204" s="19">
        <v>2.8300000000000001E-3</v>
      </c>
      <c r="P204" s="19">
        <v>2.8E-3</v>
      </c>
      <c r="Q204" s="19"/>
      <c r="R204" s="19">
        <f t="shared" si="16"/>
        <v>0</v>
      </c>
      <c r="S204" s="19">
        <f t="shared" si="17"/>
        <v>0</v>
      </c>
      <c r="T204" s="19">
        <f t="shared" si="18"/>
        <v>0</v>
      </c>
      <c r="U204" s="19">
        <f t="shared" si="19"/>
        <v>0</v>
      </c>
      <c r="V204" s="21">
        <f t="shared" si="20"/>
        <v>0</v>
      </c>
    </row>
    <row r="205" spans="1:22" ht="13.5" x14ac:dyDescent="0.35">
      <c r="A205" s="18">
        <v>105568</v>
      </c>
      <c r="B205" s="19" t="s">
        <v>231</v>
      </c>
      <c r="C205" s="19">
        <v>25</v>
      </c>
      <c r="D205" s="19">
        <v>101</v>
      </c>
      <c r="E205" s="19">
        <v>603</v>
      </c>
      <c r="F205" s="19">
        <v>1134.47</v>
      </c>
      <c r="G205" s="19">
        <v>0</v>
      </c>
      <c r="H205" s="19">
        <v>1309.28</v>
      </c>
      <c r="I205" s="20">
        <v>1134.47</v>
      </c>
      <c r="J205" s="19">
        <f t="shared" si="14"/>
        <v>0</v>
      </c>
      <c r="K205" s="19">
        <f t="shared" si="15"/>
        <v>174.80999999999995</v>
      </c>
      <c r="L205" s="19">
        <v>-6.6E-4</v>
      </c>
      <c r="M205" s="19">
        <v>2.98E-3</v>
      </c>
      <c r="N205" s="19">
        <v>2.98E-3</v>
      </c>
      <c r="O205" s="19">
        <v>2.9399999999999999E-3</v>
      </c>
      <c r="P205" s="19">
        <v>2.9199999999999999E-3</v>
      </c>
      <c r="Q205" s="19"/>
      <c r="R205" s="19">
        <f t="shared" si="16"/>
        <v>0</v>
      </c>
      <c r="S205" s="19">
        <f t="shared" si="17"/>
        <v>0</v>
      </c>
      <c r="T205" s="19">
        <f t="shared" si="18"/>
        <v>0</v>
      </c>
      <c r="U205" s="19">
        <f t="shared" si="19"/>
        <v>0</v>
      </c>
      <c r="V205" s="21">
        <f t="shared" si="20"/>
        <v>0</v>
      </c>
    </row>
    <row r="206" spans="1:22" ht="13.5" x14ac:dyDescent="0.35">
      <c r="A206" s="18">
        <v>105633</v>
      </c>
      <c r="B206" s="19" t="s">
        <v>232</v>
      </c>
      <c r="C206" s="19">
        <v>16</v>
      </c>
      <c r="D206" s="19">
        <v>101</v>
      </c>
      <c r="E206" s="19">
        <v>643</v>
      </c>
      <c r="F206" s="19">
        <v>231</v>
      </c>
      <c r="G206" s="19">
        <v>0</v>
      </c>
      <c r="H206" s="19">
        <v>231.83</v>
      </c>
      <c r="I206" s="20">
        <v>231</v>
      </c>
      <c r="J206" s="19">
        <f t="shared" ref="J206:J269" si="21">I206-F206</f>
        <v>0</v>
      </c>
      <c r="K206" s="19">
        <f t="shared" ref="K206:K269" si="22">H206-I206</f>
        <v>0.83000000000001251</v>
      </c>
      <c r="L206" s="19">
        <v>-6.6E-4</v>
      </c>
      <c r="M206" s="19">
        <v>2.6199999999999999E-3</v>
      </c>
      <c r="N206" s="19">
        <v>2.6199999999999999E-3</v>
      </c>
      <c r="O206" s="19">
        <v>2.5899999999999999E-3</v>
      </c>
      <c r="P206" s="19">
        <v>2.5699999999999998E-3</v>
      </c>
      <c r="Q206" s="19"/>
      <c r="R206" s="19">
        <f t="shared" ref="R206:R269" si="23">L206*J206</f>
        <v>0</v>
      </c>
      <c r="S206" s="19">
        <f t="shared" ref="S206:S269" si="24">M206*J206</f>
        <v>0</v>
      </c>
      <c r="T206" s="19">
        <f t="shared" ref="T206:T269" si="25">N206*J206</f>
        <v>0</v>
      </c>
      <c r="U206" s="19">
        <f t="shared" ref="U206:U269" si="26">O206*J206</f>
        <v>0</v>
      </c>
      <c r="V206" s="21">
        <f t="shared" ref="V206:V269" si="27">P206*J206</f>
        <v>0</v>
      </c>
    </row>
    <row r="207" spans="1:22" ht="13.5" x14ac:dyDescent="0.35">
      <c r="A207" s="18">
        <v>105700</v>
      </c>
      <c r="B207" s="19" t="s">
        <v>233</v>
      </c>
      <c r="C207" s="19">
        <v>2.2999999999999998</v>
      </c>
      <c r="D207" s="19">
        <v>101</v>
      </c>
      <c r="E207" s="19">
        <v>644</v>
      </c>
      <c r="F207" s="19">
        <v>0</v>
      </c>
      <c r="G207" s="19">
        <v>0</v>
      </c>
      <c r="H207" s="19">
        <v>0</v>
      </c>
      <c r="I207" s="20">
        <v>0</v>
      </c>
      <c r="J207" s="19">
        <f t="shared" si="21"/>
        <v>0</v>
      </c>
      <c r="K207" s="19">
        <f t="shared" si="22"/>
        <v>0</v>
      </c>
      <c r="L207" s="19">
        <v>-6.6E-4</v>
      </c>
      <c r="M207" s="19">
        <v>2.5200000000000001E-3</v>
      </c>
      <c r="N207" s="19">
        <v>2.5200000000000001E-3</v>
      </c>
      <c r="O207" s="19">
        <v>2.49E-3</v>
      </c>
      <c r="P207" s="19">
        <v>2.4599999999999999E-3</v>
      </c>
      <c r="Q207" s="19"/>
      <c r="R207" s="19">
        <f t="shared" si="23"/>
        <v>0</v>
      </c>
      <c r="S207" s="19">
        <f t="shared" si="24"/>
        <v>0</v>
      </c>
      <c r="T207" s="19">
        <f t="shared" si="25"/>
        <v>0</v>
      </c>
      <c r="U207" s="19">
        <f t="shared" si="26"/>
        <v>0</v>
      </c>
      <c r="V207" s="21">
        <f t="shared" si="27"/>
        <v>0</v>
      </c>
    </row>
    <row r="208" spans="1:22" ht="13.5" x14ac:dyDescent="0.35">
      <c r="A208" s="18">
        <v>105701</v>
      </c>
      <c r="B208" s="19" t="s">
        <v>234</v>
      </c>
      <c r="C208" s="19">
        <v>2.2999999999999998</v>
      </c>
      <c r="D208" s="19">
        <v>101</v>
      </c>
      <c r="E208" s="19">
        <v>644</v>
      </c>
      <c r="F208" s="19">
        <v>0</v>
      </c>
      <c r="G208" s="19">
        <v>0</v>
      </c>
      <c r="H208" s="19">
        <v>0</v>
      </c>
      <c r="I208" s="20">
        <v>0</v>
      </c>
      <c r="J208" s="19">
        <f t="shared" si="21"/>
        <v>0</v>
      </c>
      <c r="K208" s="19">
        <f t="shared" si="22"/>
        <v>0</v>
      </c>
      <c r="L208" s="19">
        <v>-6.6E-4</v>
      </c>
      <c r="M208" s="19">
        <v>2.5200000000000001E-3</v>
      </c>
      <c r="N208" s="19">
        <v>2.5200000000000001E-3</v>
      </c>
      <c r="O208" s="19">
        <v>2.49E-3</v>
      </c>
      <c r="P208" s="19">
        <v>2.4599999999999999E-3</v>
      </c>
      <c r="Q208" s="19"/>
      <c r="R208" s="19">
        <f t="shared" si="23"/>
        <v>0</v>
      </c>
      <c r="S208" s="19">
        <f t="shared" si="24"/>
        <v>0</v>
      </c>
      <c r="T208" s="19">
        <f t="shared" si="25"/>
        <v>0</v>
      </c>
      <c r="U208" s="19">
        <f t="shared" si="26"/>
        <v>0</v>
      </c>
      <c r="V208" s="21">
        <f t="shared" si="27"/>
        <v>0</v>
      </c>
    </row>
    <row r="209" spans="1:22" ht="13.5" x14ac:dyDescent="0.35">
      <c r="A209" s="18">
        <v>105726</v>
      </c>
      <c r="B209" s="19" t="s">
        <v>235</v>
      </c>
      <c r="C209" s="19">
        <v>2.4</v>
      </c>
      <c r="D209" s="19">
        <v>101</v>
      </c>
      <c r="E209" s="19">
        <v>684</v>
      </c>
      <c r="F209" s="19">
        <v>0</v>
      </c>
      <c r="G209" s="19">
        <v>0</v>
      </c>
      <c r="H209" s="19">
        <v>0</v>
      </c>
      <c r="I209" s="20">
        <v>0</v>
      </c>
      <c r="J209" s="19">
        <f t="shared" si="21"/>
        <v>0</v>
      </c>
      <c r="K209" s="19">
        <f t="shared" si="22"/>
        <v>0</v>
      </c>
      <c r="L209" s="19">
        <v>-6.6E-4</v>
      </c>
      <c r="M209" s="19">
        <v>1.75E-3</v>
      </c>
      <c r="N209" s="19">
        <v>1.75E-3</v>
      </c>
      <c r="O209" s="19">
        <v>1.72E-3</v>
      </c>
      <c r="P209" s="19">
        <v>1.6900000000000001E-3</v>
      </c>
      <c r="Q209" s="19"/>
      <c r="R209" s="19">
        <f t="shared" si="23"/>
        <v>0</v>
      </c>
      <c r="S209" s="19">
        <f t="shared" si="24"/>
        <v>0</v>
      </c>
      <c r="T209" s="19">
        <f t="shared" si="25"/>
        <v>0</v>
      </c>
      <c r="U209" s="19">
        <f t="shared" si="26"/>
        <v>0</v>
      </c>
      <c r="V209" s="21">
        <f t="shared" si="27"/>
        <v>0</v>
      </c>
    </row>
    <row r="210" spans="1:22" ht="13.5" x14ac:dyDescent="0.35">
      <c r="A210" s="18">
        <v>105731</v>
      </c>
      <c r="B210" s="19" t="s">
        <v>236</v>
      </c>
      <c r="C210" s="19">
        <v>0.69</v>
      </c>
      <c r="D210" s="19">
        <v>101</v>
      </c>
      <c r="E210" s="19">
        <v>684</v>
      </c>
      <c r="F210" s="19">
        <v>0</v>
      </c>
      <c r="G210" s="19">
        <v>0</v>
      </c>
      <c r="H210" s="19">
        <v>0</v>
      </c>
      <c r="I210" s="20">
        <v>0</v>
      </c>
      <c r="J210" s="19">
        <f t="shared" si="21"/>
        <v>0</v>
      </c>
      <c r="K210" s="19">
        <f t="shared" si="22"/>
        <v>0</v>
      </c>
      <c r="L210" s="19">
        <v>-6.6E-4</v>
      </c>
      <c r="M210" s="19">
        <v>1.5100000000000001E-3</v>
      </c>
      <c r="N210" s="19">
        <v>1.5100000000000001E-3</v>
      </c>
      <c r="O210" s="19">
        <v>1.48E-3</v>
      </c>
      <c r="P210" s="19">
        <v>1.4599999999999999E-3</v>
      </c>
      <c r="Q210" s="19"/>
      <c r="R210" s="19">
        <f t="shared" si="23"/>
        <v>0</v>
      </c>
      <c r="S210" s="19">
        <f t="shared" si="24"/>
        <v>0</v>
      </c>
      <c r="T210" s="19">
        <f t="shared" si="25"/>
        <v>0</v>
      </c>
      <c r="U210" s="19">
        <f t="shared" si="26"/>
        <v>0</v>
      </c>
      <c r="V210" s="21">
        <f t="shared" si="27"/>
        <v>0</v>
      </c>
    </row>
    <row r="211" spans="1:22" ht="13.5" x14ac:dyDescent="0.35">
      <c r="A211" s="18">
        <v>105882</v>
      </c>
      <c r="B211" s="19" t="s">
        <v>237</v>
      </c>
      <c r="C211" s="19">
        <v>34.5</v>
      </c>
      <c r="D211" s="19">
        <v>101</v>
      </c>
      <c r="E211" s="19">
        <v>644</v>
      </c>
      <c r="F211" s="19">
        <v>0</v>
      </c>
      <c r="G211" s="19">
        <v>0</v>
      </c>
      <c r="H211" s="19">
        <v>0</v>
      </c>
      <c r="I211" s="20">
        <v>0</v>
      </c>
      <c r="J211" s="19">
        <f t="shared" si="21"/>
        <v>0</v>
      </c>
      <c r="K211" s="19">
        <f t="shared" si="22"/>
        <v>0</v>
      </c>
      <c r="L211" s="19">
        <v>-6.6E-4</v>
      </c>
      <c r="M211" s="19">
        <v>2.7299999999999998E-3</v>
      </c>
      <c r="N211" s="19">
        <v>2.7299999999999998E-3</v>
      </c>
      <c r="O211" s="19">
        <v>2.7000000000000001E-3</v>
      </c>
      <c r="P211" s="19">
        <v>2.6700000000000001E-3</v>
      </c>
      <c r="Q211" s="19"/>
      <c r="R211" s="19">
        <f t="shared" si="23"/>
        <v>0</v>
      </c>
      <c r="S211" s="19">
        <f t="shared" si="24"/>
        <v>0</v>
      </c>
      <c r="T211" s="19">
        <f t="shared" si="25"/>
        <v>0</v>
      </c>
      <c r="U211" s="19">
        <f t="shared" si="26"/>
        <v>0</v>
      </c>
      <c r="V211" s="21">
        <f t="shared" si="27"/>
        <v>0</v>
      </c>
    </row>
    <row r="212" spans="1:22" ht="13.5" x14ac:dyDescent="0.35">
      <c r="A212" s="18">
        <v>106033</v>
      </c>
      <c r="B212" s="19" t="s">
        <v>238</v>
      </c>
      <c r="C212" s="19">
        <v>13.8</v>
      </c>
      <c r="D212" s="19">
        <v>101</v>
      </c>
      <c r="E212" s="19">
        <v>400</v>
      </c>
      <c r="F212" s="19">
        <v>0</v>
      </c>
      <c r="G212" s="19">
        <v>0</v>
      </c>
      <c r="H212" s="19">
        <v>0</v>
      </c>
      <c r="I212" s="20">
        <v>0</v>
      </c>
      <c r="J212" s="19">
        <f t="shared" si="21"/>
        <v>0</v>
      </c>
      <c r="K212" s="19">
        <f t="shared" si="22"/>
        <v>0</v>
      </c>
      <c r="L212" s="19">
        <v>-6.6E-4</v>
      </c>
      <c r="M212" s="19">
        <v>1.1199999999999999E-3</v>
      </c>
      <c r="N212" s="19">
        <v>1.1199999999999999E-3</v>
      </c>
      <c r="O212" s="19">
        <v>1.09E-3</v>
      </c>
      <c r="P212" s="19">
        <v>1.06E-3</v>
      </c>
      <c r="Q212" s="19"/>
      <c r="R212" s="19">
        <f t="shared" si="23"/>
        <v>0</v>
      </c>
      <c r="S212" s="19">
        <f t="shared" si="24"/>
        <v>0</v>
      </c>
      <c r="T212" s="19">
        <f t="shared" si="25"/>
        <v>0</v>
      </c>
      <c r="U212" s="19">
        <f t="shared" si="26"/>
        <v>0</v>
      </c>
      <c r="V212" s="21">
        <f t="shared" si="27"/>
        <v>0</v>
      </c>
    </row>
    <row r="213" spans="1:22" ht="13.5" x14ac:dyDescent="0.35">
      <c r="A213" s="18">
        <v>106040</v>
      </c>
      <c r="B213" s="19" t="s">
        <v>239</v>
      </c>
      <c r="C213" s="19">
        <v>13.8</v>
      </c>
      <c r="D213" s="19">
        <v>101</v>
      </c>
      <c r="E213" s="19">
        <v>400</v>
      </c>
      <c r="F213" s="19">
        <v>0</v>
      </c>
      <c r="G213" s="19">
        <v>0</v>
      </c>
      <c r="H213" s="19">
        <v>0</v>
      </c>
      <c r="I213" s="20">
        <v>0</v>
      </c>
      <c r="J213" s="19">
        <f t="shared" si="21"/>
        <v>0</v>
      </c>
      <c r="K213" s="19">
        <f t="shared" si="22"/>
        <v>0</v>
      </c>
      <c r="L213" s="19">
        <v>-6.6E-4</v>
      </c>
      <c r="M213" s="19">
        <v>2.3600000000000001E-3</v>
      </c>
      <c r="N213" s="19">
        <v>2.3600000000000001E-3</v>
      </c>
      <c r="O213" s="19">
        <v>2.33E-3</v>
      </c>
      <c r="P213" s="19">
        <v>2.3E-3</v>
      </c>
      <c r="Q213" s="19"/>
      <c r="R213" s="19">
        <f t="shared" si="23"/>
        <v>0</v>
      </c>
      <c r="S213" s="19">
        <f t="shared" si="24"/>
        <v>0</v>
      </c>
      <c r="T213" s="19">
        <f t="shared" si="25"/>
        <v>0</v>
      </c>
      <c r="U213" s="19">
        <f t="shared" si="26"/>
        <v>0</v>
      </c>
      <c r="V213" s="21">
        <f t="shared" si="27"/>
        <v>0</v>
      </c>
    </row>
    <row r="214" spans="1:22" ht="13.5" x14ac:dyDescent="0.35">
      <c r="A214" s="18">
        <v>106041</v>
      </c>
      <c r="B214" s="19" t="s">
        <v>240</v>
      </c>
      <c r="C214" s="19">
        <v>13.8</v>
      </c>
      <c r="D214" s="19">
        <v>101</v>
      </c>
      <c r="E214" s="19">
        <v>400</v>
      </c>
      <c r="F214" s="19">
        <v>0</v>
      </c>
      <c r="G214" s="19">
        <v>0</v>
      </c>
      <c r="H214" s="19">
        <v>0</v>
      </c>
      <c r="I214" s="20">
        <v>0</v>
      </c>
      <c r="J214" s="19">
        <f t="shared" si="21"/>
        <v>0</v>
      </c>
      <c r="K214" s="19">
        <f t="shared" si="22"/>
        <v>0</v>
      </c>
      <c r="L214" s="19">
        <v>-6.6E-4</v>
      </c>
      <c r="M214" s="19">
        <v>2.3600000000000001E-3</v>
      </c>
      <c r="N214" s="19">
        <v>2.3600000000000001E-3</v>
      </c>
      <c r="O214" s="19">
        <v>2.33E-3</v>
      </c>
      <c r="P214" s="19">
        <v>2.3E-3</v>
      </c>
      <c r="Q214" s="19"/>
      <c r="R214" s="19">
        <f t="shared" si="23"/>
        <v>0</v>
      </c>
      <c r="S214" s="19">
        <f t="shared" si="24"/>
        <v>0</v>
      </c>
      <c r="T214" s="19">
        <f t="shared" si="25"/>
        <v>0</v>
      </c>
      <c r="U214" s="19">
        <f t="shared" si="26"/>
        <v>0</v>
      </c>
      <c r="V214" s="21">
        <f t="shared" si="27"/>
        <v>0</v>
      </c>
    </row>
    <row r="215" spans="1:22" ht="13.5" x14ac:dyDescent="0.35">
      <c r="A215" s="18">
        <v>106042</v>
      </c>
      <c r="B215" s="19" t="s">
        <v>241</v>
      </c>
      <c r="C215" s="19">
        <v>13.8</v>
      </c>
      <c r="D215" s="19">
        <v>101</v>
      </c>
      <c r="E215" s="19">
        <v>400</v>
      </c>
      <c r="F215" s="19">
        <v>0</v>
      </c>
      <c r="G215" s="19">
        <v>0</v>
      </c>
      <c r="H215" s="19">
        <v>0</v>
      </c>
      <c r="I215" s="20">
        <v>0</v>
      </c>
      <c r="J215" s="19">
        <f t="shared" si="21"/>
        <v>0</v>
      </c>
      <c r="K215" s="19">
        <f t="shared" si="22"/>
        <v>0</v>
      </c>
      <c r="L215" s="19">
        <v>-6.6E-4</v>
      </c>
      <c r="M215" s="19">
        <v>2.3600000000000001E-3</v>
      </c>
      <c r="N215" s="19">
        <v>2.3600000000000001E-3</v>
      </c>
      <c r="O215" s="19">
        <v>2.33E-3</v>
      </c>
      <c r="P215" s="19">
        <v>2.3E-3</v>
      </c>
      <c r="Q215" s="19"/>
      <c r="R215" s="19">
        <f t="shared" si="23"/>
        <v>0</v>
      </c>
      <c r="S215" s="19">
        <f t="shared" si="24"/>
        <v>0</v>
      </c>
      <c r="T215" s="19">
        <f t="shared" si="25"/>
        <v>0</v>
      </c>
      <c r="U215" s="19">
        <f t="shared" si="26"/>
        <v>0</v>
      </c>
      <c r="V215" s="21">
        <f t="shared" si="27"/>
        <v>0</v>
      </c>
    </row>
    <row r="216" spans="1:22" ht="13.5" x14ac:dyDescent="0.35">
      <c r="A216" s="18">
        <v>106043</v>
      </c>
      <c r="B216" s="19" t="s">
        <v>242</v>
      </c>
      <c r="C216" s="19">
        <v>13.8</v>
      </c>
      <c r="D216" s="19">
        <v>101</v>
      </c>
      <c r="E216" s="19">
        <v>400</v>
      </c>
      <c r="F216" s="19">
        <v>0</v>
      </c>
      <c r="G216" s="19">
        <v>0</v>
      </c>
      <c r="H216" s="19">
        <v>0</v>
      </c>
      <c r="I216" s="20">
        <v>0</v>
      </c>
      <c r="J216" s="19">
        <f t="shared" si="21"/>
        <v>0</v>
      </c>
      <c r="K216" s="19">
        <f t="shared" si="22"/>
        <v>0</v>
      </c>
      <c r="L216" s="19">
        <v>-6.6E-4</v>
      </c>
      <c r="M216" s="19">
        <v>2.3600000000000001E-3</v>
      </c>
      <c r="N216" s="19">
        <v>2.3600000000000001E-3</v>
      </c>
      <c r="O216" s="19">
        <v>2.33E-3</v>
      </c>
      <c r="P216" s="19">
        <v>2.3E-3</v>
      </c>
      <c r="Q216" s="19"/>
      <c r="R216" s="19">
        <f t="shared" si="23"/>
        <v>0</v>
      </c>
      <c r="S216" s="19">
        <f t="shared" si="24"/>
        <v>0</v>
      </c>
      <c r="T216" s="19">
        <f t="shared" si="25"/>
        <v>0</v>
      </c>
      <c r="U216" s="19">
        <f t="shared" si="26"/>
        <v>0</v>
      </c>
      <c r="V216" s="21">
        <f t="shared" si="27"/>
        <v>0</v>
      </c>
    </row>
    <row r="217" spans="1:22" ht="13.5" x14ac:dyDescent="0.35">
      <c r="A217" s="18">
        <v>106044</v>
      </c>
      <c r="B217" s="19" t="s">
        <v>243</v>
      </c>
      <c r="C217" s="19">
        <v>13.8</v>
      </c>
      <c r="D217" s="19">
        <v>101</v>
      </c>
      <c r="E217" s="19">
        <v>400</v>
      </c>
      <c r="F217" s="19">
        <v>47.27</v>
      </c>
      <c r="G217" s="19">
        <v>0</v>
      </c>
      <c r="H217" s="19">
        <v>47.27</v>
      </c>
      <c r="I217" s="20">
        <v>47.27</v>
      </c>
      <c r="J217" s="19">
        <f t="shared" si="21"/>
        <v>0</v>
      </c>
      <c r="K217" s="19">
        <f t="shared" si="22"/>
        <v>0</v>
      </c>
      <c r="L217" s="19">
        <v>-6.6E-4</v>
      </c>
      <c r="M217" s="19">
        <v>2.32E-3</v>
      </c>
      <c r="N217" s="19">
        <v>2.32E-3</v>
      </c>
      <c r="O217" s="19">
        <v>2.2799999999999999E-3</v>
      </c>
      <c r="P217" s="19">
        <v>2.2599999999999999E-3</v>
      </c>
      <c r="Q217" s="19"/>
      <c r="R217" s="19">
        <f t="shared" si="23"/>
        <v>0</v>
      </c>
      <c r="S217" s="19">
        <f t="shared" si="24"/>
        <v>0</v>
      </c>
      <c r="T217" s="19">
        <f t="shared" si="25"/>
        <v>0</v>
      </c>
      <c r="U217" s="19">
        <f t="shared" si="26"/>
        <v>0</v>
      </c>
      <c r="V217" s="21">
        <f t="shared" si="27"/>
        <v>0</v>
      </c>
    </row>
    <row r="218" spans="1:22" ht="13.5" x14ac:dyDescent="0.35">
      <c r="A218" s="18">
        <v>106045</v>
      </c>
      <c r="B218" s="19" t="s">
        <v>244</v>
      </c>
      <c r="C218" s="19">
        <v>13.8</v>
      </c>
      <c r="D218" s="19">
        <v>101</v>
      </c>
      <c r="E218" s="19">
        <v>400</v>
      </c>
      <c r="F218" s="19">
        <v>47.27</v>
      </c>
      <c r="G218" s="19">
        <v>0</v>
      </c>
      <c r="H218" s="19">
        <v>47.27</v>
      </c>
      <c r="I218" s="20">
        <v>47.27</v>
      </c>
      <c r="J218" s="19">
        <f t="shared" si="21"/>
        <v>0</v>
      </c>
      <c r="K218" s="19">
        <f t="shared" si="22"/>
        <v>0</v>
      </c>
      <c r="L218" s="19">
        <v>-6.6E-4</v>
      </c>
      <c r="M218" s="19">
        <v>2.3500000000000001E-3</v>
      </c>
      <c r="N218" s="19">
        <v>2.3500000000000001E-3</v>
      </c>
      <c r="O218" s="19">
        <v>2.32E-3</v>
      </c>
      <c r="P218" s="19">
        <v>2.2899999999999999E-3</v>
      </c>
      <c r="Q218" s="19"/>
      <c r="R218" s="19">
        <f t="shared" si="23"/>
        <v>0</v>
      </c>
      <c r="S218" s="19">
        <f t="shared" si="24"/>
        <v>0</v>
      </c>
      <c r="T218" s="19">
        <f t="shared" si="25"/>
        <v>0</v>
      </c>
      <c r="U218" s="19">
        <f t="shared" si="26"/>
        <v>0</v>
      </c>
      <c r="V218" s="21">
        <f t="shared" si="27"/>
        <v>0</v>
      </c>
    </row>
    <row r="219" spans="1:22" ht="13.5" x14ac:dyDescent="0.35">
      <c r="A219" s="18">
        <v>106046</v>
      </c>
      <c r="B219" s="19" t="s">
        <v>245</v>
      </c>
      <c r="C219" s="19">
        <v>13.8</v>
      </c>
      <c r="D219" s="19">
        <v>101</v>
      </c>
      <c r="E219" s="19">
        <v>400</v>
      </c>
      <c r="F219" s="19">
        <v>0</v>
      </c>
      <c r="G219" s="19">
        <v>0</v>
      </c>
      <c r="H219" s="19">
        <v>0</v>
      </c>
      <c r="I219" s="20">
        <v>0</v>
      </c>
      <c r="J219" s="19">
        <f t="shared" si="21"/>
        <v>0</v>
      </c>
      <c r="K219" s="19">
        <f t="shared" si="22"/>
        <v>0</v>
      </c>
      <c r="L219" s="19">
        <v>-6.6E-4</v>
      </c>
      <c r="M219" s="19">
        <v>2.33E-3</v>
      </c>
      <c r="N219" s="19">
        <v>2.33E-3</v>
      </c>
      <c r="O219" s="19">
        <v>2.3E-3</v>
      </c>
      <c r="P219" s="19">
        <v>2.2699999999999999E-3</v>
      </c>
      <c r="Q219" s="19"/>
      <c r="R219" s="19">
        <f t="shared" si="23"/>
        <v>0</v>
      </c>
      <c r="S219" s="19">
        <f t="shared" si="24"/>
        <v>0</v>
      </c>
      <c r="T219" s="19">
        <f t="shared" si="25"/>
        <v>0</v>
      </c>
      <c r="U219" s="19">
        <f t="shared" si="26"/>
        <v>0</v>
      </c>
      <c r="V219" s="21">
        <f t="shared" si="27"/>
        <v>0</v>
      </c>
    </row>
    <row r="220" spans="1:22" ht="13.5" x14ac:dyDescent="0.35">
      <c r="A220" s="18">
        <v>106047</v>
      </c>
      <c r="B220" s="19" t="s">
        <v>246</v>
      </c>
      <c r="C220" s="19">
        <v>13.8</v>
      </c>
      <c r="D220" s="19">
        <v>101</v>
      </c>
      <c r="E220" s="19">
        <v>400</v>
      </c>
      <c r="F220" s="19">
        <v>47.27</v>
      </c>
      <c r="G220" s="19">
        <v>0</v>
      </c>
      <c r="H220" s="19">
        <v>47.27</v>
      </c>
      <c r="I220" s="20">
        <v>47.27</v>
      </c>
      <c r="J220" s="19">
        <f t="shared" si="21"/>
        <v>0</v>
      </c>
      <c r="K220" s="19">
        <f t="shared" si="22"/>
        <v>0</v>
      </c>
      <c r="L220" s="19">
        <v>-6.6E-4</v>
      </c>
      <c r="M220" s="19">
        <v>2.3500000000000001E-3</v>
      </c>
      <c r="N220" s="19">
        <v>2.3500000000000001E-3</v>
      </c>
      <c r="O220" s="19">
        <v>2.32E-3</v>
      </c>
      <c r="P220" s="19">
        <v>2.2899999999999999E-3</v>
      </c>
      <c r="Q220" s="19"/>
      <c r="R220" s="19">
        <f t="shared" si="23"/>
        <v>0</v>
      </c>
      <c r="S220" s="19">
        <f t="shared" si="24"/>
        <v>0</v>
      </c>
      <c r="T220" s="19">
        <f t="shared" si="25"/>
        <v>0</v>
      </c>
      <c r="U220" s="19">
        <f t="shared" si="26"/>
        <v>0</v>
      </c>
      <c r="V220" s="21">
        <f t="shared" si="27"/>
        <v>0</v>
      </c>
    </row>
    <row r="221" spans="1:22" ht="13.5" x14ac:dyDescent="0.35">
      <c r="A221" s="18">
        <v>106048</v>
      </c>
      <c r="B221" s="19" t="s">
        <v>247</v>
      </c>
      <c r="C221" s="19">
        <v>2.4</v>
      </c>
      <c r="D221" s="19">
        <v>101</v>
      </c>
      <c r="E221" s="19">
        <v>400</v>
      </c>
      <c r="F221" s="19">
        <v>0</v>
      </c>
      <c r="G221" s="19">
        <v>0</v>
      </c>
      <c r="H221" s="19">
        <v>0</v>
      </c>
      <c r="I221" s="20">
        <v>0</v>
      </c>
      <c r="J221" s="19">
        <f t="shared" si="21"/>
        <v>0</v>
      </c>
      <c r="K221" s="19">
        <f t="shared" si="22"/>
        <v>0</v>
      </c>
      <c r="L221" s="19">
        <v>-6.6E-4</v>
      </c>
      <c r="M221" s="19">
        <v>2.14E-3</v>
      </c>
      <c r="N221" s="19">
        <v>2.14E-3</v>
      </c>
      <c r="O221" s="19">
        <v>2.1099999999999999E-3</v>
      </c>
      <c r="P221" s="19">
        <v>2.0799999999999998E-3</v>
      </c>
      <c r="Q221" s="19"/>
      <c r="R221" s="19">
        <f t="shared" si="23"/>
        <v>0</v>
      </c>
      <c r="S221" s="19">
        <f t="shared" si="24"/>
        <v>0</v>
      </c>
      <c r="T221" s="19">
        <f t="shared" si="25"/>
        <v>0</v>
      </c>
      <c r="U221" s="19">
        <f t="shared" si="26"/>
        <v>0</v>
      </c>
      <c r="V221" s="21">
        <f t="shared" si="27"/>
        <v>0</v>
      </c>
    </row>
    <row r="222" spans="1:22" ht="13.5" x14ac:dyDescent="0.35">
      <c r="A222" s="18">
        <v>106056</v>
      </c>
      <c r="B222" s="19" t="s">
        <v>248</v>
      </c>
      <c r="C222" s="19">
        <v>16</v>
      </c>
      <c r="D222" s="19">
        <v>101</v>
      </c>
      <c r="E222" s="19">
        <v>400</v>
      </c>
      <c r="F222" s="19">
        <v>223.08</v>
      </c>
      <c r="G222" s="19">
        <v>0</v>
      </c>
      <c r="H222" s="19">
        <v>223.08</v>
      </c>
      <c r="I222" s="20">
        <v>223.08</v>
      </c>
      <c r="J222" s="19">
        <f t="shared" si="21"/>
        <v>0</v>
      </c>
      <c r="K222" s="19">
        <f t="shared" si="22"/>
        <v>0</v>
      </c>
      <c r="L222" s="19">
        <v>-6.6E-4</v>
      </c>
      <c r="M222" s="19">
        <v>3.1800000000000001E-3</v>
      </c>
      <c r="N222" s="19">
        <v>3.1800000000000001E-3</v>
      </c>
      <c r="O222" s="19">
        <v>3.15E-3</v>
      </c>
      <c r="P222" s="19">
        <v>3.1199999999999999E-3</v>
      </c>
      <c r="Q222" s="19"/>
      <c r="R222" s="19">
        <f t="shared" si="23"/>
        <v>0</v>
      </c>
      <c r="S222" s="19">
        <f t="shared" si="24"/>
        <v>0</v>
      </c>
      <c r="T222" s="19">
        <f t="shared" si="25"/>
        <v>0</v>
      </c>
      <c r="U222" s="19">
        <f t="shared" si="26"/>
        <v>0</v>
      </c>
      <c r="V222" s="21">
        <f t="shared" si="27"/>
        <v>0</v>
      </c>
    </row>
    <row r="223" spans="1:22" ht="13.5" x14ac:dyDescent="0.35">
      <c r="A223" s="18">
        <v>106057</v>
      </c>
      <c r="B223" s="19" t="s">
        <v>249</v>
      </c>
      <c r="C223" s="19">
        <v>16</v>
      </c>
      <c r="D223" s="19">
        <v>101</v>
      </c>
      <c r="E223" s="19">
        <v>400</v>
      </c>
      <c r="F223" s="19">
        <v>223.08</v>
      </c>
      <c r="G223" s="19">
        <v>0</v>
      </c>
      <c r="H223" s="19">
        <v>223.08</v>
      </c>
      <c r="I223" s="20">
        <v>223.08</v>
      </c>
      <c r="J223" s="19">
        <f t="shared" si="21"/>
        <v>0</v>
      </c>
      <c r="K223" s="19">
        <f t="shared" si="22"/>
        <v>0</v>
      </c>
      <c r="L223" s="19">
        <v>-6.6E-4</v>
      </c>
      <c r="M223" s="19">
        <v>3.3400000000000001E-3</v>
      </c>
      <c r="N223" s="19">
        <v>3.3400000000000001E-3</v>
      </c>
      <c r="O223" s="19">
        <v>3.31E-3</v>
      </c>
      <c r="P223" s="19">
        <v>3.2799999999999999E-3</v>
      </c>
      <c r="Q223" s="19"/>
      <c r="R223" s="19">
        <f t="shared" si="23"/>
        <v>0</v>
      </c>
      <c r="S223" s="19">
        <f t="shared" si="24"/>
        <v>0</v>
      </c>
      <c r="T223" s="19">
        <f t="shared" si="25"/>
        <v>0</v>
      </c>
      <c r="U223" s="19">
        <f t="shared" si="26"/>
        <v>0</v>
      </c>
      <c r="V223" s="21">
        <f t="shared" si="27"/>
        <v>0</v>
      </c>
    </row>
    <row r="224" spans="1:22" ht="13.5" x14ac:dyDescent="0.35">
      <c r="A224" s="18">
        <v>107324</v>
      </c>
      <c r="B224" s="19" t="s">
        <v>250</v>
      </c>
      <c r="C224" s="19">
        <v>115</v>
      </c>
      <c r="D224" s="19">
        <v>101</v>
      </c>
      <c r="E224" s="19">
        <v>703</v>
      </c>
      <c r="F224" s="19">
        <v>0</v>
      </c>
      <c r="G224" s="19">
        <v>0</v>
      </c>
      <c r="H224" s="19">
        <v>0</v>
      </c>
      <c r="I224" s="20">
        <v>0</v>
      </c>
      <c r="J224" s="19">
        <f t="shared" si="21"/>
        <v>0</v>
      </c>
      <c r="K224" s="19">
        <f t="shared" si="22"/>
        <v>0</v>
      </c>
      <c r="L224" s="19">
        <v>-6.6E-4</v>
      </c>
      <c r="M224" s="19">
        <v>1.2700000000000001E-3</v>
      </c>
      <c r="N224" s="19">
        <v>1.2700000000000001E-3</v>
      </c>
      <c r="O224" s="19">
        <v>1.24E-3</v>
      </c>
      <c r="P224" s="19">
        <v>1.2099999999999999E-3</v>
      </c>
      <c r="Q224" s="19"/>
      <c r="R224" s="19">
        <f t="shared" si="23"/>
        <v>0</v>
      </c>
      <c r="S224" s="19">
        <f t="shared" si="24"/>
        <v>0</v>
      </c>
      <c r="T224" s="19">
        <f t="shared" si="25"/>
        <v>0</v>
      </c>
      <c r="U224" s="19">
        <f t="shared" si="26"/>
        <v>0</v>
      </c>
      <c r="V224" s="21">
        <f t="shared" si="27"/>
        <v>0</v>
      </c>
    </row>
    <row r="225" spans="1:22" ht="13.5" x14ac:dyDescent="0.35">
      <c r="A225" s="18">
        <v>107326</v>
      </c>
      <c r="B225" s="19" t="s">
        <v>251</v>
      </c>
      <c r="C225" s="19">
        <v>120</v>
      </c>
      <c r="D225" s="19">
        <v>101</v>
      </c>
      <c r="E225" s="19">
        <v>703</v>
      </c>
      <c r="F225" s="19">
        <v>0</v>
      </c>
      <c r="G225" s="19">
        <v>0</v>
      </c>
      <c r="H225" s="19">
        <v>0</v>
      </c>
      <c r="I225" s="20">
        <v>0</v>
      </c>
      <c r="J225" s="19">
        <f t="shared" si="21"/>
        <v>0</v>
      </c>
      <c r="K225" s="19">
        <f t="shared" si="22"/>
        <v>0</v>
      </c>
      <c r="L225" s="19">
        <v>-6.6E-4</v>
      </c>
      <c r="M225" s="19">
        <v>-2.64E-3</v>
      </c>
      <c r="N225" s="19">
        <v>-2.64E-3</v>
      </c>
      <c r="O225" s="19">
        <v>-2.6700000000000001E-3</v>
      </c>
      <c r="P225" s="19">
        <v>-2.7000000000000001E-3</v>
      </c>
      <c r="Q225" s="19"/>
      <c r="R225" s="19">
        <f t="shared" si="23"/>
        <v>0</v>
      </c>
      <c r="S225" s="19">
        <f t="shared" si="24"/>
        <v>0</v>
      </c>
      <c r="T225" s="19">
        <f t="shared" si="25"/>
        <v>0</v>
      </c>
      <c r="U225" s="19">
        <f t="shared" si="26"/>
        <v>0</v>
      </c>
      <c r="V225" s="21">
        <f t="shared" si="27"/>
        <v>0</v>
      </c>
    </row>
    <row r="226" spans="1:22" ht="13.5" x14ac:dyDescent="0.35">
      <c r="A226" s="18">
        <v>108168</v>
      </c>
      <c r="B226" s="19" t="s">
        <v>252</v>
      </c>
      <c r="C226" s="19">
        <v>0.69</v>
      </c>
      <c r="D226" s="19">
        <v>101</v>
      </c>
      <c r="E226" s="19">
        <v>704</v>
      </c>
      <c r="F226" s="19">
        <v>2.38</v>
      </c>
      <c r="G226" s="19">
        <v>0</v>
      </c>
      <c r="H226" s="19">
        <v>2.38</v>
      </c>
      <c r="I226" s="20">
        <v>2.38</v>
      </c>
      <c r="J226" s="19">
        <f t="shared" si="21"/>
        <v>0</v>
      </c>
      <c r="K226" s="19">
        <f t="shared" si="22"/>
        <v>0</v>
      </c>
      <c r="L226" s="19">
        <v>-6.6E-4</v>
      </c>
      <c r="M226" s="19">
        <v>1.15E-3</v>
      </c>
      <c r="N226" s="19">
        <v>1.15E-3</v>
      </c>
      <c r="O226" s="19">
        <v>1.1199999999999999E-3</v>
      </c>
      <c r="P226" s="19">
        <v>1.1000000000000001E-3</v>
      </c>
      <c r="Q226" s="19"/>
      <c r="R226" s="19">
        <f t="shared" si="23"/>
        <v>0</v>
      </c>
      <c r="S226" s="19">
        <f t="shared" si="24"/>
        <v>0</v>
      </c>
      <c r="T226" s="19">
        <f t="shared" si="25"/>
        <v>0</v>
      </c>
      <c r="U226" s="19">
        <f t="shared" si="26"/>
        <v>0</v>
      </c>
      <c r="V226" s="21">
        <f t="shared" si="27"/>
        <v>0</v>
      </c>
    </row>
    <row r="227" spans="1:22" ht="13.5" x14ac:dyDescent="0.35">
      <c r="A227" s="18">
        <v>108875</v>
      </c>
      <c r="B227" s="19" t="s">
        <v>253</v>
      </c>
      <c r="C227" s="19">
        <v>13.8</v>
      </c>
      <c r="D227" s="19">
        <v>101</v>
      </c>
      <c r="E227" s="19">
        <v>704</v>
      </c>
      <c r="F227" s="19">
        <v>0</v>
      </c>
      <c r="G227" s="19">
        <v>0</v>
      </c>
      <c r="H227" s="19">
        <v>0</v>
      </c>
      <c r="I227" s="20">
        <v>0</v>
      </c>
      <c r="J227" s="19">
        <f t="shared" si="21"/>
        <v>0</v>
      </c>
      <c r="K227" s="19">
        <f t="shared" si="22"/>
        <v>0</v>
      </c>
      <c r="L227" s="19">
        <v>-6.6E-4</v>
      </c>
      <c r="M227" s="19">
        <v>9.7999999999999997E-4</v>
      </c>
      <c r="N227" s="19">
        <v>9.7999999999999997E-4</v>
      </c>
      <c r="O227" s="19">
        <v>9.5E-4</v>
      </c>
      <c r="P227" s="19">
        <v>9.3000000000000005E-4</v>
      </c>
      <c r="Q227" s="19"/>
      <c r="R227" s="19">
        <f t="shared" si="23"/>
        <v>0</v>
      </c>
      <c r="S227" s="19">
        <f t="shared" si="24"/>
        <v>0</v>
      </c>
      <c r="T227" s="19">
        <f t="shared" si="25"/>
        <v>0</v>
      </c>
      <c r="U227" s="19">
        <f t="shared" si="26"/>
        <v>0</v>
      </c>
      <c r="V227" s="21">
        <f t="shared" si="27"/>
        <v>0</v>
      </c>
    </row>
    <row r="228" spans="1:22" ht="13.5" x14ac:dyDescent="0.35">
      <c r="A228" s="18">
        <v>108884</v>
      </c>
      <c r="B228" s="19" t="s">
        <v>254</v>
      </c>
      <c r="C228" s="19">
        <v>13.8</v>
      </c>
      <c r="D228" s="19">
        <v>101</v>
      </c>
      <c r="E228" s="19">
        <v>704</v>
      </c>
      <c r="F228" s="19">
        <v>0</v>
      </c>
      <c r="G228" s="19">
        <v>0</v>
      </c>
      <c r="H228" s="19">
        <v>0</v>
      </c>
      <c r="I228" s="20">
        <v>0</v>
      </c>
      <c r="J228" s="19">
        <f t="shared" si="21"/>
        <v>0</v>
      </c>
      <c r="K228" s="19">
        <f t="shared" si="22"/>
        <v>0</v>
      </c>
      <c r="L228" s="19">
        <v>-6.6E-4</v>
      </c>
      <c r="M228" s="19">
        <v>7.3999999999999999E-4</v>
      </c>
      <c r="N228" s="19">
        <v>7.3999999999999999E-4</v>
      </c>
      <c r="O228" s="19">
        <v>7.1000000000000002E-4</v>
      </c>
      <c r="P228" s="19">
        <v>6.8999999999999997E-4</v>
      </c>
      <c r="Q228" s="19"/>
      <c r="R228" s="19">
        <f t="shared" si="23"/>
        <v>0</v>
      </c>
      <c r="S228" s="19">
        <f t="shared" si="24"/>
        <v>0</v>
      </c>
      <c r="T228" s="19">
        <f t="shared" si="25"/>
        <v>0</v>
      </c>
      <c r="U228" s="19">
        <f t="shared" si="26"/>
        <v>0</v>
      </c>
      <c r="V228" s="21">
        <f t="shared" si="27"/>
        <v>0</v>
      </c>
    </row>
    <row r="229" spans="1:22" ht="13.5" x14ac:dyDescent="0.35">
      <c r="A229" s="18">
        <v>108891</v>
      </c>
      <c r="B229" s="19" t="s">
        <v>255</v>
      </c>
      <c r="C229" s="19">
        <v>13.8</v>
      </c>
      <c r="D229" s="19">
        <v>101</v>
      </c>
      <c r="E229" s="19">
        <v>704</v>
      </c>
      <c r="F229" s="19">
        <v>0</v>
      </c>
      <c r="G229" s="19">
        <v>0</v>
      </c>
      <c r="H229" s="19">
        <v>0</v>
      </c>
      <c r="I229" s="20">
        <v>0</v>
      </c>
      <c r="J229" s="19">
        <f t="shared" si="21"/>
        <v>0</v>
      </c>
      <c r="K229" s="19">
        <f t="shared" si="22"/>
        <v>0</v>
      </c>
      <c r="L229" s="19">
        <v>-6.6E-4</v>
      </c>
      <c r="M229" s="19">
        <v>9.7999999999999997E-4</v>
      </c>
      <c r="N229" s="19">
        <v>9.7999999999999997E-4</v>
      </c>
      <c r="O229" s="19">
        <v>9.5E-4</v>
      </c>
      <c r="P229" s="19">
        <v>9.2000000000000003E-4</v>
      </c>
      <c r="Q229" s="19"/>
      <c r="R229" s="19">
        <f t="shared" si="23"/>
        <v>0</v>
      </c>
      <c r="S229" s="19">
        <f t="shared" si="24"/>
        <v>0</v>
      </c>
      <c r="T229" s="19">
        <f t="shared" si="25"/>
        <v>0</v>
      </c>
      <c r="U229" s="19">
        <f t="shared" si="26"/>
        <v>0</v>
      </c>
      <c r="V229" s="21">
        <f t="shared" si="27"/>
        <v>0</v>
      </c>
    </row>
    <row r="230" spans="1:22" ht="13.5" x14ac:dyDescent="0.35">
      <c r="A230" s="18">
        <v>108893</v>
      </c>
      <c r="B230" s="19" t="s">
        <v>256</v>
      </c>
      <c r="C230" s="19">
        <v>13.8</v>
      </c>
      <c r="D230" s="19">
        <v>101</v>
      </c>
      <c r="E230" s="19">
        <v>704</v>
      </c>
      <c r="F230" s="19">
        <v>0</v>
      </c>
      <c r="G230" s="19">
        <v>0</v>
      </c>
      <c r="H230" s="19">
        <v>0</v>
      </c>
      <c r="I230" s="20">
        <v>0</v>
      </c>
      <c r="J230" s="19">
        <f t="shared" si="21"/>
        <v>0</v>
      </c>
      <c r="K230" s="19">
        <f t="shared" si="22"/>
        <v>0</v>
      </c>
      <c r="L230" s="19">
        <v>-6.6E-4</v>
      </c>
      <c r="M230" s="19">
        <v>7.9000000000000001E-4</v>
      </c>
      <c r="N230" s="19">
        <v>7.9000000000000001E-4</v>
      </c>
      <c r="O230" s="19">
        <v>7.6000000000000004E-4</v>
      </c>
      <c r="P230" s="19">
        <v>7.2999999999999996E-4</v>
      </c>
      <c r="Q230" s="19"/>
      <c r="R230" s="19">
        <f t="shared" si="23"/>
        <v>0</v>
      </c>
      <c r="S230" s="19">
        <f t="shared" si="24"/>
        <v>0</v>
      </c>
      <c r="T230" s="19">
        <f t="shared" si="25"/>
        <v>0</v>
      </c>
      <c r="U230" s="19">
        <f t="shared" si="26"/>
        <v>0</v>
      </c>
      <c r="V230" s="21">
        <f t="shared" si="27"/>
        <v>0</v>
      </c>
    </row>
    <row r="231" spans="1:22" ht="13.5" x14ac:dyDescent="0.35">
      <c r="A231" s="18">
        <v>108894</v>
      </c>
      <c r="B231" s="19" t="s">
        <v>257</v>
      </c>
      <c r="C231" s="19">
        <v>13.8</v>
      </c>
      <c r="D231" s="19">
        <v>101</v>
      </c>
      <c r="E231" s="19">
        <v>704</v>
      </c>
      <c r="F231" s="19">
        <v>0</v>
      </c>
      <c r="G231" s="19">
        <v>0</v>
      </c>
      <c r="H231" s="19">
        <v>0</v>
      </c>
      <c r="I231" s="20">
        <v>0</v>
      </c>
      <c r="J231" s="19">
        <f t="shared" si="21"/>
        <v>0</v>
      </c>
      <c r="K231" s="19">
        <f t="shared" si="22"/>
        <v>0</v>
      </c>
      <c r="L231" s="19">
        <v>-6.6E-4</v>
      </c>
      <c r="M231" s="19">
        <v>1.2700000000000001E-3</v>
      </c>
      <c r="N231" s="19">
        <v>1.2700000000000001E-3</v>
      </c>
      <c r="O231" s="19">
        <v>1.24E-3</v>
      </c>
      <c r="P231" s="19">
        <v>1.2099999999999999E-3</v>
      </c>
      <c r="Q231" s="19"/>
      <c r="R231" s="19">
        <f t="shared" si="23"/>
        <v>0</v>
      </c>
      <c r="S231" s="19">
        <f t="shared" si="24"/>
        <v>0</v>
      </c>
      <c r="T231" s="19">
        <f t="shared" si="25"/>
        <v>0</v>
      </c>
      <c r="U231" s="19">
        <f t="shared" si="26"/>
        <v>0</v>
      </c>
      <c r="V231" s="21">
        <f t="shared" si="27"/>
        <v>0</v>
      </c>
    </row>
    <row r="232" spans="1:22" ht="13.5" x14ac:dyDescent="0.35">
      <c r="A232" s="18">
        <v>108895</v>
      </c>
      <c r="B232" s="19" t="s">
        <v>258</v>
      </c>
      <c r="C232" s="19">
        <v>13.2</v>
      </c>
      <c r="D232" s="19">
        <v>101</v>
      </c>
      <c r="E232" s="19">
        <v>704</v>
      </c>
      <c r="F232" s="19">
        <v>0</v>
      </c>
      <c r="G232" s="19">
        <v>0</v>
      </c>
      <c r="H232" s="19">
        <v>0</v>
      </c>
      <c r="I232" s="20">
        <v>0</v>
      </c>
      <c r="J232" s="19">
        <f t="shared" si="21"/>
        <v>0</v>
      </c>
      <c r="K232" s="19">
        <f t="shared" si="22"/>
        <v>0</v>
      </c>
      <c r="L232" s="19">
        <v>-6.6E-4</v>
      </c>
      <c r="M232" s="19">
        <v>1.65E-3</v>
      </c>
      <c r="N232" s="19">
        <v>1.65E-3</v>
      </c>
      <c r="O232" s="19">
        <v>1.6199999999999999E-3</v>
      </c>
      <c r="P232" s="19">
        <v>1.6000000000000001E-3</v>
      </c>
      <c r="Q232" s="19"/>
      <c r="R232" s="19">
        <f t="shared" si="23"/>
        <v>0</v>
      </c>
      <c r="S232" s="19">
        <f t="shared" si="24"/>
        <v>0</v>
      </c>
      <c r="T232" s="19">
        <f t="shared" si="25"/>
        <v>0</v>
      </c>
      <c r="U232" s="19">
        <f t="shared" si="26"/>
        <v>0</v>
      </c>
      <c r="V232" s="21">
        <f t="shared" si="27"/>
        <v>0</v>
      </c>
    </row>
    <row r="233" spans="1:22" ht="13.5" x14ac:dyDescent="0.35">
      <c r="A233" s="18">
        <v>108898</v>
      </c>
      <c r="B233" s="19" t="s">
        <v>259</v>
      </c>
      <c r="C233" s="19">
        <v>0.69</v>
      </c>
      <c r="D233" s="19">
        <v>101</v>
      </c>
      <c r="E233" s="19">
        <v>704</v>
      </c>
      <c r="F233" s="19">
        <v>0</v>
      </c>
      <c r="G233" s="19">
        <v>0</v>
      </c>
      <c r="H233" s="19">
        <v>0</v>
      </c>
      <c r="I233" s="20">
        <v>0</v>
      </c>
      <c r="J233" s="19">
        <f t="shared" si="21"/>
        <v>0</v>
      </c>
      <c r="K233" s="19">
        <f t="shared" si="22"/>
        <v>0</v>
      </c>
      <c r="L233" s="19">
        <v>-6.6E-4</v>
      </c>
      <c r="M233" s="19">
        <v>1.9599999999999999E-3</v>
      </c>
      <c r="N233" s="19">
        <v>1.9599999999999999E-3</v>
      </c>
      <c r="O233" s="19">
        <v>1.9300000000000001E-3</v>
      </c>
      <c r="P233" s="19">
        <v>1.9E-3</v>
      </c>
      <c r="Q233" s="19"/>
      <c r="R233" s="19">
        <f t="shared" si="23"/>
        <v>0</v>
      </c>
      <c r="S233" s="19">
        <f t="shared" si="24"/>
        <v>0</v>
      </c>
      <c r="T233" s="19">
        <f t="shared" si="25"/>
        <v>0</v>
      </c>
      <c r="U233" s="19">
        <f t="shared" si="26"/>
        <v>0</v>
      </c>
      <c r="V233" s="21">
        <f t="shared" si="27"/>
        <v>0</v>
      </c>
    </row>
    <row r="234" spans="1:22" ht="13.5" x14ac:dyDescent="0.35">
      <c r="A234" s="18">
        <v>108899</v>
      </c>
      <c r="B234" s="19" t="s">
        <v>260</v>
      </c>
      <c r="C234" s="19">
        <v>0.69</v>
      </c>
      <c r="D234" s="19">
        <v>101</v>
      </c>
      <c r="E234" s="19">
        <v>704</v>
      </c>
      <c r="F234" s="19">
        <v>0</v>
      </c>
      <c r="G234" s="19">
        <v>0</v>
      </c>
      <c r="H234" s="19">
        <v>0</v>
      </c>
      <c r="I234" s="20">
        <v>0</v>
      </c>
      <c r="J234" s="19">
        <f t="shared" si="21"/>
        <v>0</v>
      </c>
      <c r="K234" s="19">
        <f t="shared" si="22"/>
        <v>0</v>
      </c>
      <c r="L234" s="19">
        <v>-6.6E-4</v>
      </c>
      <c r="M234" s="19">
        <v>1.9599999999999999E-3</v>
      </c>
      <c r="N234" s="19">
        <v>1.9599999999999999E-3</v>
      </c>
      <c r="O234" s="19">
        <v>1.9300000000000001E-3</v>
      </c>
      <c r="P234" s="19">
        <v>1.9E-3</v>
      </c>
      <c r="Q234" s="19"/>
      <c r="R234" s="19">
        <f t="shared" si="23"/>
        <v>0</v>
      </c>
      <c r="S234" s="19">
        <f t="shared" si="24"/>
        <v>0</v>
      </c>
      <c r="T234" s="19">
        <f t="shared" si="25"/>
        <v>0</v>
      </c>
      <c r="U234" s="19">
        <f t="shared" si="26"/>
        <v>0</v>
      </c>
      <c r="V234" s="21">
        <f t="shared" si="27"/>
        <v>0</v>
      </c>
    </row>
    <row r="235" spans="1:22" ht="13.5" x14ac:dyDescent="0.35">
      <c r="A235" s="18">
        <v>108905</v>
      </c>
      <c r="B235" s="19" t="s">
        <v>261</v>
      </c>
      <c r="C235" s="19">
        <v>0.65</v>
      </c>
      <c r="D235" s="19">
        <v>101</v>
      </c>
      <c r="E235" s="19">
        <v>704</v>
      </c>
      <c r="F235" s="19">
        <v>12</v>
      </c>
      <c r="G235" s="19">
        <v>0</v>
      </c>
      <c r="H235" s="19">
        <v>12</v>
      </c>
      <c r="I235" s="20">
        <v>12</v>
      </c>
      <c r="J235" s="19">
        <f t="shared" si="21"/>
        <v>0</v>
      </c>
      <c r="K235" s="19">
        <f t="shared" si="22"/>
        <v>0</v>
      </c>
      <c r="L235" s="19">
        <v>-6.6E-4</v>
      </c>
      <c r="M235" s="19">
        <v>1.6299999999999999E-3</v>
      </c>
      <c r="N235" s="19">
        <v>1.6299999999999999E-3</v>
      </c>
      <c r="O235" s="19">
        <v>1.6000000000000001E-3</v>
      </c>
      <c r="P235" s="19">
        <v>1.57E-3</v>
      </c>
      <c r="Q235" s="19"/>
      <c r="R235" s="19">
        <f t="shared" si="23"/>
        <v>0</v>
      </c>
      <c r="S235" s="19">
        <f t="shared" si="24"/>
        <v>0</v>
      </c>
      <c r="T235" s="19">
        <f t="shared" si="25"/>
        <v>0</v>
      </c>
      <c r="U235" s="19">
        <f t="shared" si="26"/>
        <v>0</v>
      </c>
      <c r="V235" s="21">
        <f t="shared" si="27"/>
        <v>0</v>
      </c>
    </row>
    <row r="236" spans="1:22" ht="13.5" x14ac:dyDescent="0.35">
      <c r="A236" s="18">
        <v>108934</v>
      </c>
      <c r="B236" s="19" t="s">
        <v>262</v>
      </c>
      <c r="C236" s="19">
        <v>13.8</v>
      </c>
      <c r="D236" s="19">
        <v>101</v>
      </c>
      <c r="E236" s="19">
        <v>704</v>
      </c>
      <c r="F236" s="19">
        <v>0</v>
      </c>
      <c r="G236" s="19">
        <v>0</v>
      </c>
      <c r="H236" s="19">
        <v>0</v>
      </c>
      <c r="I236" s="20">
        <v>0</v>
      </c>
      <c r="J236" s="19">
        <f t="shared" si="21"/>
        <v>0</v>
      </c>
      <c r="K236" s="19">
        <f t="shared" si="22"/>
        <v>0</v>
      </c>
      <c r="L236" s="19">
        <v>-6.6E-4</v>
      </c>
      <c r="M236" s="19">
        <v>-8.3000000000000001E-4</v>
      </c>
      <c r="N236" s="19">
        <v>-8.3000000000000001E-4</v>
      </c>
      <c r="O236" s="19">
        <v>-8.5999999999999998E-4</v>
      </c>
      <c r="P236" s="19">
        <v>-8.8999999999999995E-4</v>
      </c>
      <c r="Q236" s="19"/>
      <c r="R236" s="19">
        <f t="shared" si="23"/>
        <v>0</v>
      </c>
      <c r="S236" s="19">
        <f t="shared" si="24"/>
        <v>0</v>
      </c>
      <c r="T236" s="19">
        <f t="shared" si="25"/>
        <v>0</v>
      </c>
      <c r="U236" s="19">
        <f t="shared" si="26"/>
        <v>0</v>
      </c>
      <c r="V236" s="21">
        <f t="shared" si="27"/>
        <v>0</v>
      </c>
    </row>
    <row r="237" spans="1:22" ht="13.5" x14ac:dyDescent="0.35">
      <c r="A237" s="18">
        <v>108938</v>
      </c>
      <c r="B237" s="19" t="s">
        <v>263</v>
      </c>
      <c r="C237" s="19">
        <v>13.8</v>
      </c>
      <c r="D237" s="19">
        <v>101</v>
      </c>
      <c r="E237" s="19">
        <v>704</v>
      </c>
      <c r="F237" s="19">
        <v>0</v>
      </c>
      <c r="G237" s="19">
        <v>0</v>
      </c>
      <c r="H237" s="19">
        <v>0</v>
      </c>
      <c r="I237" s="20">
        <v>0</v>
      </c>
      <c r="J237" s="19">
        <f t="shared" si="21"/>
        <v>0</v>
      </c>
      <c r="K237" s="19">
        <f t="shared" si="22"/>
        <v>0</v>
      </c>
      <c r="L237" s="19">
        <v>-6.6E-4</v>
      </c>
      <c r="M237" s="19">
        <v>-8.3000000000000001E-4</v>
      </c>
      <c r="N237" s="19">
        <v>-8.3000000000000001E-4</v>
      </c>
      <c r="O237" s="19">
        <v>-8.5999999999999998E-4</v>
      </c>
      <c r="P237" s="19">
        <v>-8.8999999999999995E-4</v>
      </c>
      <c r="Q237" s="19"/>
      <c r="R237" s="19">
        <f t="shared" si="23"/>
        <v>0</v>
      </c>
      <c r="S237" s="19">
        <f t="shared" si="24"/>
        <v>0</v>
      </c>
      <c r="T237" s="19">
        <f t="shared" si="25"/>
        <v>0</v>
      </c>
      <c r="U237" s="19">
        <f t="shared" si="26"/>
        <v>0</v>
      </c>
      <c r="V237" s="21">
        <f t="shared" si="27"/>
        <v>0</v>
      </c>
    </row>
    <row r="238" spans="1:22" ht="13.5" x14ac:dyDescent="0.35">
      <c r="A238" s="18">
        <v>108949</v>
      </c>
      <c r="B238" s="19" t="s">
        <v>264</v>
      </c>
      <c r="C238" s="19">
        <v>4.16</v>
      </c>
      <c r="D238" s="19">
        <v>101</v>
      </c>
      <c r="E238" s="19">
        <v>704</v>
      </c>
      <c r="F238" s="19">
        <v>0</v>
      </c>
      <c r="G238" s="19">
        <v>0</v>
      </c>
      <c r="H238" s="19">
        <v>0</v>
      </c>
      <c r="I238" s="20">
        <v>0</v>
      </c>
      <c r="J238" s="19">
        <f t="shared" si="21"/>
        <v>0</v>
      </c>
      <c r="K238" s="19">
        <f t="shared" si="22"/>
        <v>0</v>
      </c>
      <c r="L238" s="19">
        <v>-6.6E-4</v>
      </c>
      <c r="M238" s="19">
        <v>2.7E-4</v>
      </c>
      <c r="N238" s="19">
        <v>2.7E-4</v>
      </c>
      <c r="O238" s="19">
        <v>2.4000000000000001E-4</v>
      </c>
      <c r="P238" s="19">
        <v>2.1000000000000001E-4</v>
      </c>
      <c r="Q238" s="19"/>
      <c r="R238" s="19">
        <f t="shared" si="23"/>
        <v>0</v>
      </c>
      <c r="S238" s="19">
        <f t="shared" si="24"/>
        <v>0</v>
      </c>
      <c r="T238" s="19">
        <f t="shared" si="25"/>
        <v>0</v>
      </c>
      <c r="U238" s="19">
        <f t="shared" si="26"/>
        <v>0</v>
      </c>
      <c r="V238" s="21">
        <f t="shared" si="27"/>
        <v>0</v>
      </c>
    </row>
    <row r="239" spans="1:22" ht="13.5" x14ac:dyDescent="0.35">
      <c r="A239" s="18">
        <v>108951</v>
      </c>
      <c r="B239" s="19" t="s">
        <v>265</v>
      </c>
      <c r="C239" s="19">
        <v>4.16</v>
      </c>
      <c r="D239" s="19">
        <v>101</v>
      </c>
      <c r="E239" s="19">
        <v>704</v>
      </c>
      <c r="F239" s="19">
        <v>0</v>
      </c>
      <c r="G239" s="19">
        <v>0</v>
      </c>
      <c r="H239" s="19">
        <v>0</v>
      </c>
      <c r="I239" s="20">
        <v>0</v>
      </c>
      <c r="J239" s="19">
        <f t="shared" si="21"/>
        <v>0</v>
      </c>
      <c r="K239" s="19">
        <f t="shared" si="22"/>
        <v>0</v>
      </c>
      <c r="L239" s="19">
        <v>-6.6E-4</v>
      </c>
      <c r="M239" s="19">
        <v>2.7E-4</v>
      </c>
      <c r="N239" s="19">
        <v>2.7E-4</v>
      </c>
      <c r="O239" s="19">
        <v>2.4000000000000001E-4</v>
      </c>
      <c r="P239" s="19">
        <v>2.1000000000000001E-4</v>
      </c>
      <c r="Q239" s="19"/>
      <c r="R239" s="19">
        <f t="shared" si="23"/>
        <v>0</v>
      </c>
      <c r="S239" s="19">
        <f t="shared" si="24"/>
        <v>0</v>
      </c>
      <c r="T239" s="19">
        <f t="shared" si="25"/>
        <v>0</v>
      </c>
      <c r="U239" s="19">
        <f t="shared" si="26"/>
        <v>0</v>
      </c>
      <c r="V239" s="21">
        <f t="shared" si="27"/>
        <v>0</v>
      </c>
    </row>
    <row r="240" spans="1:22" ht="13.5" x14ac:dyDescent="0.35">
      <c r="A240" s="18">
        <v>108953</v>
      </c>
      <c r="B240" s="19" t="s">
        <v>266</v>
      </c>
      <c r="C240" s="19">
        <v>4.16</v>
      </c>
      <c r="D240" s="19">
        <v>101</v>
      </c>
      <c r="E240" s="19">
        <v>704</v>
      </c>
      <c r="F240" s="19">
        <v>0</v>
      </c>
      <c r="G240" s="19">
        <v>0</v>
      </c>
      <c r="H240" s="19">
        <v>0</v>
      </c>
      <c r="I240" s="20">
        <v>0</v>
      </c>
      <c r="J240" s="19">
        <f t="shared" si="21"/>
        <v>0</v>
      </c>
      <c r="K240" s="19">
        <f t="shared" si="22"/>
        <v>0</v>
      </c>
      <c r="L240" s="19">
        <v>-6.6E-4</v>
      </c>
      <c r="M240" s="19">
        <v>2.7999999999999998E-4</v>
      </c>
      <c r="N240" s="19">
        <v>2.7999999999999998E-4</v>
      </c>
      <c r="O240" s="19">
        <v>2.5000000000000001E-4</v>
      </c>
      <c r="P240" s="19">
        <v>2.2000000000000001E-4</v>
      </c>
      <c r="Q240" s="19"/>
      <c r="R240" s="19">
        <f t="shared" si="23"/>
        <v>0</v>
      </c>
      <c r="S240" s="19">
        <f t="shared" si="24"/>
        <v>0</v>
      </c>
      <c r="T240" s="19">
        <f t="shared" si="25"/>
        <v>0</v>
      </c>
      <c r="U240" s="19">
        <f t="shared" si="26"/>
        <v>0</v>
      </c>
      <c r="V240" s="21">
        <f t="shared" si="27"/>
        <v>0</v>
      </c>
    </row>
    <row r="241" spans="1:22" ht="13.5" x14ac:dyDescent="0.35">
      <c r="A241" s="18">
        <v>108955</v>
      </c>
      <c r="B241" s="19" t="s">
        <v>267</v>
      </c>
      <c r="C241" s="19">
        <v>2.4</v>
      </c>
      <c r="D241" s="19">
        <v>101</v>
      </c>
      <c r="E241" s="19">
        <v>704</v>
      </c>
      <c r="F241" s="19">
        <v>0</v>
      </c>
      <c r="G241" s="19">
        <v>0</v>
      </c>
      <c r="H241" s="19">
        <v>0</v>
      </c>
      <c r="I241" s="20">
        <v>0</v>
      </c>
      <c r="J241" s="19">
        <f t="shared" si="21"/>
        <v>0</v>
      </c>
      <c r="K241" s="19">
        <f t="shared" si="22"/>
        <v>0</v>
      </c>
      <c r="L241" s="19">
        <v>-6.6E-4</v>
      </c>
      <c r="M241" s="19">
        <v>-2.64E-3</v>
      </c>
      <c r="N241" s="19">
        <v>-2.64E-3</v>
      </c>
      <c r="O241" s="19">
        <v>-2.6700000000000001E-3</v>
      </c>
      <c r="P241" s="19">
        <v>-2.7000000000000001E-3</v>
      </c>
      <c r="Q241" s="19"/>
      <c r="R241" s="19">
        <f t="shared" si="23"/>
        <v>0</v>
      </c>
      <c r="S241" s="19">
        <f t="shared" si="24"/>
        <v>0</v>
      </c>
      <c r="T241" s="19">
        <f t="shared" si="25"/>
        <v>0</v>
      </c>
      <c r="U241" s="19">
        <f t="shared" si="26"/>
        <v>0</v>
      </c>
      <c r="V241" s="21">
        <f t="shared" si="27"/>
        <v>0</v>
      </c>
    </row>
    <row r="242" spans="1:22" ht="13.5" x14ac:dyDescent="0.35">
      <c r="A242" s="18">
        <v>108986</v>
      </c>
      <c r="B242" s="19" t="s">
        <v>268</v>
      </c>
      <c r="C242" s="19">
        <v>4.16</v>
      </c>
      <c r="D242" s="19">
        <v>101</v>
      </c>
      <c r="E242" s="19">
        <v>704</v>
      </c>
      <c r="F242" s="19">
        <v>0</v>
      </c>
      <c r="G242" s="19">
        <v>0</v>
      </c>
      <c r="H242" s="19">
        <v>0</v>
      </c>
      <c r="I242" s="20">
        <v>0</v>
      </c>
      <c r="J242" s="19">
        <f t="shared" si="21"/>
        <v>0</v>
      </c>
      <c r="K242" s="19">
        <f t="shared" si="22"/>
        <v>0</v>
      </c>
      <c r="L242" s="19">
        <v>-6.6E-4</v>
      </c>
      <c r="M242" s="19">
        <v>9.7999999999999997E-4</v>
      </c>
      <c r="N242" s="19">
        <v>9.7999999999999997E-4</v>
      </c>
      <c r="O242" s="19">
        <v>9.5E-4</v>
      </c>
      <c r="P242" s="19">
        <v>9.2000000000000003E-4</v>
      </c>
      <c r="Q242" s="19"/>
      <c r="R242" s="19">
        <f t="shared" si="23"/>
        <v>0</v>
      </c>
      <c r="S242" s="19">
        <f t="shared" si="24"/>
        <v>0</v>
      </c>
      <c r="T242" s="19">
        <f t="shared" si="25"/>
        <v>0</v>
      </c>
      <c r="U242" s="19">
        <f t="shared" si="26"/>
        <v>0</v>
      </c>
      <c r="V242" s="21">
        <f t="shared" si="27"/>
        <v>0</v>
      </c>
    </row>
    <row r="243" spans="1:22" ht="13.5" x14ac:dyDescent="0.35">
      <c r="A243" s="18">
        <v>108988</v>
      </c>
      <c r="B243" s="19" t="s">
        <v>269</v>
      </c>
      <c r="C243" s="19">
        <v>2.4</v>
      </c>
      <c r="D243" s="19">
        <v>101</v>
      </c>
      <c r="E243" s="19">
        <v>704</v>
      </c>
      <c r="F243" s="19">
        <v>0</v>
      </c>
      <c r="G243" s="19">
        <v>0</v>
      </c>
      <c r="H243" s="19">
        <v>0</v>
      </c>
      <c r="I243" s="20">
        <v>0</v>
      </c>
      <c r="J243" s="19">
        <f t="shared" si="21"/>
        <v>0</v>
      </c>
      <c r="K243" s="19">
        <f t="shared" si="22"/>
        <v>0</v>
      </c>
      <c r="L243" s="19">
        <v>-6.6E-4</v>
      </c>
      <c r="M243" s="19">
        <v>9.7999999999999997E-4</v>
      </c>
      <c r="N243" s="19">
        <v>9.7999999999999997E-4</v>
      </c>
      <c r="O243" s="19">
        <v>9.5E-4</v>
      </c>
      <c r="P243" s="19">
        <v>9.2000000000000003E-4</v>
      </c>
      <c r="Q243" s="19"/>
      <c r="R243" s="19">
        <f t="shared" si="23"/>
        <v>0</v>
      </c>
      <c r="S243" s="19">
        <f t="shared" si="24"/>
        <v>0</v>
      </c>
      <c r="T243" s="19">
        <f t="shared" si="25"/>
        <v>0</v>
      </c>
      <c r="U243" s="19">
        <f t="shared" si="26"/>
        <v>0</v>
      </c>
      <c r="V243" s="21">
        <f t="shared" si="27"/>
        <v>0</v>
      </c>
    </row>
    <row r="244" spans="1:22" ht="13.5" x14ac:dyDescent="0.35">
      <c r="A244" s="18">
        <v>108990</v>
      </c>
      <c r="B244" s="19" t="s">
        <v>270</v>
      </c>
      <c r="C244" s="19">
        <v>2.4</v>
      </c>
      <c r="D244" s="19">
        <v>101</v>
      </c>
      <c r="E244" s="19">
        <v>704</v>
      </c>
      <c r="F244" s="19">
        <v>0</v>
      </c>
      <c r="G244" s="19">
        <v>0</v>
      </c>
      <c r="H244" s="19">
        <v>0</v>
      </c>
      <c r="I244" s="20">
        <v>0</v>
      </c>
      <c r="J244" s="19">
        <f t="shared" si="21"/>
        <v>0</v>
      </c>
      <c r="K244" s="19">
        <f t="shared" si="22"/>
        <v>0</v>
      </c>
      <c r="L244" s="19">
        <v>-6.6E-4</v>
      </c>
      <c r="M244" s="19">
        <v>9.7999999999999997E-4</v>
      </c>
      <c r="N244" s="19">
        <v>9.7999999999999997E-4</v>
      </c>
      <c r="O244" s="19">
        <v>9.5E-4</v>
      </c>
      <c r="P244" s="19">
        <v>9.2000000000000003E-4</v>
      </c>
      <c r="Q244" s="19"/>
      <c r="R244" s="19">
        <f t="shared" si="23"/>
        <v>0</v>
      </c>
      <c r="S244" s="19">
        <f t="shared" si="24"/>
        <v>0</v>
      </c>
      <c r="T244" s="19">
        <f t="shared" si="25"/>
        <v>0</v>
      </c>
      <c r="U244" s="19">
        <f t="shared" si="26"/>
        <v>0</v>
      </c>
      <c r="V244" s="21">
        <f t="shared" si="27"/>
        <v>0</v>
      </c>
    </row>
    <row r="245" spans="1:22" ht="13.5" x14ac:dyDescent="0.35">
      <c r="A245" s="18">
        <v>108992</v>
      </c>
      <c r="B245" s="19" t="s">
        <v>271</v>
      </c>
      <c r="C245" s="19">
        <v>2.4</v>
      </c>
      <c r="D245" s="19">
        <v>101</v>
      </c>
      <c r="E245" s="19">
        <v>704</v>
      </c>
      <c r="F245" s="19">
        <v>0</v>
      </c>
      <c r="G245" s="19">
        <v>0</v>
      </c>
      <c r="H245" s="19">
        <v>0</v>
      </c>
      <c r="I245" s="20">
        <v>0</v>
      </c>
      <c r="J245" s="19">
        <f t="shared" si="21"/>
        <v>0</v>
      </c>
      <c r="K245" s="19">
        <f t="shared" si="22"/>
        <v>0</v>
      </c>
      <c r="L245" s="19">
        <v>-6.6E-4</v>
      </c>
      <c r="M245" s="19">
        <v>4.8999999999999998E-4</v>
      </c>
      <c r="N245" s="19">
        <v>4.8999999999999998E-4</v>
      </c>
      <c r="O245" s="19">
        <v>4.6000000000000001E-4</v>
      </c>
      <c r="P245" s="19">
        <v>4.2999999999999999E-4</v>
      </c>
      <c r="Q245" s="19"/>
      <c r="R245" s="19">
        <f t="shared" si="23"/>
        <v>0</v>
      </c>
      <c r="S245" s="19">
        <f t="shared" si="24"/>
        <v>0</v>
      </c>
      <c r="T245" s="19">
        <f t="shared" si="25"/>
        <v>0</v>
      </c>
      <c r="U245" s="19">
        <f t="shared" si="26"/>
        <v>0</v>
      </c>
      <c r="V245" s="21">
        <f t="shared" si="27"/>
        <v>0</v>
      </c>
    </row>
    <row r="246" spans="1:22" ht="13.5" x14ac:dyDescent="0.35">
      <c r="A246" s="18">
        <v>109049</v>
      </c>
      <c r="B246" s="19" t="s">
        <v>272</v>
      </c>
      <c r="C246" s="19">
        <v>2.2999999999999998</v>
      </c>
      <c r="D246" s="19">
        <v>101</v>
      </c>
      <c r="E246" s="19">
        <v>704</v>
      </c>
      <c r="F246" s="19">
        <v>0</v>
      </c>
      <c r="G246" s="19">
        <v>0</v>
      </c>
      <c r="H246" s="19">
        <v>0</v>
      </c>
      <c r="I246" s="20">
        <v>0</v>
      </c>
      <c r="J246" s="19">
        <f t="shared" si="21"/>
        <v>0</v>
      </c>
      <c r="K246" s="19">
        <f t="shared" si="22"/>
        <v>0</v>
      </c>
      <c r="L246" s="19">
        <v>-6.6E-4</v>
      </c>
      <c r="M246" s="19">
        <v>-2.64E-3</v>
      </c>
      <c r="N246" s="19">
        <v>-2.64E-3</v>
      </c>
      <c r="O246" s="19">
        <v>-2.6700000000000001E-3</v>
      </c>
      <c r="P246" s="19">
        <v>-2.7000000000000001E-3</v>
      </c>
      <c r="Q246" s="19"/>
      <c r="R246" s="19">
        <f t="shared" si="23"/>
        <v>0</v>
      </c>
      <c r="S246" s="19">
        <f t="shared" si="24"/>
        <v>0</v>
      </c>
      <c r="T246" s="19">
        <f t="shared" si="25"/>
        <v>0</v>
      </c>
      <c r="U246" s="19">
        <f t="shared" si="26"/>
        <v>0</v>
      </c>
      <c r="V246" s="21">
        <f t="shared" si="27"/>
        <v>0</v>
      </c>
    </row>
    <row r="247" spans="1:22" ht="13.5" x14ac:dyDescent="0.35">
      <c r="A247" s="18">
        <v>109051</v>
      </c>
      <c r="B247" s="19" t="s">
        <v>273</v>
      </c>
      <c r="C247" s="19">
        <v>13.2</v>
      </c>
      <c r="D247" s="19">
        <v>101</v>
      </c>
      <c r="E247" s="19">
        <v>704</v>
      </c>
      <c r="F247" s="19">
        <v>0</v>
      </c>
      <c r="G247" s="19">
        <v>0</v>
      </c>
      <c r="H247" s="19">
        <v>0</v>
      </c>
      <c r="I247" s="20">
        <v>0</v>
      </c>
      <c r="J247" s="19">
        <f t="shared" si="21"/>
        <v>0</v>
      </c>
      <c r="K247" s="19">
        <f t="shared" si="22"/>
        <v>0</v>
      </c>
      <c r="L247" s="19">
        <v>-6.6E-4</v>
      </c>
      <c r="M247" s="19">
        <v>2.9999999999999997E-4</v>
      </c>
      <c r="N247" s="19">
        <v>2.9999999999999997E-4</v>
      </c>
      <c r="O247" s="19">
        <v>2.7E-4</v>
      </c>
      <c r="P247" s="19">
        <v>2.4000000000000001E-4</v>
      </c>
      <c r="Q247" s="19"/>
      <c r="R247" s="19">
        <f t="shared" si="23"/>
        <v>0</v>
      </c>
      <c r="S247" s="19">
        <f t="shared" si="24"/>
        <v>0</v>
      </c>
      <c r="T247" s="19">
        <f t="shared" si="25"/>
        <v>0</v>
      </c>
      <c r="U247" s="19">
        <f t="shared" si="26"/>
        <v>0</v>
      </c>
      <c r="V247" s="21">
        <f t="shared" si="27"/>
        <v>0</v>
      </c>
    </row>
    <row r="248" spans="1:22" ht="13.5" x14ac:dyDescent="0.35">
      <c r="A248" s="18">
        <v>109053</v>
      </c>
      <c r="B248" s="19" t="s">
        <v>274</v>
      </c>
      <c r="C248" s="19">
        <v>13.2</v>
      </c>
      <c r="D248" s="19">
        <v>101</v>
      </c>
      <c r="E248" s="19">
        <v>704</v>
      </c>
      <c r="F248" s="19">
        <v>0</v>
      </c>
      <c r="G248" s="19">
        <v>0</v>
      </c>
      <c r="H248" s="19">
        <v>0</v>
      </c>
      <c r="I248" s="20">
        <v>0</v>
      </c>
      <c r="J248" s="19">
        <f t="shared" si="21"/>
        <v>0</v>
      </c>
      <c r="K248" s="19">
        <f t="shared" si="22"/>
        <v>0</v>
      </c>
      <c r="L248" s="19">
        <v>-6.6E-4</v>
      </c>
      <c r="M248" s="19">
        <v>2.9999999999999997E-4</v>
      </c>
      <c r="N248" s="19">
        <v>2.9999999999999997E-4</v>
      </c>
      <c r="O248" s="19">
        <v>2.7E-4</v>
      </c>
      <c r="P248" s="19">
        <v>2.4000000000000001E-4</v>
      </c>
      <c r="Q248" s="19"/>
      <c r="R248" s="19">
        <f t="shared" si="23"/>
        <v>0</v>
      </c>
      <c r="S248" s="19">
        <f t="shared" si="24"/>
        <v>0</v>
      </c>
      <c r="T248" s="19">
        <f t="shared" si="25"/>
        <v>0</v>
      </c>
      <c r="U248" s="19">
        <f t="shared" si="26"/>
        <v>0</v>
      </c>
      <c r="V248" s="21">
        <f t="shared" si="27"/>
        <v>0</v>
      </c>
    </row>
    <row r="249" spans="1:22" ht="13.5" x14ac:dyDescent="0.35">
      <c r="A249" s="18">
        <v>109065</v>
      </c>
      <c r="B249" s="19" t="s">
        <v>275</v>
      </c>
      <c r="C249" s="19">
        <v>12.5</v>
      </c>
      <c r="D249" s="19">
        <v>101</v>
      </c>
      <c r="E249" s="19">
        <v>802</v>
      </c>
      <c r="F249" s="19">
        <v>0</v>
      </c>
      <c r="G249" s="19">
        <v>0</v>
      </c>
      <c r="H249" s="19">
        <v>0</v>
      </c>
      <c r="I249" s="20">
        <v>0</v>
      </c>
      <c r="J249" s="19">
        <f t="shared" si="21"/>
        <v>0</v>
      </c>
      <c r="K249" s="19">
        <f t="shared" si="22"/>
        <v>0</v>
      </c>
      <c r="L249" s="19">
        <v>-6.6E-4</v>
      </c>
      <c r="M249" s="19">
        <v>2.9999999999999997E-4</v>
      </c>
      <c r="N249" s="19">
        <v>2.9999999999999997E-4</v>
      </c>
      <c r="O249" s="19">
        <v>2.7E-4</v>
      </c>
      <c r="P249" s="19">
        <v>2.4000000000000001E-4</v>
      </c>
      <c r="Q249" s="19"/>
      <c r="R249" s="19">
        <f t="shared" si="23"/>
        <v>0</v>
      </c>
      <c r="S249" s="19">
        <f t="shared" si="24"/>
        <v>0</v>
      </c>
      <c r="T249" s="19">
        <f t="shared" si="25"/>
        <v>0</v>
      </c>
      <c r="U249" s="19">
        <f t="shared" si="26"/>
        <v>0</v>
      </c>
      <c r="V249" s="21">
        <f t="shared" si="27"/>
        <v>0</v>
      </c>
    </row>
    <row r="250" spans="1:22" ht="13.5" x14ac:dyDescent="0.35">
      <c r="A250" s="18">
        <v>109070</v>
      </c>
      <c r="B250" s="19" t="s">
        <v>276</v>
      </c>
      <c r="C250" s="19">
        <v>4.25</v>
      </c>
      <c r="D250" s="19">
        <v>101</v>
      </c>
      <c r="E250" s="19">
        <v>704</v>
      </c>
      <c r="F250" s="19">
        <v>0</v>
      </c>
      <c r="G250" s="19">
        <v>0</v>
      </c>
      <c r="H250" s="19">
        <v>0</v>
      </c>
      <c r="I250" s="20">
        <v>0</v>
      </c>
      <c r="J250" s="19">
        <f t="shared" si="21"/>
        <v>0</v>
      </c>
      <c r="K250" s="19">
        <f t="shared" si="22"/>
        <v>0</v>
      </c>
      <c r="L250" s="19">
        <v>-6.6E-4</v>
      </c>
      <c r="M250" s="19">
        <v>2.14E-3</v>
      </c>
      <c r="N250" s="19">
        <v>2.14E-3</v>
      </c>
      <c r="O250" s="19">
        <v>2.1099999999999999E-3</v>
      </c>
      <c r="P250" s="19">
        <v>2.0799999999999998E-3</v>
      </c>
      <c r="Q250" s="19"/>
      <c r="R250" s="19">
        <f t="shared" si="23"/>
        <v>0</v>
      </c>
      <c r="S250" s="19">
        <f t="shared" si="24"/>
        <v>0</v>
      </c>
      <c r="T250" s="19">
        <f t="shared" si="25"/>
        <v>0</v>
      </c>
      <c r="U250" s="19">
        <f t="shared" si="26"/>
        <v>0</v>
      </c>
      <c r="V250" s="21">
        <f t="shared" si="27"/>
        <v>0</v>
      </c>
    </row>
    <row r="251" spans="1:22" ht="13.5" x14ac:dyDescent="0.35">
      <c r="A251" s="18">
        <v>109072</v>
      </c>
      <c r="B251" s="19" t="s">
        <v>277</v>
      </c>
      <c r="C251" s="19">
        <v>4.16</v>
      </c>
      <c r="D251" s="19">
        <v>101</v>
      </c>
      <c r="E251" s="19">
        <v>704</v>
      </c>
      <c r="F251" s="19">
        <v>0</v>
      </c>
      <c r="G251" s="19">
        <v>0</v>
      </c>
      <c r="H251" s="19">
        <v>0</v>
      </c>
      <c r="I251" s="20">
        <v>0</v>
      </c>
      <c r="J251" s="19">
        <f t="shared" si="21"/>
        <v>0</v>
      </c>
      <c r="K251" s="19">
        <f t="shared" si="22"/>
        <v>0</v>
      </c>
      <c r="L251" s="19">
        <v>-6.6E-4</v>
      </c>
      <c r="M251" s="19">
        <v>1.41E-3</v>
      </c>
      <c r="N251" s="19">
        <v>1.41E-3</v>
      </c>
      <c r="O251" s="19">
        <v>1.3799999999999999E-3</v>
      </c>
      <c r="P251" s="19">
        <v>1.3500000000000001E-3</v>
      </c>
      <c r="Q251" s="19"/>
      <c r="R251" s="19">
        <f t="shared" si="23"/>
        <v>0</v>
      </c>
      <c r="S251" s="19">
        <f t="shared" si="24"/>
        <v>0</v>
      </c>
      <c r="T251" s="19">
        <f t="shared" si="25"/>
        <v>0</v>
      </c>
      <c r="U251" s="19">
        <f t="shared" si="26"/>
        <v>0</v>
      </c>
      <c r="V251" s="21">
        <f t="shared" si="27"/>
        <v>0</v>
      </c>
    </row>
    <row r="252" spans="1:22" ht="13.5" x14ac:dyDescent="0.35">
      <c r="A252" s="18">
        <v>109076</v>
      </c>
      <c r="B252" s="19" t="s">
        <v>278</v>
      </c>
      <c r="C252" s="19">
        <v>4.16</v>
      </c>
      <c r="D252" s="19">
        <v>101</v>
      </c>
      <c r="E252" s="19">
        <v>704</v>
      </c>
      <c r="F252" s="19">
        <v>0</v>
      </c>
      <c r="G252" s="19">
        <v>0</v>
      </c>
      <c r="H252" s="19">
        <v>0</v>
      </c>
      <c r="I252" s="20">
        <v>0</v>
      </c>
      <c r="J252" s="19">
        <f t="shared" si="21"/>
        <v>0</v>
      </c>
      <c r="K252" s="19">
        <f t="shared" si="22"/>
        <v>0</v>
      </c>
      <c r="L252" s="19">
        <v>-6.6E-4</v>
      </c>
      <c r="M252" s="19">
        <v>1.5E-3</v>
      </c>
      <c r="N252" s="19">
        <v>1.5E-3</v>
      </c>
      <c r="O252" s="19">
        <v>1.47E-3</v>
      </c>
      <c r="P252" s="19">
        <v>1.4400000000000001E-3</v>
      </c>
      <c r="Q252" s="19"/>
      <c r="R252" s="19">
        <f t="shared" si="23"/>
        <v>0</v>
      </c>
      <c r="S252" s="19">
        <f t="shared" si="24"/>
        <v>0</v>
      </c>
      <c r="T252" s="19">
        <f t="shared" si="25"/>
        <v>0</v>
      </c>
      <c r="U252" s="19">
        <f t="shared" si="26"/>
        <v>0</v>
      </c>
      <c r="V252" s="21">
        <f t="shared" si="27"/>
        <v>0</v>
      </c>
    </row>
    <row r="253" spans="1:22" ht="13.5" x14ac:dyDescent="0.35">
      <c r="A253" s="18">
        <v>109077</v>
      </c>
      <c r="B253" s="19" t="s">
        <v>279</v>
      </c>
      <c r="C253" s="19">
        <v>2.2999999999999998</v>
      </c>
      <c r="D253" s="19">
        <v>101</v>
      </c>
      <c r="E253" s="19">
        <v>704</v>
      </c>
      <c r="F253" s="19">
        <v>0</v>
      </c>
      <c r="G253" s="19">
        <v>0</v>
      </c>
      <c r="H253" s="19">
        <v>0</v>
      </c>
      <c r="I253" s="20">
        <v>0</v>
      </c>
      <c r="J253" s="19">
        <f t="shared" si="21"/>
        <v>0</v>
      </c>
      <c r="K253" s="19">
        <f t="shared" si="22"/>
        <v>0</v>
      </c>
      <c r="L253" s="19">
        <v>-6.6E-4</v>
      </c>
      <c r="M253" s="19">
        <v>-2.64E-3</v>
      </c>
      <c r="N253" s="19">
        <v>-2.64E-3</v>
      </c>
      <c r="O253" s="19">
        <v>-2.6700000000000001E-3</v>
      </c>
      <c r="P253" s="19">
        <v>-2.7000000000000001E-3</v>
      </c>
      <c r="Q253" s="19"/>
      <c r="R253" s="19">
        <f t="shared" si="23"/>
        <v>0</v>
      </c>
      <c r="S253" s="19">
        <f t="shared" si="24"/>
        <v>0</v>
      </c>
      <c r="T253" s="19">
        <f t="shared" si="25"/>
        <v>0</v>
      </c>
      <c r="U253" s="19">
        <f t="shared" si="26"/>
        <v>0</v>
      </c>
      <c r="V253" s="21">
        <f t="shared" si="27"/>
        <v>0</v>
      </c>
    </row>
    <row r="254" spans="1:22" ht="13.5" x14ac:dyDescent="0.35">
      <c r="A254" s="18">
        <v>109079</v>
      </c>
      <c r="B254" s="19" t="s">
        <v>280</v>
      </c>
      <c r="C254" s="19">
        <v>2.2999999999999998</v>
      </c>
      <c r="D254" s="19">
        <v>101</v>
      </c>
      <c r="E254" s="19">
        <v>704</v>
      </c>
      <c r="F254" s="19">
        <v>0</v>
      </c>
      <c r="G254" s="19">
        <v>0</v>
      </c>
      <c r="H254" s="19">
        <v>0</v>
      </c>
      <c r="I254" s="20">
        <v>0</v>
      </c>
      <c r="J254" s="19">
        <f t="shared" si="21"/>
        <v>0</v>
      </c>
      <c r="K254" s="19">
        <f t="shared" si="22"/>
        <v>0</v>
      </c>
      <c r="L254" s="19">
        <v>-6.6E-4</v>
      </c>
      <c r="M254" s="19">
        <v>2.9999999999999997E-4</v>
      </c>
      <c r="N254" s="19">
        <v>2.9999999999999997E-4</v>
      </c>
      <c r="O254" s="19">
        <v>2.7E-4</v>
      </c>
      <c r="P254" s="19">
        <v>2.4000000000000001E-4</v>
      </c>
      <c r="Q254" s="19"/>
      <c r="R254" s="19">
        <f t="shared" si="23"/>
        <v>0</v>
      </c>
      <c r="S254" s="19">
        <f t="shared" si="24"/>
        <v>0</v>
      </c>
      <c r="T254" s="19">
        <f t="shared" si="25"/>
        <v>0</v>
      </c>
      <c r="U254" s="19">
        <f t="shared" si="26"/>
        <v>0</v>
      </c>
      <c r="V254" s="21">
        <f t="shared" si="27"/>
        <v>0</v>
      </c>
    </row>
    <row r="255" spans="1:22" ht="13.5" x14ac:dyDescent="0.35">
      <c r="A255" s="18">
        <v>109080</v>
      </c>
      <c r="B255" s="19" t="s">
        <v>281</v>
      </c>
      <c r="C255" s="19">
        <v>4.16</v>
      </c>
      <c r="D255" s="19">
        <v>101</v>
      </c>
      <c r="E255" s="19">
        <v>704</v>
      </c>
      <c r="F255" s="19">
        <v>0</v>
      </c>
      <c r="G255" s="19">
        <v>0</v>
      </c>
      <c r="H255" s="19">
        <v>0</v>
      </c>
      <c r="I255" s="20">
        <v>0</v>
      </c>
      <c r="J255" s="19">
        <f t="shared" si="21"/>
        <v>0</v>
      </c>
      <c r="K255" s="19">
        <f t="shared" si="22"/>
        <v>0</v>
      </c>
      <c r="L255" s="19">
        <v>-6.6E-4</v>
      </c>
      <c r="M255" s="19">
        <v>1.5399999999999999E-3</v>
      </c>
      <c r="N255" s="19">
        <v>1.5399999999999999E-3</v>
      </c>
      <c r="O255" s="19">
        <v>1.5100000000000001E-3</v>
      </c>
      <c r="P255" s="19">
        <v>1.48E-3</v>
      </c>
      <c r="Q255" s="19"/>
      <c r="R255" s="19">
        <f t="shared" si="23"/>
        <v>0</v>
      </c>
      <c r="S255" s="19">
        <f t="shared" si="24"/>
        <v>0</v>
      </c>
      <c r="T255" s="19">
        <f t="shared" si="25"/>
        <v>0</v>
      </c>
      <c r="U255" s="19">
        <f t="shared" si="26"/>
        <v>0</v>
      </c>
      <c r="V255" s="21">
        <f t="shared" si="27"/>
        <v>0</v>
      </c>
    </row>
    <row r="256" spans="1:22" ht="13.5" x14ac:dyDescent="0.35">
      <c r="A256" s="18">
        <v>109092</v>
      </c>
      <c r="B256" s="19" t="s">
        <v>282</v>
      </c>
      <c r="C256" s="19">
        <v>2.4</v>
      </c>
      <c r="D256" s="19">
        <v>101</v>
      </c>
      <c r="E256" s="19">
        <v>704</v>
      </c>
      <c r="F256" s="19">
        <v>0</v>
      </c>
      <c r="G256" s="19">
        <v>0</v>
      </c>
      <c r="H256" s="19">
        <v>0</v>
      </c>
      <c r="I256" s="20">
        <v>0</v>
      </c>
      <c r="J256" s="19">
        <f t="shared" si="21"/>
        <v>0</v>
      </c>
      <c r="K256" s="19">
        <f t="shared" si="22"/>
        <v>0</v>
      </c>
      <c r="L256" s="19">
        <v>-6.6E-4</v>
      </c>
      <c r="M256" s="19">
        <v>-2.64E-3</v>
      </c>
      <c r="N256" s="19">
        <v>-2.64E-3</v>
      </c>
      <c r="O256" s="19">
        <v>-2.6700000000000001E-3</v>
      </c>
      <c r="P256" s="19">
        <v>-2.7000000000000001E-3</v>
      </c>
      <c r="Q256" s="19"/>
      <c r="R256" s="19">
        <f t="shared" si="23"/>
        <v>0</v>
      </c>
      <c r="S256" s="19">
        <f t="shared" si="24"/>
        <v>0</v>
      </c>
      <c r="T256" s="19">
        <f t="shared" si="25"/>
        <v>0</v>
      </c>
      <c r="U256" s="19">
        <f t="shared" si="26"/>
        <v>0</v>
      </c>
      <c r="V256" s="21">
        <f t="shared" si="27"/>
        <v>0</v>
      </c>
    </row>
    <row r="257" spans="1:22" ht="13.5" x14ac:dyDescent="0.35">
      <c r="A257" s="18">
        <v>109101</v>
      </c>
      <c r="B257" s="19" t="s">
        <v>283</v>
      </c>
      <c r="C257" s="19">
        <v>7.2</v>
      </c>
      <c r="D257" s="19">
        <v>101</v>
      </c>
      <c r="E257" s="19">
        <v>704</v>
      </c>
      <c r="F257" s="19">
        <v>0</v>
      </c>
      <c r="G257" s="19">
        <v>0</v>
      </c>
      <c r="H257" s="19">
        <v>0</v>
      </c>
      <c r="I257" s="20">
        <v>0</v>
      </c>
      <c r="J257" s="19">
        <f t="shared" si="21"/>
        <v>0</v>
      </c>
      <c r="K257" s="19">
        <f t="shared" si="22"/>
        <v>0</v>
      </c>
      <c r="L257" s="19">
        <v>-6.6E-4</v>
      </c>
      <c r="M257" s="19">
        <v>-2.64E-3</v>
      </c>
      <c r="N257" s="19">
        <v>-2.64E-3</v>
      </c>
      <c r="O257" s="19">
        <v>-2.6700000000000001E-3</v>
      </c>
      <c r="P257" s="19">
        <v>-2.7000000000000001E-3</v>
      </c>
      <c r="Q257" s="19"/>
      <c r="R257" s="19">
        <f t="shared" si="23"/>
        <v>0</v>
      </c>
      <c r="S257" s="19">
        <f t="shared" si="24"/>
        <v>0</v>
      </c>
      <c r="T257" s="19">
        <f t="shared" si="25"/>
        <v>0</v>
      </c>
      <c r="U257" s="19">
        <f t="shared" si="26"/>
        <v>0</v>
      </c>
      <c r="V257" s="21">
        <f t="shared" si="27"/>
        <v>0</v>
      </c>
    </row>
    <row r="258" spans="1:22" ht="13.5" x14ac:dyDescent="0.35">
      <c r="A258" s="18">
        <v>109102</v>
      </c>
      <c r="B258" s="19" t="s">
        <v>284</v>
      </c>
      <c r="C258" s="19">
        <v>7.2</v>
      </c>
      <c r="D258" s="19">
        <v>101</v>
      </c>
      <c r="E258" s="19">
        <v>704</v>
      </c>
      <c r="F258" s="19">
        <v>0</v>
      </c>
      <c r="G258" s="19">
        <v>0</v>
      </c>
      <c r="H258" s="19">
        <v>0</v>
      </c>
      <c r="I258" s="20">
        <v>0</v>
      </c>
      <c r="J258" s="19">
        <f t="shared" si="21"/>
        <v>0</v>
      </c>
      <c r="K258" s="19">
        <f t="shared" si="22"/>
        <v>0</v>
      </c>
      <c r="L258" s="19">
        <v>-6.6E-4</v>
      </c>
      <c r="M258" s="19">
        <v>1.97E-3</v>
      </c>
      <c r="N258" s="19">
        <v>1.97E-3</v>
      </c>
      <c r="O258" s="19">
        <v>1.9400000000000001E-3</v>
      </c>
      <c r="P258" s="19">
        <v>1.91E-3</v>
      </c>
      <c r="Q258" s="19"/>
      <c r="R258" s="19">
        <f t="shared" si="23"/>
        <v>0</v>
      </c>
      <c r="S258" s="19">
        <f t="shared" si="24"/>
        <v>0</v>
      </c>
      <c r="T258" s="19">
        <f t="shared" si="25"/>
        <v>0</v>
      </c>
      <c r="U258" s="19">
        <f t="shared" si="26"/>
        <v>0</v>
      </c>
      <c r="V258" s="21">
        <f t="shared" si="27"/>
        <v>0</v>
      </c>
    </row>
    <row r="259" spans="1:22" ht="13.5" x14ac:dyDescent="0.35">
      <c r="A259" s="18">
        <v>109103</v>
      </c>
      <c r="B259" s="19" t="s">
        <v>285</v>
      </c>
      <c r="C259" s="19">
        <v>6.9</v>
      </c>
      <c r="D259" s="19">
        <v>101</v>
      </c>
      <c r="E259" s="19">
        <v>704</v>
      </c>
      <c r="F259" s="19">
        <v>0</v>
      </c>
      <c r="G259" s="19">
        <v>0</v>
      </c>
      <c r="H259" s="19">
        <v>0</v>
      </c>
      <c r="I259" s="20">
        <v>0</v>
      </c>
      <c r="J259" s="19">
        <f t="shared" si="21"/>
        <v>0</v>
      </c>
      <c r="K259" s="19">
        <f t="shared" si="22"/>
        <v>0</v>
      </c>
      <c r="L259" s="19">
        <v>-6.6E-4</v>
      </c>
      <c r="M259" s="19">
        <v>5.5000000000000003E-4</v>
      </c>
      <c r="N259" s="19">
        <v>5.5000000000000003E-4</v>
      </c>
      <c r="O259" s="19">
        <v>5.1999999999999995E-4</v>
      </c>
      <c r="P259" s="19">
        <v>4.8999999999999998E-4</v>
      </c>
      <c r="Q259" s="19"/>
      <c r="R259" s="19">
        <f t="shared" si="23"/>
        <v>0</v>
      </c>
      <c r="S259" s="19">
        <f t="shared" si="24"/>
        <v>0</v>
      </c>
      <c r="T259" s="19">
        <f t="shared" si="25"/>
        <v>0</v>
      </c>
      <c r="U259" s="19">
        <f t="shared" si="26"/>
        <v>0</v>
      </c>
      <c r="V259" s="21">
        <f t="shared" si="27"/>
        <v>0</v>
      </c>
    </row>
    <row r="260" spans="1:22" ht="13.5" x14ac:dyDescent="0.35">
      <c r="A260" s="18">
        <v>109104</v>
      </c>
      <c r="B260" s="19" t="s">
        <v>286</v>
      </c>
      <c r="C260" s="19">
        <v>4.16</v>
      </c>
      <c r="D260" s="19">
        <v>101</v>
      </c>
      <c r="E260" s="19">
        <v>704</v>
      </c>
      <c r="F260" s="19">
        <v>0</v>
      </c>
      <c r="G260" s="19">
        <v>0</v>
      </c>
      <c r="H260" s="19">
        <v>0</v>
      </c>
      <c r="I260" s="20">
        <v>0</v>
      </c>
      <c r="J260" s="19">
        <f t="shared" si="21"/>
        <v>0</v>
      </c>
      <c r="K260" s="19">
        <f t="shared" si="22"/>
        <v>0</v>
      </c>
      <c r="L260" s="19">
        <v>-6.6E-4</v>
      </c>
      <c r="M260" s="19">
        <v>1.7899999999999999E-3</v>
      </c>
      <c r="N260" s="19">
        <v>1.7899999999999999E-3</v>
      </c>
      <c r="O260" s="19">
        <v>1.7600000000000001E-3</v>
      </c>
      <c r="P260" s="19">
        <v>1.74E-3</v>
      </c>
      <c r="Q260" s="19"/>
      <c r="R260" s="19">
        <f t="shared" si="23"/>
        <v>0</v>
      </c>
      <c r="S260" s="19">
        <f t="shared" si="24"/>
        <v>0</v>
      </c>
      <c r="T260" s="19">
        <f t="shared" si="25"/>
        <v>0</v>
      </c>
      <c r="U260" s="19">
        <f t="shared" si="26"/>
        <v>0</v>
      </c>
      <c r="V260" s="21">
        <f t="shared" si="27"/>
        <v>0</v>
      </c>
    </row>
    <row r="261" spans="1:22" ht="13.5" x14ac:dyDescent="0.35">
      <c r="A261" s="18">
        <v>109105</v>
      </c>
      <c r="B261" s="19" t="s">
        <v>287</v>
      </c>
      <c r="C261" s="19">
        <v>6.44</v>
      </c>
      <c r="D261" s="19">
        <v>101</v>
      </c>
      <c r="E261" s="19">
        <v>704</v>
      </c>
      <c r="F261" s="19">
        <v>0</v>
      </c>
      <c r="G261" s="19">
        <v>0</v>
      </c>
      <c r="H261" s="19">
        <v>0</v>
      </c>
      <c r="I261" s="20">
        <v>0</v>
      </c>
      <c r="J261" s="19">
        <f t="shared" si="21"/>
        <v>0</v>
      </c>
      <c r="K261" s="19">
        <f t="shared" si="22"/>
        <v>0</v>
      </c>
      <c r="L261" s="19">
        <v>-6.6E-4</v>
      </c>
      <c r="M261" s="19">
        <v>-2.64E-3</v>
      </c>
      <c r="N261" s="19">
        <v>-2.64E-3</v>
      </c>
      <c r="O261" s="19">
        <v>-2.6700000000000001E-3</v>
      </c>
      <c r="P261" s="19">
        <v>-2.7000000000000001E-3</v>
      </c>
      <c r="Q261" s="19"/>
      <c r="R261" s="19">
        <f t="shared" si="23"/>
        <v>0</v>
      </c>
      <c r="S261" s="19">
        <f t="shared" si="24"/>
        <v>0</v>
      </c>
      <c r="T261" s="19">
        <f t="shared" si="25"/>
        <v>0</v>
      </c>
      <c r="U261" s="19">
        <f t="shared" si="26"/>
        <v>0</v>
      </c>
      <c r="V261" s="21">
        <f t="shared" si="27"/>
        <v>0</v>
      </c>
    </row>
    <row r="262" spans="1:22" ht="13.5" x14ac:dyDescent="0.35">
      <c r="A262" s="18">
        <v>109106</v>
      </c>
      <c r="B262" s="19" t="s">
        <v>288</v>
      </c>
      <c r="C262" s="19">
        <v>2.4</v>
      </c>
      <c r="D262" s="19">
        <v>101</v>
      </c>
      <c r="E262" s="19">
        <v>704</v>
      </c>
      <c r="F262" s="19">
        <v>0</v>
      </c>
      <c r="G262" s="19">
        <v>0</v>
      </c>
      <c r="H262" s="19">
        <v>0</v>
      </c>
      <c r="I262" s="20">
        <v>0</v>
      </c>
      <c r="J262" s="19">
        <f t="shared" si="21"/>
        <v>0</v>
      </c>
      <c r="K262" s="19">
        <f t="shared" si="22"/>
        <v>0</v>
      </c>
      <c r="L262" s="19">
        <v>-6.6E-4</v>
      </c>
      <c r="M262" s="19">
        <v>2.14E-3</v>
      </c>
      <c r="N262" s="19">
        <v>2.14E-3</v>
      </c>
      <c r="O262" s="19">
        <v>2.1099999999999999E-3</v>
      </c>
      <c r="P262" s="19">
        <v>2.0799999999999998E-3</v>
      </c>
      <c r="Q262" s="19"/>
      <c r="R262" s="19">
        <f t="shared" si="23"/>
        <v>0</v>
      </c>
      <c r="S262" s="19">
        <f t="shared" si="24"/>
        <v>0</v>
      </c>
      <c r="T262" s="19">
        <f t="shared" si="25"/>
        <v>0</v>
      </c>
      <c r="U262" s="19">
        <f t="shared" si="26"/>
        <v>0</v>
      </c>
      <c r="V262" s="21">
        <f t="shared" si="27"/>
        <v>0</v>
      </c>
    </row>
    <row r="263" spans="1:22" ht="13.5" x14ac:dyDescent="0.35">
      <c r="A263" s="18">
        <v>109107</v>
      </c>
      <c r="B263" s="19" t="s">
        <v>289</v>
      </c>
      <c r="C263" s="19">
        <v>12.5</v>
      </c>
      <c r="D263" s="19">
        <v>101</v>
      </c>
      <c r="E263" s="19">
        <v>704</v>
      </c>
      <c r="F263" s="19">
        <v>0</v>
      </c>
      <c r="G263" s="19">
        <v>0</v>
      </c>
      <c r="H263" s="19">
        <v>0</v>
      </c>
      <c r="I263" s="20">
        <v>0</v>
      </c>
      <c r="J263" s="19">
        <f t="shared" si="21"/>
        <v>0</v>
      </c>
      <c r="K263" s="19">
        <f t="shared" si="22"/>
        <v>0</v>
      </c>
      <c r="L263" s="19">
        <v>-6.6E-4</v>
      </c>
      <c r="M263" s="19">
        <v>4.2000000000000002E-4</v>
      </c>
      <c r="N263" s="19">
        <v>4.2000000000000002E-4</v>
      </c>
      <c r="O263" s="19">
        <v>3.8999999999999999E-4</v>
      </c>
      <c r="P263" s="19">
        <v>3.6000000000000002E-4</v>
      </c>
      <c r="Q263" s="19"/>
      <c r="R263" s="19">
        <f t="shared" si="23"/>
        <v>0</v>
      </c>
      <c r="S263" s="19">
        <f t="shared" si="24"/>
        <v>0</v>
      </c>
      <c r="T263" s="19">
        <f t="shared" si="25"/>
        <v>0</v>
      </c>
      <c r="U263" s="19">
        <f t="shared" si="26"/>
        <v>0</v>
      </c>
      <c r="V263" s="21">
        <f t="shared" si="27"/>
        <v>0</v>
      </c>
    </row>
    <row r="264" spans="1:22" ht="13.5" x14ac:dyDescent="0.35">
      <c r="A264" s="18">
        <v>109130</v>
      </c>
      <c r="B264" s="19" t="s">
        <v>290</v>
      </c>
      <c r="C264" s="19">
        <v>4.16</v>
      </c>
      <c r="D264" s="19">
        <v>101</v>
      </c>
      <c r="E264" s="19">
        <v>704</v>
      </c>
      <c r="F264" s="19">
        <v>0</v>
      </c>
      <c r="G264" s="19">
        <v>0</v>
      </c>
      <c r="H264" s="19">
        <v>0</v>
      </c>
      <c r="I264" s="20">
        <v>0</v>
      </c>
      <c r="J264" s="19">
        <f t="shared" si="21"/>
        <v>0</v>
      </c>
      <c r="K264" s="19">
        <f t="shared" si="22"/>
        <v>0</v>
      </c>
      <c r="L264" s="19">
        <v>-6.6E-4</v>
      </c>
      <c r="M264" s="19">
        <v>-2.64E-3</v>
      </c>
      <c r="N264" s="19">
        <v>-2.64E-3</v>
      </c>
      <c r="O264" s="19">
        <v>-2.6700000000000001E-3</v>
      </c>
      <c r="P264" s="19">
        <v>-2.7000000000000001E-3</v>
      </c>
      <c r="Q264" s="19"/>
      <c r="R264" s="19">
        <f t="shared" si="23"/>
        <v>0</v>
      </c>
      <c r="S264" s="19">
        <f t="shared" si="24"/>
        <v>0</v>
      </c>
      <c r="T264" s="19">
        <f t="shared" si="25"/>
        <v>0</v>
      </c>
      <c r="U264" s="19">
        <f t="shared" si="26"/>
        <v>0</v>
      </c>
      <c r="V264" s="21">
        <f t="shared" si="27"/>
        <v>0</v>
      </c>
    </row>
    <row r="265" spans="1:22" ht="13.5" x14ac:dyDescent="0.35">
      <c r="A265" s="18">
        <v>109131</v>
      </c>
      <c r="B265" s="19" t="s">
        <v>291</v>
      </c>
      <c r="C265" s="19">
        <v>2.4</v>
      </c>
      <c r="D265" s="19">
        <v>101</v>
      </c>
      <c r="E265" s="19">
        <v>704</v>
      </c>
      <c r="F265" s="19">
        <v>0</v>
      </c>
      <c r="G265" s="19">
        <v>0</v>
      </c>
      <c r="H265" s="19">
        <v>0</v>
      </c>
      <c r="I265" s="20">
        <v>0</v>
      </c>
      <c r="J265" s="19">
        <f t="shared" si="21"/>
        <v>0</v>
      </c>
      <c r="K265" s="19">
        <f t="shared" si="22"/>
        <v>0</v>
      </c>
      <c r="L265" s="19">
        <v>-6.6E-4</v>
      </c>
      <c r="M265" s="19">
        <v>2.14E-3</v>
      </c>
      <c r="N265" s="19">
        <v>2.14E-3</v>
      </c>
      <c r="O265" s="19">
        <v>2.1099999999999999E-3</v>
      </c>
      <c r="P265" s="19">
        <v>2.0799999999999998E-3</v>
      </c>
      <c r="Q265" s="19"/>
      <c r="R265" s="19">
        <f t="shared" si="23"/>
        <v>0</v>
      </c>
      <c r="S265" s="19">
        <f t="shared" si="24"/>
        <v>0</v>
      </c>
      <c r="T265" s="19">
        <f t="shared" si="25"/>
        <v>0</v>
      </c>
      <c r="U265" s="19">
        <f t="shared" si="26"/>
        <v>0</v>
      </c>
      <c r="V265" s="21">
        <f t="shared" si="27"/>
        <v>0</v>
      </c>
    </row>
    <row r="266" spans="1:22" ht="13.5" x14ac:dyDescent="0.35">
      <c r="A266" s="18">
        <v>109139</v>
      </c>
      <c r="B266" s="19" t="s">
        <v>292</v>
      </c>
      <c r="C266" s="19">
        <v>4.16</v>
      </c>
      <c r="D266" s="19">
        <v>101</v>
      </c>
      <c r="E266" s="19">
        <v>704</v>
      </c>
      <c r="F266" s="19">
        <v>0</v>
      </c>
      <c r="G266" s="19">
        <v>0</v>
      </c>
      <c r="H266" s="19">
        <v>0</v>
      </c>
      <c r="I266" s="20">
        <v>0</v>
      </c>
      <c r="J266" s="19">
        <f t="shared" si="21"/>
        <v>0</v>
      </c>
      <c r="K266" s="19">
        <f t="shared" si="22"/>
        <v>0</v>
      </c>
      <c r="L266" s="19">
        <v>-6.6E-4</v>
      </c>
      <c r="M266" s="19">
        <v>-2.64E-3</v>
      </c>
      <c r="N266" s="19">
        <v>-2.64E-3</v>
      </c>
      <c r="O266" s="19">
        <v>-2.6700000000000001E-3</v>
      </c>
      <c r="P266" s="19">
        <v>-2.7000000000000001E-3</v>
      </c>
      <c r="Q266" s="19"/>
      <c r="R266" s="19">
        <f t="shared" si="23"/>
        <v>0</v>
      </c>
      <c r="S266" s="19">
        <f t="shared" si="24"/>
        <v>0</v>
      </c>
      <c r="T266" s="19">
        <f t="shared" si="25"/>
        <v>0</v>
      </c>
      <c r="U266" s="19">
        <f t="shared" si="26"/>
        <v>0</v>
      </c>
      <c r="V266" s="21">
        <f t="shared" si="27"/>
        <v>0</v>
      </c>
    </row>
    <row r="267" spans="1:22" ht="13.5" x14ac:dyDescent="0.35">
      <c r="A267" s="18">
        <v>109140</v>
      </c>
      <c r="B267" s="19" t="s">
        <v>293</v>
      </c>
      <c r="C267" s="19">
        <v>4.16</v>
      </c>
      <c r="D267" s="19">
        <v>101</v>
      </c>
      <c r="E267" s="19">
        <v>704</v>
      </c>
      <c r="F267" s="19">
        <v>0</v>
      </c>
      <c r="G267" s="19">
        <v>0</v>
      </c>
      <c r="H267" s="19">
        <v>0</v>
      </c>
      <c r="I267" s="20">
        <v>0</v>
      </c>
      <c r="J267" s="19">
        <f t="shared" si="21"/>
        <v>0</v>
      </c>
      <c r="K267" s="19">
        <f t="shared" si="22"/>
        <v>0</v>
      </c>
      <c r="L267" s="19">
        <v>-6.6E-4</v>
      </c>
      <c r="M267" s="19">
        <v>1.1100000000000001E-3</v>
      </c>
      <c r="N267" s="19">
        <v>1.1100000000000001E-3</v>
      </c>
      <c r="O267" s="19">
        <v>1.08E-3</v>
      </c>
      <c r="P267" s="19">
        <v>1.0499999999999999E-3</v>
      </c>
      <c r="Q267" s="19"/>
      <c r="R267" s="19">
        <f t="shared" si="23"/>
        <v>0</v>
      </c>
      <c r="S267" s="19">
        <f t="shared" si="24"/>
        <v>0</v>
      </c>
      <c r="T267" s="19">
        <f t="shared" si="25"/>
        <v>0</v>
      </c>
      <c r="U267" s="19">
        <f t="shared" si="26"/>
        <v>0</v>
      </c>
      <c r="V267" s="21">
        <f t="shared" si="27"/>
        <v>0</v>
      </c>
    </row>
    <row r="268" spans="1:22" ht="13.5" x14ac:dyDescent="0.35">
      <c r="A268" s="18">
        <v>109141</v>
      </c>
      <c r="B268" s="19" t="s">
        <v>294</v>
      </c>
      <c r="C268" s="19">
        <v>12.5</v>
      </c>
      <c r="D268" s="19">
        <v>101</v>
      </c>
      <c r="E268" s="19">
        <v>704</v>
      </c>
      <c r="F268" s="19">
        <v>0</v>
      </c>
      <c r="G268" s="19">
        <v>0</v>
      </c>
      <c r="H268" s="19">
        <v>0</v>
      </c>
      <c r="I268" s="20">
        <v>0</v>
      </c>
      <c r="J268" s="19">
        <f t="shared" si="21"/>
        <v>0</v>
      </c>
      <c r="K268" s="19">
        <f t="shared" si="22"/>
        <v>0</v>
      </c>
      <c r="L268" s="19">
        <v>-6.6E-4</v>
      </c>
      <c r="M268" s="19">
        <v>1.07E-3</v>
      </c>
      <c r="N268" s="19">
        <v>1.07E-3</v>
      </c>
      <c r="O268" s="19">
        <v>1.0399999999999999E-3</v>
      </c>
      <c r="P268" s="19">
        <v>1.01E-3</v>
      </c>
      <c r="Q268" s="19"/>
      <c r="R268" s="19">
        <f t="shared" si="23"/>
        <v>0</v>
      </c>
      <c r="S268" s="19">
        <f t="shared" si="24"/>
        <v>0</v>
      </c>
      <c r="T268" s="19">
        <f t="shared" si="25"/>
        <v>0</v>
      </c>
      <c r="U268" s="19">
        <f t="shared" si="26"/>
        <v>0</v>
      </c>
      <c r="V268" s="21">
        <f t="shared" si="27"/>
        <v>0</v>
      </c>
    </row>
    <row r="269" spans="1:22" ht="13.5" x14ac:dyDescent="0.35">
      <c r="A269" s="18">
        <v>109143</v>
      </c>
      <c r="B269" s="19" t="s">
        <v>295</v>
      </c>
      <c r="C269" s="19">
        <v>12.5</v>
      </c>
      <c r="D269" s="19">
        <v>101</v>
      </c>
      <c r="E269" s="19">
        <v>704</v>
      </c>
      <c r="F269" s="19">
        <v>0</v>
      </c>
      <c r="G269" s="19">
        <v>0</v>
      </c>
      <c r="H269" s="19">
        <v>0</v>
      </c>
      <c r="I269" s="20">
        <v>0</v>
      </c>
      <c r="J269" s="19">
        <f t="shared" si="21"/>
        <v>0</v>
      </c>
      <c r="K269" s="19">
        <f t="shared" si="22"/>
        <v>0</v>
      </c>
      <c r="L269" s="19">
        <v>-6.6E-4</v>
      </c>
      <c r="M269" s="19">
        <v>-2.64E-3</v>
      </c>
      <c r="N269" s="19">
        <v>-2.64E-3</v>
      </c>
      <c r="O269" s="19">
        <v>-2.6700000000000001E-3</v>
      </c>
      <c r="P269" s="19">
        <v>-2.7000000000000001E-3</v>
      </c>
      <c r="Q269" s="19"/>
      <c r="R269" s="19">
        <f t="shared" si="23"/>
        <v>0</v>
      </c>
      <c r="S269" s="19">
        <f t="shared" si="24"/>
        <v>0</v>
      </c>
      <c r="T269" s="19">
        <f t="shared" si="25"/>
        <v>0</v>
      </c>
      <c r="U269" s="19">
        <f t="shared" si="26"/>
        <v>0</v>
      </c>
      <c r="V269" s="21">
        <f t="shared" si="27"/>
        <v>0</v>
      </c>
    </row>
    <row r="270" spans="1:22" ht="13.5" x14ac:dyDescent="0.35">
      <c r="A270" s="18">
        <v>109151</v>
      </c>
      <c r="B270" s="19" t="s">
        <v>296</v>
      </c>
      <c r="C270" s="19">
        <v>0.6</v>
      </c>
      <c r="D270" s="19">
        <v>101</v>
      </c>
      <c r="E270" s="19">
        <v>703</v>
      </c>
      <c r="F270" s="19">
        <v>0</v>
      </c>
      <c r="G270" s="19">
        <v>0</v>
      </c>
      <c r="H270" s="19">
        <v>0</v>
      </c>
      <c r="I270" s="20">
        <v>0</v>
      </c>
      <c r="J270" s="19">
        <f t="shared" ref="J270:J333" si="28">I270-F270</f>
        <v>0</v>
      </c>
      <c r="K270" s="19">
        <f t="shared" ref="K270:K333" si="29">H270-I270</f>
        <v>0</v>
      </c>
      <c r="L270" s="19">
        <v>-6.6E-4</v>
      </c>
      <c r="M270" s="19">
        <v>2.7999999999999998E-4</v>
      </c>
      <c r="N270" s="19">
        <v>2.7999999999999998E-4</v>
      </c>
      <c r="O270" s="19">
        <v>2.5000000000000001E-4</v>
      </c>
      <c r="P270" s="19">
        <v>2.2000000000000001E-4</v>
      </c>
      <c r="Q270" s="19"/>
      <c r="R270" s="19">
        <f t="shared" ref="R270:R333" si="30">L270*J270</f>
        <v>0</v>
      </c>
      <c r="S270" s="19">
        <f t="shared" ref="S270:S333" si="31">M270*J270</f>
        <v>0</v>
      </c>
      <c r="T270" s="19">
        <f t="shared" ref="T270:T333" si="32">N270*J270</f>
        <v>0</v>
      </c>
      <c r="U270" s="19">
        <f t="shared" ref="U270:U333" si="33">O270*J270</f>
        <v>0</v>
      </c>
      <c r="V270" s="21">
        <f t="shared" ref="V270:V333" si="34">P270*J270</f>
        <v>0</v>
      </c>
    </row>
    <row r="271" spans="1:22" ht="13.5" x14ac:dyDescent="0.35">
      <c r="A271" s="18">
        <v>109160</v>
      </c>
      <c r="B271" s="19" t="s">
        <v>297</v>
      </c>
      <c r="C271" s="19">
        <v>13.8</v>
      </c>
      <c r="D271" s="19">
        <v>101</v>
      </c>
      <c r="E271" s="19">
        <v>704</v>
      </c>
      <c r="F271" s="19">
        <v>52</v>
      </c>
      <c r="G271" s="19">
        <v>0</v>
      </c>
      <c r="H271" s="19">
        <v>52</v>
      </c>
      <c r="I271" s="20">
        <v>52</v>
      </c>
      <c r="J271" s="19">
        <f t="shared" si="28"/>
        <v>0</v>
      </c>
      <c r="K271" s="19">
        <f t="shared" si="29"/>
        <v>0</v>
      </c>
      <c r="L271" s="19">
        <v>-6.6E-4</v>
      </c>
      <c r="M271" s="19">
        <v>9.7999999999999997E-4</v>
      </c>
      <c r="N271" s="19">
        <v>9.7999999999999997E-4</v>
      </c>
      <c r="O271" s="19">
        <v>9.5E-4</v>
      </c>
      <c r="P271" s="19">
        <v>9.3000000000000005E-4</v>
      </c>
      <c r="Q271" s="19"/>
      <c r="R271" s="19">
        <f t="shared" si="30"/>
        <v>0</v>
      </c>
      <c r="S271" s="19">
        <f t="shared" si="31"/>
        <v>0</v>
      </c>
      <c r="T271" s="19">
        <f t="shared" si="32"/>
        <v>0</v>
      </c>
      <c r="U271" s="19">
        <f t="shared" si="33"/>
        <v>0</v>
      </c>
      <c r="V271" s="21">
        <f t="shared" si="34"/>
        <v>0</v>
      </c>
    </row>
    <row r="272" spans="1:22" ht="13.5" x14ac:dyDescent="0.35">
      <c r="A272" s="18">
        <v>109170</v>
      </c>
      <c r="B272" s="19" t="s">
        <v>298</v>
      </c>
      <c r="C272" s="19">
        <v>13.8</v>
      </c>
      <c r="D272" s="19">
        <v>101</v>
      </c>
      <c r="E272" s="19">
        <v>704</v>
      </c>
      <c r="F272" s="19">
        <v>19</v>
      </c>
      <c r="G272" s="19">
        <v>0</v>
      </c>
      <c r="H272" s="19">
        <v>19</v>
      </c>
      <c r="I272" s="20">
        <v>19</v>
      </c>
      <c r="J272" s="19">
        <f t="shared" si="28"/>
        <v>0</v>
      </c>
      <c r="K272" s="19">
        <f t="shared" si="29"/>
        <v>0</v>
      </c>
      <c r="L272" s="19">
        <v>-6.6E-4</v>
      </c>
      <c r="M272" s="19">
        <v>2.14E-3</v>
      </c>
      <c r="N272" s="19">
        <v>2.14E-3</v>
      </c>
      <c r="O272" s="19">
        <v>2.1099999999999999E-3</v>
      </c>
      <c r="P272" s="19">
        <v>2.0799999999999998E-3</v>
      </c>
      <c r="Q272" s="19"/>
      <c r="R272" s="19">
        <f t="shared" si="30"/>
        <v>0</v>
      </c>
      <c r="S272" s="19">
        <f t="shared" si="31"/>
        <v>0</v>
      </c>
      <c r="T272" s="19">
        <f t="shared" si="32"/>
        <v>0</v>
      </c>
      <c r="U272" s="19">
        <f t="shared" si="33"/>
        <v>0</v>
      </c>
      <c r="V272" s="21">
        <f t="shared" si="34"/>
        <v>0</v>
      </c>
    </row>
    <row r="273" spans="1:22" ht="13.5" x14ac:dyDescent="0.35">
      <c r="A273" s="18">
        <v>109190</v>
      </c>
      <c r="B273" s="19" t="s">
        <v>299</v>
      </c>
      <c r="C273" s="19">
        <v>13.8</v>
      </c>
      <c r="D273" s="19">
        <v>101</v>
      </c>
      <c r="E273" s="19">
        <v>703</v>
      </c>
      <c r="F273" s="19">
        <v>0</v>
      </c>
      <c r="G273" s="19">
        <v>0</v>
      </c>
      <c r="H273" s="19">
        <v>0</v>
      </c>
      <c r="I273" s="20">
        <v>0</v>
      </c>
      <c r="J273" s="19">
        <f t="shared" si="28"/>
        <v>0</v>
      </c>
      <c r="K273" s="19">
        <f t="shared" si="29"/>
        <v>0</v>
      </c>
      <c r="L273" s="19">
        <v>-6.6E-4</v>
      </c>
      <c r="M273" s="19">
        <v>-2.64E-3</v>
      </c>
      <c r="N273" s="19">
        <v>-2.64E-3</v>
      </c>
      <c r="O273" s="19">
        <v>-2.6700000000000001E-3</v>
      </c>
      <c r="P273" s="19">
        <v>-2.7000000000000001E-3</v>
      </c>
      <c r="Q273" s="19"/>
      <c r="R273" s="19">
        <f t="shared" si="30"/>
        <v>0</v>
      </c>
      <c r="S273" s="19">
        <f t="shared" si="31"/>
        <v>0</v>
      </c>
      <c r="T273" s="19">
        <f t="shared" si="32"/>
        <v>0</v>
      </c>
      <c r="U273" s="19">
        <f t="shared" si="33"/>
        <v>0</v>
      </c>
      <c r="V273" s="21">
        <f t="shared" si="34"/>
        <v>0</v>
      </c>
    </row>
    <row r="274" spans="1:22" ht="13.5" x14ac:dyDescent="0.35">
      <c r="A274" s="18">
        <v>109200</v>
      </c>
      <c r="B274" s="19" t="s">
        <v>300</v>
      </c>
      <c r="C274" s="19">
        <v>13.8</v>
      </c>
      <c r="D274" s="19">
        <v>101</v>
      </c>
      <c r="E274" s="19">
        <v>703</v>
      </c>
      <c r="F274" s="19">
        <v>0</v>
      </c>
      <c r="G274" s="19">
        <v>0</v>
      </c>
      <c r="H274" s="19">
        <v>0</v>
      </c>
      <c r="I274" s="20">
        <v>0</v>
      </c>
      <c r="J274" s="19">
        <f t="shared" si="28"/>
        <v>0</v>
      </c>
      <c r="K274" s="19">
        <f t="shared" si="29"/>
        <v>0</v>
      </c>
      <c r="L274" s="19">
        <v>-6.6E-4</v>
      </c>
      <c r="M274" s="19">
        <v>-2.64E-3</v>
      </c>
      <c r="N274" s="19">
        <v>-2.64E-3</v>
      </c>
      <c r="O274" s="19">
        <v>-2.6700000000000001E-3</v>
      </c>
      <c r="P274" s="19">
        <v>-2.7000000000000001E-3</v>
      </c>
      <c r="Q274" s="19"/>
      <c r="R274" s="19">
        <f t="shared" si="30"/>
        <v>0</v>
      </c>
      <c r="S274" s="19">
        <f t="shared" si="31"/>
        <v>0</v>
      </c>
      <c r="T274" s="19">
        <f t="shared" si="32"/>
        <v>0</v>
      </c>
      <c r="U274" s="19">
        <f t="shared" si="33"/>
        <v>0</v>
      </c>
      <c r="V274" s="21">
        <f t="shared" si="34"/>
        <v>0</v>
      </c>
    </row>
    <row r="275" spans="1:22" ht="13.5" x14ac:dyDescent="0.35">
      <c r="A275" s="18">
        <v>109226</v>
      </c>
      <c r="B275" s="19" t="s">
        <v>301</v>
      </c>
      <c r="C275" s="19">
        <v>4</v>
      </c>
      <c r="D275" s="19">
        <v>101</v>
      </c>
      <c r="E275" s="19">
        <v>704</v>
      </c>
      <c r="F275" s="19">
        <v>0</v>
      </c>
      <c r="G275" s="19">
        <v>0</v>
      </c>
      <c r="H275" s="19">
        <v>0</v>
      </c>
      <c r="I275" s="20">
        <v>0</v>
      </c>
      <c r="J275" s="19">
        <f t="shared" si="28"/>
        <v>0</v>
      </c>
      <c r="K275" s="19">
        <f t="shared" si="29"/>
        <v>0</v>
      </c>
      <c r="L275" s="19">
        <v>-6.6E-4</v>
      </c>
      <c r="M275" s="19">
        <v>1.15E-3</v>
      </c>
      <c r="N275" s="19">
        <v>1.15E-3</v>
      </c>
      <c r="O275" s="19">
        <v>1.1199999999999999E-3</v>
      </c>
      <c r="P275" s="19">
        <v>1.09E-3</v>
      </c>
      <c r="Q275" s="19"/>
      <c r="R275" s="19">
        <f t="shared" si="30"/>
        <v>0</v>
      </c>
      <c r="S275" s="19">
        <f t="shared" si="31"/>
        <v>0</v>
      </c>
      <c r="T275" s="19">
        <f t="shared" si="32"/>
        <v>0</v>
      </c>
      <c r="U275" s="19">
        <f t="shared" si="33"/>
        <v>0</v>
      </c>
      <c r="V275" s="21">
        <f t="shared" si="34"/>
        <v>0</v>
      </c>
    </row>
    <row r="276" spans="1:22" ht="13.5" x14ac:dyDescent="0.35">
      <c r="A276" s="18">
        <v>109227</v>
      </c>
      <c r="B276" s="19" t="s">
        <v>302</v>
      </c>
      <c r="C276" s="19">
        <v>2.4</v>
      </c>
      <c r="D276" s="19">
        <v>101</v>
      </c>
      <c r="E276" s="19">
        <v>704</v>
      </c>
      <c r="F276" s="19">
        <v>0</v>
      </c>
      <c r="G276" s="19">
        <v>0</v>
      </c>
      <c r="H276" s="19">
        <v>0</v>
      </c>
      <c r="I276" s="20">
        <v>0</v>
      </c>
      <c r="J276" s="19">
        <f t="shared" si="28"/>
        <v>0</v>
      </c>
      <c r="K276" s="19">
        <f t="shared" si="29"/>
        <v>0</v>
      </c>
      <c r="L276" s="19">
        <v>-6.6E-4</v>
      </c>
      <c r="M276" s="19">
        <v>1.15E-3</v>
      </c>
      <c r="N276" s="19">
        <v>1.15E-3</v>
      </c>
      <c r="O276" s="19">
        <v>1.1199999999999999E-3</v>
      </c>
      <c r="P276" s="19">
        <v>1.09E-3</v>
      </c>
      <c r="Q276" s="19"/>
      <c r="R276" s="19">
        <f t="shared" si="30"/>
        <v>0</v>
      </c>
      <c r="S276" s="19">
        <f t="shared" si="31"/>
        <v>0</v>
      </c>
      <c r="T276" s="19">
        <f t="shared" si="32"/>
        <v>0</v>
      </c>
      <c r="U276" s="19">
        <f t="shared" si="33"/>
        <v>0</v>
      </c>
      <c r="V276" s="21">
        <f t="shared" si="34"/>
        <v>0</v>
      </c>
    </row>
    <row r="277" spans="1:22" ht="13.5" x14ac:dyDescent="0.35">
      <c r="A277" s="18">
        <v>109228</v>
      </c>
      <c r="B277" s="19" t="s">
        <v>303</v>
      </c>
      <c r="C277" s="19">
        <v>2.2999999999999998</v>
      </c>
      <c r="D277" s="19">
        <v>101</v>
      </c>
      <c r="E277" s="19">
        <v>704</v>
      </c>
      <c r="F277" s="19">
        <v>0</v>
      </c>
      <c r="G277" s="19">
        <v>0</v>
      </c>
      <c r="H277" s="19">
        <v>0</v>
      </c>
      <c r="I277" s="20">
        <v>0</v>
      </c>
      <c r="J277" s="19">
        <f t="shared" si="28"/>
        <v>0</v>
      </c>
      <c r="K277" s="19">
        <f t="shared" si="29"/>
        <v>0</v>
      </c>
      <c r="L277" s="19">
        <v>-6.6E-4</v>
      </c>
      <c r="M277" s="19">
        <v>1.17E-3</v>
      </c>
      <c r="N277" s="19">
        <v>1.17E-3</v>
      </c>
      <c r="O277" s="19">
        <v>1.14E-3</v>
      </c>
      <c r="P277" s="19">
        <v>1.1100000000000001E-3</v>
      </c>
      <c r="Q277" s="19"/>
      <c r="R277" s="19">
        <f t="shared" si="30"/>
        <v>0</v>
      </c>
      <c r="S277" s="19">
        <f t="shared" si="31"/>
        <v>0</v>
      </c>
      <c r="T277" s="19">
        <f t="shared" si="32"/>
        <v>0</v>
      </c>
      <c r="U277" s="19">
        <f t="shared" si="33"/>
        <v>0</v>
      </c>
      <c r="V277" s="21">
        <f t="shared" si="34"/>
        <v>0</v>
      </c>
    </row>
    <row r="278" spans="1:22" ht="13.5" x14ac:dyDescent="0.35">
      <c r="A278" s="18">
        <v>109229</v>
      </c>
      <c r="B278" s="19" t="s">
        <v>304</v>
      </c>
      <c r="C278" s="19">
        <v>2.2999999999999998</v>
      </c>
      <c r="D278" s="19">
        <v>101</v>
      </c>
      <c r="E278" s="19">
        <v>704</v>
      </c>
      <c r="F278" s="19">
        <v>0</v>
      </c>
      <c r="G278" s="19">
        <v>0</v>
      </c>
      <c r="H278" s="19">
        <v>0</v>
      </c>
      <c r="I278" s="20">
        <v>0</v>
      </c>
      <c r="J278" s="19">
        <f t="shared" si="28"/>
        <v>0</v>
      </c>
      <c r="K278" s="19">
        <f t="shared" si="29"/>
        <v>0</v>
      </c>
      <c r="L278" s="19">
        <v>-6.6E-4</v>
      </c>
      <c r="M278" s="19">
        <v>1.15E-3</v>
      </c>
      <c r="N278" s="19">
        <v>1.15E-3</v>
      </c>
      <c r="O278" s="19">
        <v>1.1199999999999999E-3</v>
      </c>
      <c r="P278" s="19">
        <v>1.09E-3</v>
      </c>
      <c r="Q278" s="19"/>
      <c r="R278" s="19">
        <f t="shared" si="30"/>
        <v>0</v>
      </c>
      <c r="S278" s="19">
        <f t="shared" si="31"/>
        <v>0</v>
      </c>
      <c r="T278" s="19">
        <f t="shared" si="32"/>
        <v>0</v>
      </c>
      <c r="U278" s="19">
        <f t="shared" si="33"/>
        <v>0</v>
      </c>
      <c r="V278" s="21">
        <f t="shared" si="34"/>
        <v>0</v>
      </c>
    </row>
    <row r="279" spans="1:22" ht="13.5" x14ac:dyDescent="0.35">
      <c r="A279" s="18">
        <v>109234</v>
      </c>
      <c r="B279" s="19" t="s">
        <v>305</v>
      </c>
      <c r="C279" s="19">
        <v>4.16</v>
      </c>
      <c r="D279" s="19">
        <v>101</v>
      </c>
      <c r="E279" s="19">
        <v>704</v>
      </c>
      <c r="F279" s="19">
        <v>0</v>
      </c>
      <c r="G279" s="19">
        <v>0</v>
      </c>
      <c r="H279" s="19">
        <v>0</v>
      </c>
      <c r="I279" s="20">
        <v>0</v>
      </c>
      <c r="J279" s="19">
        <f t="shared" si="28"/>
        <v>0</v>
      </c>
      <c r="K279" s="19">
        <f t="shared" si="29"/>
        <v>0</v>
      </c>
      <c r="L279" s="19">
        <v>-6.6E-4</v>
      </c>
      <c r="M279" s="19">
        <v>1.7099999999999999E-3</v>
      </c>
      <c r="N279" s="19">
        <v>1.7099999999999999E-3</v>
      </c>
      <c r="O279" s="19">
        <v>1.6800000000000001E-3</v>
      </c>
      <c r="P279" s="19">
        <v>1.65E-3</v>
      </c>
      <c r="Q279" s="19"/>
      <c r="R279" s="19">
        <f t="shared" si="30"/>
        <v>0</v>
      </c>
      <c r="S279" s="19">
        <f t="shared" si="31"/>
        <v>0</v>
      </c>
      <c r="T279" s="19">
        <f t="shared" si="32"/>
        <v>0</v>
      </c>
      <c r="U279" s="19">
        <f t="shared" si="33"/>
        <v>0</v>
      </c>
      <c r="V279" s="21">
        <f t="shared" si="34"/>
        <v>0</v>
      </c>
    </row>
    <row r="280" spans="1:22" ht="13.5" x14ac:dyDescent="0.35">
      <c r="A280" s="18">
        <v>109248</v>
      </c>
      <c r="B280" s="19" t="s">
        <v>306</v>
      </c>
      <c r="C280" s="19">
        <v>4</v>
      </c>
      <c r="D280" s="19">
        <v>101</v>
      </c>
      <c r="E280" s="19">
        <v>704</v>
      </c>
      <c r="F280" s="19">
        <v>0</v>
      </c>
      <c r="G280" s="19">
        <v>0</v>
      </c>
      <c r="H280" s="19">
        <v>0</v>
      </c>
      <c r="I280" s="20">
        <v>0</v>
      </c>
      <c r="J280" s="19">
        <f t="shared" si="28"/>
        <v>0</v>
      </c>
      <c r="K280" s="19">
        <f t="shared" si="29"/>
        <v>0</v>
      </c>
      <c r="L280" s="19">
        <v>-6.6E-4</v>
      </c>
      <c r="M280" s="19">
        <v>2.1900000000000001E-3</v>
      </c>
      <c r="N280" s="19">
        <v>2.1900000000000001E-3</v>
      </c>
      <c r="O280" s="19">
        <v>2.16E-3</v>
      </c>
      <c r="P280" s="19">
        <v>2.1299999999999999E-3</v>
      </c>
      <c r="Q280" s="19"/>
      <c r="R280" s="19">
        <f t="shared" si="30"/>
        <v>0</v>
      </c>
      <c r="S280" s="19">
        <f t="shared" si="31"/>
        <v>0</v>
      </c>
      <c r="T280" s="19">
        <f t="shared" si="32"/>
        <v>0</v>
      </c>
      <c r="U280" s="19">
        <f t="shared" si="33"/>
        <v>0</v>
      </c>
      <c r="V280" s="21">
        <f t="shared" si="34"/>
        <v>0</v>
      </c>
    </row>
    <row r="281" spans="1:22" ht="13.5" x14ac:dyDescent="0.35">
      <c r="A281" s="18">
        <v>109251</v>
      </c>
      <c r="B281" s="19" t="s">
        <v>307</v>
      </c>
      <c r="C281" s="19">
        <v>2.4</v>
      </c>
      <c r="D281" s="19">
        <v>101</v>
      </c>
      <c r="E281" s="19">
        <v>704</v>
      </c>
      <c r="F281" s="19">
        <v>0</v>
      </c>
      <c r="G281" s="19">
        <v>0</v>
      </c>
      <c r="H281" s="19">
        <v>0</v>
      </c>
      <c r="I281" s="20">
        <v>0</v>
      </c>
      <c r="J281" s="19">
        <f t="shared" si="28"/>
        <v>0</v>
      </c>
      <c r="K281" s="19">
        <f t="shared" si="29"/>
        <v>0</v>
      </c>
      <c r="L281" s="19">
        <v>-6.6E-4</v>
      </c>
      <c r="M281" s="19">
        <v>-2.64E-3</v>
      </c>
      <c r="N281" s="19">
        <v>-2.64E-3</v>
      </c>
      <c r="O281" s="19">
        <v>-2.6700000000000001E-3</v>
      </c>
      <c r="P281" s="19">
        <v>-2.7000000000000001E-3</v>
      </c>
      <c r="Q281" s="19"/>
      <c r="R281" s="19">
        <f t="shared" si="30"/>
        <v>0</v>
      </c>
      <c r="S281" s="19">
        <f t="shared" si="31"/>
        <v>0</v>
      </c>
      <c r="T281" s="19">
        <f t="shared" si="32"/>
        <v>0</v>
      </c>
      <c r="U281" s="19">
        <f t="shared" si="33"/>
        <v>0</v>
      </c>
      <c r="V281" s="21">
        <f t="shared" si="34"/>
        <v>0</v>
      </c>
    </row>
    <row r="282" spans="1:22" ht="13.5" x14ac:dyDescent="0.35">
      <c r="A282" s="18">
        <v>109252</v>
      </c>
      <c r="B282" s="19" t="s">
        <v>308</v>
      </c>
      <c r="C282" s="19">
        <v>2.4</v>
      </c>
      <c r="D282" s="19">
        <v>101</v>
      </c>
      <c r="E282" s="19">
        <v>704</v>
      </c>
      <c r="F282" s="19">
        <v>0</v>
      </c>
      <c r="G282" s="19">
        <v>0</v>
      </c>
      <c r="H282" s="19">
        <v>0</v>
      </c>
      <c r="I282" s="20">
        <v>0</v>
      </c>
      <c r="J282" s="19">
        <f t="shared" si="28"/>
        <v>0</v>
      </c>
      <c r="K282" s="19">
        <f t="shared" si="29"/>
        <v>0</v>
      </c>
      <c r="L282" s="19">
        <v>-6.6E-4</v>
      </c>
      <c r="M282" s="19">
        <v>2.1900000000000001E-3</v>
      </c>
      <c r="N282" s="19">
        <v>2.1900000000000001E-3</v>
      </c>
      <c r="O282" s="19">
        <v>2.16E-3</v>
      </c>
      <c r="P282" s="19">
        <v>2.1299999999999999E-3</v>
      </c>
      <c r="Q282" s="19"/>
      <c r="R282" s="19">
        <f t="shared" si="30"/>
        <v>0</v>
      </c>
      <c r="S282" s="19">
        <f t="shared" si="31"/>
        <v>0</v>
      </c>
      <c r="T282" s="19">
        <f t="shared" si="32"/>
        <v>0</v>
      </c>
      <c r="U282" s="19">
        <f t="shared" si="33"/>
        <v>0</v>
      </c>
      <c r="V282" s="21">
        <f t="shared" si="34"/>
        <v>0</v>
      </c>
    </row>
    <row r="283" spans="1:22" ht="13.5" x14ac:dyDescent="0.35">
      <c r="A283" s="18">
        <v>109253</v>
      </c>
      <c r="B283" s="19" t="s">
        <v>309</v>
      </c>
      <c r="C283" s="19">
        <v>2.2999999999999998</v>
      </c>
      <c r="D283" s="19">
        <v>101</v>
      </c>
      <c r="E283" s="19">
        <v>704</v>
      </c>
      <c r="F283" s="19">
        <v>0</v>
      </c>
      <c r="G283" s="19">
        <v>0</v>
      </c>
      <c r="H283" s="19">
        <v>0</v>
      </c>
      <c r="I283" s="20">
        <v>0</v>
      </c>
      <c r="J283" s="19">
        <f t="shared" si="28"/>
        <v>0</v>
      </c>
      <c r="K283" s="19">
        <f t="shared" si="29"/>
        <v>0</v>
      </c>
      <c r="L283" s="19">
        <v>-6.6E-4</v>
      </c>
      <c r="M283" s="19">
        <v>2.1900000000000001E-3</v>
      </c>
      <c r="N283" s="19">
        <v>2.1900000000000001E-3</v>
      </c>
      <c r="O283" s="19">
        <v>2.16E-3</v>
      </c>
      <c r="P283" s="19">
        <v>2.1299999999999999E-3</v>
      </c>
      <c r="Q283" s="19"/>
      <c r="R283" s="19">
        <f t="shared" si="30"/>
        <v>0</v>
      </c>
      <c r="S283" s="19">
        <f t="shared" si="31"/>
        <v>0</v>
      </c>
      <c r="T283" s="19">
        <f t="shared" si="32"/>
        <v>0</v>
      </c>
      <c r="U283" s="19">
        <f t="shared" si="33"/>
        <v>0</v>
      </c>
      <c r="V283" s="21">
        <f t="shared" si="34"/>
        <v>0</v>
      </c>
    </row>
    <row r="284" spans="1:22" ht="13.5" x14ac:dyDescent="0.35">
      <c r="A284" s="18">
        <v>109254</v>
      </c>
      <c r="B284" s="19" t="s">
        <v>310</v>
      </c>
      <c r="C284" s="19">
        <v>2.2999999999999998</v>
      </c>
      <c r="D284" s="19">
        <v>101</v>
      </c>
      <c r="E284" s="19">
        <v>704</v>
      </c>
      <c r="F284" s="19">
        <v>0</v>
      </c>
      <c r="G284" s="19">
        <v>0</v>
      </c>
      <c r="H284" s="19">
        <v>0</v>
      </c>
      <c r="I284" s="20">
        <v>0</v>
      </c>
      <c r="J284" s="19">
        <f t="shared" si="28"/>
        <v>0</v>
      </c>
      <c r="K284" s="19">
        <f t="shared" si="29"/>
        <v>0</v>
      </c>
      <c r="L284" s="19">
        <v>-6.6E-4</v>
      </c>
      <c r="M284" s="19">
        <v>2.1900000000000001E-3</v>
      </c>
      <c r="N284" s="19">
        <v>2.1900000000000001E-3</v>
      </c>
      <c r="O284" s="19">
        <v>2.16E-3</v>
      </c>
      <c r="P284" s="19">
        <v>2.1299999999999999E-3</v>
      </c>
      <c r="Q284" s="19"/>
      <c r="R284" s="19">
        <f t="shared" si="30"/>
        <v>0</v>
      </c>
      <c r="S284" s="19">
        <f t="shared" si="31"/>
        <v>0</v>
      </c>
      <c r="T284" s="19">
        <f t="shared" si="32"/>
        <v>0</v>
      </c>
      <c r="U284" s="19">
        <f t="shared" si="33"/>
        <v>0</v>
      </c>
      <c r="V284" s="21">
        <f t="shared" si="34"/>
        <v>0</v>
      </c>
    </row>
    <row r="285" spans="1:22" ht="13.5" x14ac:dyDescent="0.35">
      <c r="A285" s="18">
        <v>109277</v>
      </c>
      <c r="B285" s="19" t="s">
        <v>311</v>
      </c>
      <c r="C285" s="19">
        <v>4.16</v>
      </c>
      <c r="D285" s="19">
        <v>101</v>
      </c>
      <c r="E285" s="19">
        <v>704</v>
      </c>
      <c r="F285" s="19">
        <v>0</v>
      </c>
      <c r="G285" s="19">
        <v>0</v>
      </c>
      <c r="H285" s="19">
        <v>0</v>
      </c>
      <c r="I285" s="20">
        <v>0</v>
      </c>
      <c r="J285" s="19">
        <f t="shared" si="28"/>
        <v>0</v>
      </c>
      <c r="K285" s="19">
        <f t="shared" si="29"/>
        <v>0</v>
      </c>
      <c r="L285" s="19">
        <v>-6.6E-4</v>
      </c>
      <c r="M285" s="19">
        <v>1.72E-3</v>
      </c>
      <c r="N285" s="19">
        <v>1.72E-3</v>
      </c>
      <c r="O285" s="19">
        <v>1.6900000000000001E-3</v>
      </c>
      <c r="P285" s="19">
        <v>1.66E-3</v>
      </c>
      <c r="Q285" s="19"/>
      <c r="R285" s="19">
        <f t="shared" si="30"/>
        <v>0</v>
      </c>
      <c r="S285" s="19">
        <f t="shared" si="31"/>
        <v>0</v>
      </c>
      <c r="T285" s="19">
        <f t="shared" si="32"/>
        <v>0</v>
      </c>
      <c r="U285" s="19">
        <f t="shared" si="33"/>
        <v>0</v>
      </c>
      <c r="V285" s="21">
        <f t="shared" si="34"/>
        <v>0</v>
      </c>
    </row>
    <row r="286" spans="1:22" ht="13.5" x14ac:dyDescent="0.35">
      <c r="A286" s="18">
        <v>109280</v>
      </c>
      <c r="B286" s="19" t="s">
        <v>312</v>
      </c>
      <c r="C286" s="19">
        <v>4.16</v>
      </c>
      <c r="D286" s="19">
        <v>101</v>
      </c>
      <c r="E286" s="19">
        <v>704</v>
      </c>
      <c r="F286" s="19">
        <v>0</v>
      </c>
      <c r="G286" s="19">
        <v>0</v>
      </c>
      <c r="H286" s="19">
        <v>0</v>
      </c>
      <c r="I286" s="20">
        <v>0</v>
      </c>
      <c r="J286" s="19">
        <f t="shared" si="28"/>
        <v>0</v>
      </c>
      <c r="K286" s="19">
        <f t="shared" si="29"/>
        <v>0</v>
      </c>
      <c r="L286" s="19">
        <v>-6.6E-4</v>
      </c>
      <c r="M286" s="19">
        <v>1.2700000000000001E-3</v>
      </c>
      <c r="N286" s="19">
        <v>1.2700000000000001E-3</v>
      </c>
      <c r="O286" s="19">
        <v>1.24E-3</v>
      </c>
      <c r="P286" s="19">
        <v>1.2099999999999999E-3</v>
      </c>
      <c r="Q286" s="19"/>
      <c r="R286" s="19">
        <f t="shared" si="30"/>
        <v>0</v>
      </c>
      <c r="S286" s="19">
        <f t="shared" si="31"/>
        <v>0</v>
      </c>
      <c r="T286" s="19">
        <f t="shared" si="32"/>
        <v>0</v>
      </c>
      <c r="U286" s="19">
        <f t="shared" si="33"/>
        <v>0</v>
      </c>
      <c r="V286" s="21">
        <f t="shared" si="34"/>
        <v>0</v>
      </c>
    </row>
    <row r="287" spans="1:22" ht="13.5" x14ac:dyDescent="0.35">
      <c r="A287" s="18">
        <v>109281</v>
      </c>
      <c r="B287" s="19" t="s">
        <v>313</v>
      </c>
      <c r="C287" s="19">
        <v>4.16</v>
      </c>
      <c r="D287" s="19">
        <v>101</v>
      </c>
      <c r="E287" s="19">
        <v>704</v>
      </c>
      <c r="F287" s="19">
        <v>0</v>
      </c>
      <c r="G287" s="19">
        <v>0</v>
      </c>
      <c r="H287" s="19">
        <v>0</v>
      </c>
      <c r="I287" s="20">
        <v>0</v>
      </c>
      <c r="J287" s="19">
        <f t="shared" si="28"/>
        <v>0</v>
      </c>
      <c r="K287" s="19">
        <f t="shared" si="29"/>
        <v>0</v>
      </c>
      <c r="L287" s="19">
        <v>-6.6E-4</v>
      </c>
      <c r="M287" s="19">
        <v>1.2700000000000001E-3</v>
      </c>
      <c r="N287" s="19">
        <v>1.2700000000000001E-3</v>
      </c>
      <c r="O287" s="19">
        <v>1.24E-3</v>
      </c>
      <c r="P287" s="19">
        <v>1.2099999999999999E-3</v>
      </c>
      <c r="Q287" s="19"/>
      <c r="R287" s="19">
        <f t="shared" si="30"/>
        <v>0</v>
      </c>
      <c r="S287" s="19">
        <f t="shared" si="31"/>
        <v>0</v>
      </c>
      <c r="T287" s="19">
        <f t="shared" si="32"/>
        <v>0</v>
      </c>
      <c r="U287" s="19">
        <f t="shared" si="33"/>
        <v>0</v>
      </c>
      <c r="V287" s="21">
        <f t="shared" si="34"/>
        <v>0</v>
      </c>
    </row>
    <row r="288" spans="1:22" ht="13.5" x14ac:dyDescent="0.35">
      <c r="A288" s="18">
        <v>109282</v>
      </c>
      <c r="B288" s="19" t="s">
        <v>314</v>
      </c>
      <c r="C288" s="19">
        <v>4.16</v>
      </c>
      <c r="D288" s="19">
        <v>101</v>
      </c>
      <c r="E288" s="19">
        <v>704</v>
      </c>
      <c r="F288" s="19">
        <v>0</v>
      </c>
      <c r="G288" s="19">
        <v>0</v>
      </c>
      <c r="H288" s="19">
        <v>0</v>
      </c>
      <c r="I288" s="20">
        <v>0</v>
      </c>
      <c r="J288" s="19">
        <f t="shared" si="28"/>
        <v>0</v>
      </c>
      <c r="K288" s="19">
        <f t="shared" si="29"/>
        <v>0</v>
      </c>
      <c r="L288" s="19">
        <v>-6.6E-4</v>
      </c>
      <c r="M288" s="19">
        <v>1.2700000000000001E-3</v>
      </c>
      <c r="N288" s="19">
        <v>1.2700000000000001E-3</v>
      </c>
      <c r="O288" s="19">
        <v>1.24E-3</v>
      </c>
      <c r="P288" s="19">
        <v>1.2099999999999999E-3</v>
      </c>
      <c r="Q288" s="19"/>
      <c r="R288" s="19">
        <f t="shared" si="30"/>
        <v>0</v>
      </c>
      <c r="S288" s="19">
        <f t="shared" si="31"/>
        <v>0</v>
      </c>
      <c r="T288" s="19">
        <f t="shared" si="32"/>
        <v>0</v>
      </c>
      <c r="U288" s="19">
        <f t="shared" si="33"/>
        <v>0</v>
      </c>
      <c r="V288" s="21">
        <f t="shared" si="34"/>
        <v>0</v>
      </c>
    </row>
    <row r="289" spans="1:22" ht="13.5" x14ac:dyDescent="0.35">
      <c r="A289" s="18">
        <v>109296</v>
      </c>
      <c r="B289" s="19" t="s">
        <v>315</v>
      </c>
      <c r="C289" s="19">
        <v>12.5</v>
      </c>
      <c r="D289" s="19">
        <v>101</v>
      </c>
      <c r="E289" s="19">
        <v>704</v>
      </c>
      <c r="F289" s="19">
        <v>0</v>
      </c>
      <c r="G289" s="19">
        <v>0</v>
      </c>
      <c r="H289" s="19">
        <v>0</v>
      </c>
      <c r="I289" s="20">
        <v>0</v>
      </c>
      <c r="J289" s="19">
        <f t="shared" si="28"/>
        <v>0</v>
      </c>
      <c r="K289" s="19">
        <f t="shared" si="29"/>
        <v>0</v>
      </c>
      <c r="L289" s="19">
        <v>-6.6E-4</v>
      </c>
      <c r="M289" s="19">
        <v>-1.7600000000000001E-3</v>
      </c>
      <c r="N289" s="19">
        <v>-1.7600000000000001E-3</v>
      </c>
      <c r="O289" s="19">
        <v>-1.8E-3</v>
      </c>
      <c r="P289" s="19">
        <v>-1.82E-3</v>
      </c>
      <c r="Q289" s="19"/>
      <c r="R289" s="19">
        <f t="shared" si="30"/>
        <v>0</v>
      </c>
      <c r="S289" s="19">
        <f t="shared" si="31"/>
        <v>0</v>
      </c>
      <c r="T289" s="19">
        <f t="shared" si="32"/>
        <v>0</v>
      </c>
      <c r="U289" s="19">
        <f t="shared" si="33"/>
        <v>0</v>
      </c>
      <c r="V289" s="21">
        <f t="shared" si="34"/>
        <v>0</v>
      </c>
    </row>
    <row r="290" spans="1:22" ht="13.5" x14ac:dyDescent="0.35">
      <c r="A290" s="18">
        <v>109297</v>
      </c>
      <c r="B290" s="19" t="s">
        <v>316</v>
      </c>
      <c r="C290" s="19">
        <v>12.5</v>
      </c>
      <c r="D290" s="19">
        <v>101</v>
      </c>
      <c r="E290" s="19">
        <v>704</v>
      </c>
      <c r="F290" s="19">
        <v>0</v>
      </c>
      <c r="G290" s="19">
        <v>0</v>
      </c>
      <c r="H290" s="19">
        <v>0</v>
      </c>
      <c r="I290" s="20">
        <v>0</v>
      </c>
      <c r="J290" s="19">
        <f t="shared" si="28"/>
        <v>0</v>
      </c>
      <c r="K290" s="19">
        <f t="shared" si="29"/>
        <v>0</v>
      </c>
      <c r="L290" s="19">
        <v>-6.6E-4</v>
      </c>
      <c r="M290" s="19">
        <v>-1.7600000000000001E-3</v>
      </c>
      <c r="N290" s="19">
        <v>-1.7600000000000001E-3</v>
      </c>
      <c r="O290" s="19">
        <v>-1.8E-3</v>
      </c>
      <c r="P290" s="19">
        <v>-1.82E-3</v>
      </c>
      <c r="Q290" s="19"/>
      <c r="R290" s="19">
        <f t="shared" si="30"/>
        <v>0</v>
      </c>
      <c r="S290" s="19">
        <f t="shared" si="31"/>
        <v>0</v>
      </c>
      <c r="T290" s="19">
        <f t="shared" si="32"/>
        <v>0</v>
      </c>
      <c r="U290" s="19">
        <f t="shared" si="33"/>
        <v>0</v>
      </c>
      <c r="V290" s="21">
        <f t="shared" si="34"/>
        <v>0</v>
      </c>
    </row>
    <row r="291" spans="1:22" ht="13.5" x14ac:dyDescent="0.35">
      <c r="A291" s="18">
        <v>109321</v>
      </c>
      <c r="B291" s="19" t="s">
        <v>317</v>
      </c>
      <c r="C291" s="19">
        <v>13.8</v>
      </c>
      <c r="D291" s="19">
        <v>101</v>
      </c>
      <c r="E291" s="19">
        <v>704</v>
      </c>
      <c r="F291" s="19">
        <v>0</v>
      </c>
      <c r="G291" s="19">
        <v>0</v>
      </c>
      <c r="H291" s="19">
        <v>0</v>
      </c>
      <c r="I291" s="20">
        <v>0</v>
      </c>
      <c r="J291" s="19">
        <f t="shared" si="28"/>
        <v>0</v>
      </c>
      <c r="K291" s="19">
        <f t="shared" si="29"/>
        <v>0</v>
      </c>
      <c r="L291" s="19">
        <v>-6.6E-4</v>
      </c>
      <c r="M291" s="19">
        <v>1.6199999999999999E-3</v>
      </c>
      <c r="N291" s="19">
        <v>1.6199999999999999E-3</v>
      </c>
      <c r="O291" s="19">
        <v>1.5900000000000001E-3</v>
      </c>
      <c r="P291" s="19">
        <v>1.56E-3</v>
      </c>
      <c r="Q291" s="19"/>
      <c r="R291" s="19">
        <f t="shared" si="30"/>
        <v>0</v>
      </c>
      <c r="S291" s="19">
        <f t="shared" si="31"/>
        <v>0</v>
      </c>
      <c r="T291" s="19">
        <f t="shared" si="32"/>
        <v>0</v>
      </c>
      <c r="U291" s="19">
        <f t="shared" si="33"/>
        <v>0</v>
      </c>
      <c r="V291" s="21">
        <f t="shared" si="34"/>
        <v>0</v>
      </c>
    </row>
    <row r="292" spans="1:22" ht="13.5" x14ac:dyDescent="0.35">
      <c r="A292" s="18">
        <v>109403</v>
      </c>
      <c r="B292" s="19" t="s">
        <v>318</v>
      </c>
      <c r="C292" s="19">
        <v>0.69</v>
      </c>
      <c r="D292" s="19">
        <v>101</v>
      </c>
      <c r="E292" s="19">
        <v>704</v>
      </c>
      <c r="F292" s="19">
        <v>0</v>
      </c>
      <c r="G292" s="19">
        <v>0</v>
      </c>
      <c r="H292" s="19">
        <v>0</v>
      </c>
      <c r="I292" s="20">
        <v>0</v>
      </c>
      <c r="J292" s="19">
        <f t="shared" si="28"/>
        <v>0</v>
      </c>
      <c r="K292" s="19">
        <f t="shared" si="29"/>
        <v>0</v>
      </c>
      <c r="L292" s="19">
        <v>-6.6E-4</v>
      </c>
      <c r="M292" s="19">
        <v>-1.7700000000000001E-3</v>
      </c>
      <c r="N292" s="19">
        <v>-1.7700000000000001E-3</v>
      </c>
      <c r="O292" s="19">
        <v>-1.8E-3</v>
      </c>
      <c r="P292" s="19">
        <v>-1.82E-3</v>
      </c>
      <c r="Q292" s="19"/>
      <c r="R292" s="19">
        <f t="shared" si="30"/>
        <v>0</v>
      </c>
      <c r="S292" s="19">
        <f t="shared" si="31"/>
        <v>0</v>
      </c>
      <c r="T292" s="19">
        <f t="shared" si="32"/>
        <v>0</v>
      </c>
      <c r="U292" s="19">
        <f t="shared" si="33"/>
        <v>0</v>
      </c>
      <c r="V292" s="21">
        <f t="shared" si="34"/>
        <v>0</v>
      </c>
    </row>
    <row r="293" spans="1:22" ht="13.5" x14ac:dyDescent="0.35">
      <c r="A293" s="18">
        <v>109404</v>
      </c>
      <c r="B293" s="19" t="s">
        <v>319</v>
      </c>
      <c r="C293" s="19">
        <v>0.69</v>
      </c>
      <c r="D293" s="19">
        <v>101</v>
      </c>
      <c r="E293" s="19">
        <v>704</v>
      </c>
      <c r="F293" s="19">
        <v>0</v>
      </c>
      <c r="G293" s="19">
        <v>0</v>
      </c>
      <c r="H293" s="19">
        <v>0</v>
      </c>
      <c r="I293" s="20">
        <v>0</v>
      </c>
      <c r="J293" s="19">
        <f t="shared" si="28"/>
        <v>0</v>
      </c>
      <c r="K293" s="19">
        <f t="shared" si="29"/>
        <v>0</v>
      </c>
      <c r="L293" s="19">
        <v>-6.6E-4</v>
      </c>
      <c r="M293" s="19">
        <v>-1.7700000000000001E-3</v>
      </c>
      <c r="N293" s="19">
        <v>-1.7700000000000001E-3</v>
      </c>
      <c r="O293" s="19">
        <v>-1.8E-3</v>
      </c>
      <c r="P293" s="19">
        <v>-1.82E-3</v>
      </c>
      <c r="Q293" s="19"/>
      <c r="R293" s="19">
        <f t="shared" si="30"/>
        <v>0</v>
      </c>
      <c r="S293" s="19">
        <f t="shared" si="31"/>
        <v>0</v>
      </c>
      <c r="T293" s="19">
        <f t="shared" si="32"/>
        <v>0</v>
      </c>
      <c r="U293" s="19">
        <f t="shared" si="33"/>
        <v>0</v>
      </c>
      <c r="V293" s="21">
        <f t="shared" si="34"/>
        <v>0</v>
      </c>
    </row>
    <row r="294" spans="1:22" ht="13.5" x14ac:dyDescent="0.35">
      <c r="A294" s="18">
        <v>109503</v>
      </c>
      <c r="B294" s="19" t="s">
        <v>320</v>
      </c>
      <c r="C294" s="19">
        <v>6.9</v>
      </c>
      <c r="D294" s="19">
        <v>101</v>
      </c>
      <c r="E294" s="19">
        <v>1100</v>
      </c>
      <c r="F294" s="19">
        <v>0</v>
      </c>
      <c r="G294" s="19">
        <v>0</v>
      </c>
      <c r="H294" s="19">
        <v>0</v>
      </c>
      <c r="I294" s="20">
        <v>0</v>
      </c>
      <c r="J294" s="19">
        <f t="shared" si="28"/>
        <v>0</v>
      </c>
      <c r="K294" s="19">
        <f t="shared" si="29"/>
        <v>0</v>
      </c>
      <c r="L294" s="19">
        <v>-6.6E-4</v>
      </c>
      <c r="M294" s="19">
        <v>-1.74E-3</v>
      </c>
      <c r="N294" s="19">
        <v>-1.74E-3</v>
      </c>
      <c r="O294" s="19">
        <v>-1.7700000000000001E-3</v>
      </c>
      <c r="P294" s="19">
        <v>-1.8E-3</v>
      </c>
      <c r="Q294" s="19"/>
      <c r="R294" s="19">
        <f t="shared" si="30"/>
        <v>0</v>
      </c>
      <c r="S294" s="19">
        <f t="shared" si="31"/>
        <v>0</v>
      </c>
      <c r="T294" s="19">
        <f t="shared" si="32"/>
        <v>0</v>
      </c>
      <c r="U294" s="19">
        <f t="shared" si="33"/>
        <v>0</v>
      </c>
      <c r="V294" s="21">
        <f t="shared" si="34"/>
        <v>0</v>
      </c>
    </row>
    <row r="295" spans="1:22" ht="13.5" x14ac:dyDescent="0.35">
      <c r="A295" s="18">
        <v>109504</v>
      </c>
      <c r="B295" s="19" t="s">
        <v>321</v>
      </c>
      <c r="C295" s="19">
        <v>6.9</v>
      </c>
      <c r="D295" s="19">
        <v>101</v>
      </c>
      <c r="E295" s="19">
        <v>1100</v>
      </c>
      <c r="F295" s="19">
        <v>13.71</v>
      </c>
      <c r="G295" s="19">
        <v>0</v>
      </c>
      <c r="H295" s="19">
        <v>13.71</v>
      </c>
      <c r="I295" s="20">
        <v>13.71</v>
      </c>
      <c r="J295" s="19">
        <f t="shared" si="28"/>
        <v>0</v>
      </c>
      <c r="K295" s="19">
        <f t="shared" si="29"/>
        <v>0</v>
      </c>
      <c r="L295" s="19">
        <v>-6.6E-4</v>
      </c>
      <c r="M295" s="19">
        <v>-1.75E-3</v>
      </c>
      <c r="N295" s="19">
        <v>-1.75E-3</v>
      </c>
      <c r="O295" s="19">
        <v>-1.7799999999999999E-3</v>
      </c>
      <c r="P295" s="19">
        <v>-1.81E-3</v>
      </c>
      <c r="Q295" s="19"/>
      <c r="R295" s="19">
        <f t="shared" si="30"/>
        <v>0</v>
      </c>
      <c r="S295" s="19">
        <f t="shared" si="31"/>
        <v>0</v>
      </c>
      <c r="T295" s="19">
        <f t="shared" si="32"/>
        <v>0</v>
      </c>
      <c r="U295" s="19">
        <f t="shared" si="33"/>
        <v>0</v>
      </c>
      <c r="V295" s="21">
        <f t="shared" si="34"/>
        <v>0</v>
      </c>
    </row>
    <row r="296" spans="1:22" ht="13.5" x14ac:dyDescent="0.35">
      <c r="A296" s="18">
        <v>109505</v>
      </c>
      <c r="B296" s="19" t="s">
        <v>322</v>
      </c>
      <c r="C296" s="19">
        <v>6.9</v>
      </c>
      <c r="D296" s="19">
        <v>101</v>
      </c>
      <c r="E296" s="19">
        <v>1100</v>
      </c>
      <c r="F296" s="19">
        <v>13.71</v>
      </c>
      <c r="G296" s="19">
        <v>0</v>
      </c>
      <c r="H296" s="19">
        <v>13.71</v>
      </c>
      <c r="I296" s="20">
        <v>13.71</v>
      </c>
      <c r="J296" s="19">
        <f t="shared" si="28"/>
        <v>0</v>
      </c>
      <c r="K296" s="19">
        <f t="shared" si="29"/>
        <v>0</v>
      </c>
      <c r="L296" s="19">
        <v>-6.6E-4</v>
      </c>
      <c r="M296" s="19">
        <v>-1.75E-3</v>
      </c>
      <c r="N296" s="19">
        <v>-1.75E-3</v>
      </c>
      <c r="O296" s="19">
        <v>-1.7799999999999999E-3</v>
      </c>
      <c r="P296" s="19">
        <v>-1.81E-3</v>
      </c>
      <c r="Q296" s="19"/>
      <c r="R296" s="19">
        <f t="shared" si="30"/>
        <v>0</v>
      </c>
      <c r="S296" s="19">
        <f t="shared" si="31"/>
        <v>0</v>
      </c>
      <c r="T296" s="19">
        <f t="shared" si="32"/>
        <v>0</v>
      </c>
      <c r="U296" s="19">
        <f t="shared" si="33"/>
        <v>0</v>
      </c>
      <c r="V296" s="21">
        <f t="shared" si="34"/>
        <v>0</v>
      </c>
    </row>
    <row r="297" spans="1:22" ht="13.5" x14ac:dyDescent="0.35">
      <c r="A297" s="18">
        <v>109517</v>
      </c>
      <c r="B297" s="19" t="s">
        <v>323</v>
      </c>
      <c r="C297" s="19">
        <v>2.4</v>
      </c>
      <c r="D297" s="19">
        <v>101</v>
      </c>
      <c r="E297" s="19">
        <v>1100</v>
      </c>
      <c r="F297" s="19">
        <v>0</v>
      </c>
      <c r="G297" s="19">
        <v>0</v>
      </c>
      <c r="H297" s="19">
        <v>0</v>
      </c>
      <c r="I297" s="20">
        <v>0</v>
      </c>
      <c r="J297" s="19">
        <f t="shared" si="28"/>
        <v>0</v>
      </c>
      <c r="K297" s="19">
        <f t="shared" si="29"/>
        <v>0</v>
      </c>
      <c r="L297" s="19">
        <v>-6.6E-4</v>
      </c>
      <c r="M297" s="19">
        <v>-1.7600000000000001E-3</v>
      </c>
      <c r="N297" s="19">
        <v>-1.7600000000000001E-3</v>
      </c>
      <c r="O297" s="19">
        <v>-1.7899999999999999E-3</v>
      </c>
      <c r="P297" s="19">
        <v>-1.82E-3</v>
      </c>
      <c r="Q297" s="19"/>
      <c r="R297" s="19">
        <f t="shared" si="30"/>
        <v>0</v>
      </c>
      <c r="S297" s="19">
        <f t="shared" si="31"/>
        <v>0</v>
      </c>
      <c r="T297" s="19">
        <f t="shared" si="32"/>
        <v>0</v>
      </c>
      <c r="U297" s="19">
        <f t="shared" si="33"/>
        <v>0</v>
      </c>
      <c r="V297" s="21">
        <f t="shared" si="34"/>
        <v>0</v>
      </c>
    </row>
    <row r="298" spans="1:22" ht="13.5" x14ac:dyDescent="0.35">
      <c r="A298" s="18">
        <v>109529</v>
      </c>
      <c r="B298" s="19" t="s">
        <v>324</v>
      </c>
      <c r="C298" s="19">
        <v>2.4</v>
      </c>
      <c r="D298" s="19">
        <v>101</v>
      </c>
      <c r="E298" s="19">
        <v>1100</v>
      </c>
      <c r="F298" s="19">
        <v>0</v>
      </c>
      <c r="G298" s="19">
        <v>0</v>
      </c>
      <c r="H298" s="19">
        <v>0</v>
      </c>
      <c r="I298" s="20">
        <v>0</v>
      </c>
      <c r="J298" s="19">
        <f t="shared" si="28"/>
        <v>0</v>
      </c>
      <c r="K298" s="19">
        <f t="shared" si="29"/>
        <v>0</v>
      </c>
      <c r="L298" s="19">
        <v>-6.6E-4</v>
      </c>
      <c r="M298" s="19">
        <v>-9.2000000000000003E-4</v>
      </c>
      <c r="N298" s="19">
        <v>-9.2000000000000003E-4</v>
      </c>
      <c r="O298" s="19">
        <v>-9.6000000000000002E-4</v>
      </c>
      <c r="P298" s="19">
        <v>-9.7999999999999997E-4</v>
      </c>
      <c r="Q298" s="19"/>
      <c r="R298" s="19">
        <f t="shared" si="30"/>
        <v>0</v>
      </c>
      <c r="S298" s="19">
        <f t="shared" si="31"/>
        <v>0</v>
      </c>
      <c r="T298" s="19">
        <f t="shared" si="32"/>
        <v>0</v>
      </c>
      <c r="U298" s="19">
        <f t="shared" si="33"/>
        <v>0</v>
      </c>
      <c r="V298" s="21">
        <f t="shared" si="34"/>
        <v>0</v>
      </c>
    </row>
    <row r="299" spans="1:22" ht="13.5" x14ac:dyDescent="0.35">
      <c r="A299" s="18">
        <v>109530</v>
      </c>
      <c r="B299" s="19" t="s">
        <v>325</v>
      </c>
      <c r="C299" s="19">
        <v>2.4</v>
      </c>
      <c r="D299" s="19">
        <v>101</v>
      </c>
      <c r="E299" s="19">
        <v>1100</v>
      </c>
      <c r="F299" s="19">
        <v>0</v>
      </c>
      <c r="G299" s="19">
        <v>0</v>
      </c>
      <c r="H299" s="19">
        <v>0</v>
      </c>
      <c r="I299" s="20">
        <v>0</v>
      </c>
      <c r="J299" s="19">
        <f t="shared" si="28"/>
        <v>0</v>
      </c>
      <c r="K299" s="19">
        <f t="shared" si="29"/>
        <v>0</v>
      </c>
      <c r="L299" s="19">
        <v>-6.6E-4</v>
      </c>
      <c r="M299" s="19">
        <v>-9.2000000000000003E-4</v>
      </c>
      <c r="N299" s="19">
        <v>-9.2000000000000003E-4</v>
      </c>
      <c r="O299" s="19">
        <v>-9.6000000000000002E-4</v>
      </c>
      <c r="P299" s="19">
        <v>-9.7999999999999997E-4</v>
      </c>
      <c r="Q299" s="19"/>
      <c r="R299" s="19">
        <f t="shared" si="30"/>
        <v>0</v>
      </c>
      <c r="S299" s="19">
        <f t="shared" si="31"/>
        <v>0</v>
      </c>
      <c r="T299" s="19">
        <f t="shared" si="32"/>
        <v>0</v>
      </c>
      <c r="U299" s="19">
        <f t="shared" si="33"/>
        <v>0</v>
      </c>
      <c r="V299" s="21">
        <f t="shared" si="34"/>
        <v>0</v>
      </c>
    </row>
    <row r="300" spans="1:22" ht="13.5" x14ac:dyDescent="0.35">
      <c r="A300" s="18">
        <v>109531</v>
      </c>
      <c r="B300" s="19" t="s">
        <v>326</v>
      </c>
      <c r="C300" s="19">
        <v>13.8</v>
      </c>
      <c r="D300" s="19">
        <v>101</v>
      </c>
      <c r="E300" s="19">
        <v>1100</v>
      </c>
      <c r="F300" s="19">
        <v>0</v>
      </c>
      <c r="G300" s="19">
        <v>0</v>
      </c>
      <c r="H300" s="19">
        <v>0</v>
      </c>
      <c r="I300" s="20">
        <v>0</v>
      </c>
      <c r="J300" s="19">
        <f t="shared" si="28"/>
        <v>0</v>
      </c>
      <c r="K300" s="19">
        <f t="shared" si="29"/>
        <v>0</v>
      </c>
      <c r="L300" s="19">
        <v>-6.6E-4</v>
      </c>
      <c r="M300" s="19">
        <v>-9.2000000000000003E-4</v>
      </c>
      <c r="N300" s="19">
        <v>-9.2000000000000003E-4</v>
      </c>
      <c r="O300" s="19">
        <v>-9.6000000000000002E-4</v>
      </c>
      <c r="P300" s="19">
        <v>-9.7999999999999997E-4</v>
      </c>
      <c r="Q300" s="19"/>
      <c r="R300" s="19">
        <f t="shared" si="30"/>
        <v>0</v>
      </c>
      <c r="S300" s="19">
        <f t="shared" si="31"/>
        <v>0</v>
      </c>
      <c r="T300" s="19">
        <f t="shared" si="32"/>
        <v>0</v>
      </c>
      <c r="U300" s="19">
        <f t="shared" si="33"/>
        <v>0</v>
      </c>
      <c r="V300" s="21">
        <f t="shared" si="34"/>
        <v>0</v>
      </c>
    </row>
    <row r="301" spans="1:22" ht="13.5" x14ac:dyDescent="0.35">
      <c r="A301" s="18">
        <v>109532</v>
      </c>
      <c r="B301" s="19" t="s">
        <v>327</v>
      </c>
      <c r="C301" s="19">
        <v>13.8</v>
      </c>
      <c r="D301" s="19">
        <v>101</v>
      </c>
      <c r="E301" s="19">
        <v>1100</v>
      </c>
      <c r="F301" s="19">
        <v>0</v>
      </c>
      <c r="G301" s="19">
        <v>0</v>
      </c>
      <c r="H301" s="19">
        <v>0</v>
      </c>
      <c r="I301" s="20">
        <v>0</v>
      </c>
      <c r="J301" s="19">
        <f t="shared" si="28"/>
        <v>0</v>
      </c>
      <c r="K301" s="19">
        <f t="shared" si="29"/>
        <v>0</v>
      </c>
      <c r="L301" s="19">
        <v>-6.6E-4</v>
      </c>
      <c r="M301" s="19">
        <v>-9.2000000000000003E-4</v>
      </c>
      <c r="N301" s="19">
        <v>-9.2000000000000003E-4</v>
      </c>
      <c r="O301" s="19">
        <v>-9.6000000000000002E-4</v>
      </c>
      <c r="P301" s="19">
        <v>-9.7999999999999997E-4</v>
      </c>
      <c r="Q301" s="19"/>
      <c r="R301" s="19">
        <f t="shared" si="30"/>
        <v>0</v>
      </c>
      <c r="S301" s="19">
        <f t="shared" si="31"/>
        <v>0</v>
      </c>
      <c r="T301" s="19">
        <f t="shared" si="32"/>
        <v>0</v>
      </c>
      <c r="U301" s="19">
        <f t="shared" si="33"/>
        <v>0</v>
      </c>
      <c r="V301" s="21">
        <f t="shared" si="34"/>
        <v>0</v>
      </c>
    </row>
    <row r="302" spans="1:22" ht="13.5" x14ac:dyDescent="0.35">
      <c r="A302" s="18">
        <v>109550</v>
      </c>
      <c r="B302" s="19" t="s">
        <v>328</v>
      </c>
      <c r="C302" s="19">
        <v>6.9</v>
      </c>
      <c r="D302" s="19">
        <v>101</v>
      </c>
      <c r="E302" s="19">
        <v>400</v>
      </c>
      <c r="F302" s="19">
        <v>49</v>
      </c>
      <c r="G302" s="19">
        <v>0</v>
      </c>
      <c r="H302" s="19">
        <v>49</v>
      </c>
      <c r="I302" s="20">
        <v>49</v>
      </c>
      <c r="J302" s="19">
        <f t="shared" si="28"/>
        <v>0</v>
      </c>
      <c r="K302" s="19">
        <f t="shared" si="29"/>
        <v>0</v>
      </c>
      <c r="L302" s="19">
        <v>-6.6E-4</v>
      </c>
      <c r="M302" s="19">
        <v>7.3999999999999999E-4</v>
      </c>
      <c r="N302" s="19">
        <v>7.3999999999999999E-4</v>
      </c>
      <c r="O302" s="19">
        <v>7.1000000000000002E-4</v>
      </c>
      <c r="P302" s="19">
        <v>6.8999999999999997E-4</v>
      </c>
      <c r="Q302" s="19"/>
      <c r="R302" s="19">
        <f t="shared" si="30"/>
        <v>0</v>
      </c>
      <c r="S302" s="19">
        <f t="shared" si="31"/>
        <v>0</v>
      </c>
      <c r="T302" s="19">
        <f t="shared" si="32"/>
        <v>0</v>
      </c>
      <c r="U302" s="19">
        <f t="shared" si="33"/>
        <v>0</v>
      </c>
      <c r="V302" s="21">
        <f t="shared" si="34"/>
        <v>0</v>
      </c>
    </row>
    <row r="303" spans="1:22" ht="13.5" x14ac:dyDescent="0.35">
      <c r="A303" s="18">
        <v>109573</v>
      </c>
      <c r="B303" s="19" t="s">
        <v>329</v>
      </c>
      <c r="C303" s="19">
        <v>13.8</v>
      </c>
      <c r="D303" s="19">
        <v>101</v>
      </c>
      <c r="E303" s="19">
        <v>400</v>
      </c>
      <c r="F303" s="19">
        <v>39.06</v>
      </c>
      <c r="G303" s="19">
        <v>0</v>
      </c>
      <c r="H303" s="19">
        <v>39.06</v>
      </c>
      <c r="I303" s="20">
        <v>39.06</v>
      </c>
      <c r="J303" s="19">
        <f t="shared" si="28"/>
        <v>0</v>
      </c>
      <c r="K303" s="19">
        <f t="shared" si="29"/>
        <v>0</v>
      </c>
      <c r="L303" s="19">
        <v>-6.6E-4</v>
      </c>
      <c r="M303" s="19">
        <v>1.23E-3</v>
      </c>
      <c r="N303" s="19">
        <v>1.23E-3</v>
      </c>
      <c r="O303" s="19">
        <v>1.1999999999999999E-3</v>
      </c>
      <c r="P303" s="19">
        <v>1.17E-3</v>
      </c>
      <c r="Q303" s="19"/>
      <c r="R303" s="19">
        <f t="shared" si="30"/>
        <v>0</v>
      </c>
      <c r="S303" s="19">
        <f t="shared" si="31"/>
        <v>0</v>
      </c>
      <c r="T303" s="19">
        <f t="shared" si="32"/>
        <v>0</v>
      </c>
      <c r="U303" s="19">
        <f t="shared" si="33"/>
        <v>0</v>
      </c>
      <c r="V303" s="21">
        <f t="shared" si="34"/>
        <v>0</v>
      </c>
    </row>
    <row r="304" spans="1:22" ht="13.5" x14ac:dyDescent="0.35">
      <c r="A304" s="18">
        <v>110950</v>
      </c>
      <c r="B304" s="19" t="s">
        <v>330</v>
      </c>
      <c r="C304" s="19">
        <v>13.8</v>
      </c>
      <c r="D304" s="19">
        <v>101</v>
      </c>
      <c r="E304" s="19">
        <v>1023</v>
      </c>
      <c r="F304" s="19">
        <v>0</v>
      </c>
      <c r="G304" s="19">
        <v>0</v>
      </c>
      <c r="H304" s="19">
        <v>0</v>
      </c>
      <c r="I304" s="20">
        <v>0</v>
      </c>
      <c r="J304" s="19">
        <f t="shared" si="28"/>
        <v>0</v>
      </c>
      <c r="K304" s="19">
        <f t="shared" si="29"/>
        <v>0</v>
      </c>
      <c r="L304" s="19">
        <v>-6.6E-4</v>
      </c>
      <c r="M304" s="19">
        <v>4.5900000000000003E-3</v>
      </c>
      <c r="N304" s="19">
        <v>4.5900000000000003E-3</v>
      </c>
      <c r="O304" s="19">
        <v>4.5599999999999998E-3</v>
      </c>
      <c r="P304" s="19">
        <v>4.5399999999999998E-3</v>
      </c>
      <c r="Q304" s="19"/>
      <c r="R304" s="19">
        <f t="shared" si="30"/>
        <v>0</v>
      </c>
      <c r="S304" s="19">
        <f t="shared" si="31"/>
        <v>0</v>
      </c>
      <c r="T304" s="19">
        <f t="shared" si="32"/>
        <v>0</v>
      </c>
      <c r="U304" s="19">
        <f t="shared" si="33"/>
        <v>0</v>
      </c>
      <c r="V304" s="21">
        <f t="shared" si="34"/>
        <v>0</v>
      </c>
    </row>
    <row r="305" spans="1:22" ht="13.5" x14ac:dyDescent="0.35">
      <c r="A305" s="18">
        <v>110951</v>
      </c>
      <c r="B305" s="19" t="s">
        <v>331</v>
      </c>
      <c r="C305" s="19">
        <v>13.8</v>
      </c>
      <c r="D305" s="19">
        <v>101</v>
      </c>
      <c r="E305" s="19">
        <v>1023</v>
      </c>
      <c r="F305" s="19">
        <v>0</v>
      </c>
      <c r="G305" s="19">
        <v>0</v>
      </c>
      <c r="H305" s="19">
        <v>0</v>
      </c>
      <c r="I305" s="20">
        <v>0</v>
      </c>
      <c r="J305" s="19">
        <f t="shared" si="28"/>
        <v>0</v>
      </c>
      <c r="K305" s="19">
        <f t="shared" si="29"/>
        <v>0</v>
      </c>
      <c r="L305" s="19">
        <v>-6.6E-4</v>
      </c>
      <c r="M305" s="19">
        <v>4.5900000000000003E-3</v>
      </c>
      <c r="N305" s="19">
        <v>4.5900000000000003E-3</v>
      </c>
      <c r="O305" s="19">
        <v>4.5599999999999998E-3</v>
      </c>
      <c r="P305" s="19">
        <v>4.5399999999999998E-3</v>
      </c>
      <c r="Q305" s="19"/>
      <c r="R305" s="19">
        <f t="shared" si="30"/>
        <v>0</v>
      </c>
      <c r="S305" s="19">
        <f t="shared" si="31"/>
        <v>0</v>
      </c>
      <c r="T305" s="19">
        <f t="shared" si="32"/>
        <v>0</v>
      </c>
      <c r="U305" s="19">
        <f t="shared" si="33"/>
        <v>0</v>
      </c>
      <c r="V305" s="21">
        <f t="shared" si="34"/>
        <v>0</v>
      </c>
    </row>
    <row r="306" spans="1:22" ht="13.5" x14ac:dyDescent="0.35">
      <c r="A306" s="18">
        <v>110983</v>
      </c>
      <c r="B306" s="19" t="s">
        <v>332</v>
      </c>
      <c r="C306" s="19">
        <v>13.8</v>
      </c>
      <c r="D306" s="19">
        <v>101</v>
      </c>
      <c r="E306" s="19">
        <v>1004</v>
      </c>
      <c r="F306" s="19">
        <v>19.350000000000001</v>
      </c>
      <c r="G306" s="19">
        <v>0</v>
      </c>
      <c r="H306" s="19">
        <v>19.350000000000001</v>
      </c>
      <c r="I306" s="20">
        <v>19.350000000000001</v>
      </c>
      <c r="J306" s="19">
        <f t="shared" si="28"/>
        <v>0</v>
      </c>
      <c r="K306" s="19">
        <f t="shared" si="29"/>
        <v>0</v>
      </c>
      <c r="L306" s="19">
        <v>-6.6E-4</v>
      </c>
      <c r="M306" s="19">
        <v>6.6299999999999996E-3</v>
      </c>
      <c r="N306" s="19">
        <v>6.6299999999999996E-3</v>
      </c>
      <c r="O306" s="19">
        <v>6.6E-3</v>
      </c>
      <c r="P306" s="19">
        <v>6.5700000000000003E-3</v>
      </c>
      <c r="Q306" s="19"/>
      <c r="R306" s="19">
        <f t="shared" si="30"/>
        <v>0</v>
      </c>
      <c r="S306" s="19">
        <f t="shared" si="31"/>
        <v>0</v>
      </c>
      <c r="T306" s="19">
        <f t="shared" si="32"/>
        <v>0</v>
      </c>
      <c r="U306" s="19">
        <f t="shared" si="33"/>
        <v>0</v>
      </c>
      <c r="V306" s="21">
        <f t="shared" si="34"/>
        <v>0</v>
      </c>
    </row>
    <row r="307" spans="1:22" ht="13.5" x14ac:dyDescent="0.35">
      <c r="A307" s="18">
        <v>110984</v>
      </c>
      <c r="B307" s="19" t="s">
        <v>333</v>
      </c>
      <c r="C307" s="19">
        <v>13.8</v>
      </c>
      <c r="D307" s="19">
        <v>101</v>
      </c>
      <c r="E307" s="19">
        <v>1004</v>
      </c>
      <c r="F307" s="19">
        <v>57.1</v>
      </c>
      <c r="G307" s="19">
        <v>0</v>
      </c>
      <c r="H307" s="19">
        <v>57.1</v>
      </c>
      <c r="I307" s="20">
        <v>57.1</v>
      </c>
      <c r="J307" s="19">
        <f t="shared" si="28"/>
        <v>0</v>
      </c>
      <c r="K307" s="19">
        <f t="shared" si="29"/>
        <v>0</v>
      </c>
      <c r="L307" s="19">
        <v>-6.6E-4</v>
      </c>
      <c r="M307" s="19">
        <v>6.6299999999999996E-3</v>
      </c>
      <c r="N307" s="19">
        <v>6.6299999999999996E-3</v>
      </c>
      <c r="O307" s="19">
        <v>6.6E-3</v>
      </c>
      <c r="P307" s="19">
        <v>6.5700000000000003E-3</v>
      </c>
      <c r="Q307" s="19"/>
      <c r="R307" s="19">
        <f t="shared" si="30"/>
        <v>0</v>
      </c>
      <c r="S307" s="19">
        <f t="shared" si="31"/>
        <v>0</v>
      </c>
      <c r="T307" s="19">
        <f t="shared" si="32"/>
        <v>0</v>
      </c>
      <c r="U307" s="19">
        <f t="shared" si="33"/>
        <v>0</v>
      </c>
      <c r="V307" s="21">
        <f t="shared" si="34"/>
        <v>0</v>
      </c>
    </row>
    <row r="308" spans="1:22" ht="13.5" x14ac:dyDescent="0.35">
      <c r="A308" s="18">
        <v>110985</v>
      </c>
      <c r="B308" s="19" t="s">
        <v>334</v>
      </c>
      <c r="C308" s="19">
        <v>13.8</v>
      </c>
      <c r="D308" s="19">
        <v>101</v>
      </c>
      <c r="E308" s="19">
        <v>1004</v>
      </c>
      <c r="F308" s="19">
        <v>19.350000000000001</v>
      </c>
      <c r="G308" s="19">
        <v>0</v>
      </c>
      <c r="H308" s="19">
        <v>19.350000000000001</v>
      </c>
      <c r="I308" s="20">
        <v>19.350000000000001</v>
      </c>
      <c r="J308" s="19">
        <f t="shared" si="28"/>
        <v>0</v>
      </c>
      <c r="K308" s="19">
        <f t="shared" si="29"/>
        <v>0</v>
      </c>
      <c r="L308" s="19">
        <v>-6.6E-4</v>
      </c>
      <c r="M308" s="19">
        <v>6.7999999999999996E-3</v>
      </c>
      <c r="N308" s="19">
        <v>6.7999999999999996E-3</v>
      </c>
      <c r="O308" s="19">
        <v>6.77E-3</v>
      </c>
      <c r="P308" s="19">
        <v>6.7400000000000003E-3</v>
      </c>
      <c r="Q308" s="19"/>
      <c r="R308" s="19">
        <f t="shared" si="30"/>
        <v>0</v>
      </c>
      <c r="S308" s="19">
        <f t="shared" si="31"/>
        <v>0</v>
      </c>
      <c r="T308" s="19">
        <f t="shared" si="32"/>
        <v>0</v>
      </c>
      <c r="U308" s="19">
        <f t="shared" si="33"/>
        <v>0</v>
      </c>
      <c r="V308" s="21">
        <f t="shared" si="34"/>
        <v>0</v>
      </c>
    </row>
    <row r="309" spans="1:22" ht="13.5" x14ac:dyDescent="0.35">
      <c r="A309" s="18">
        <v>111009</v>
      </c>
      <c r="B309" s="19" t="s">
        <v>335</v>
      </c>
      <c r="C309" s="19">
        <v>14.4</v>
      </c>
      <c r="D309" s="19">
        <v>101</v>
      </c>
      <c r="E309" s="19">
        <v>1002</v>
      </c>
      <c r="F309" s="19">
        <v>47</v>
      </c>
      <c r="G309" s="19">
        <v>0</v>
      </c>
      <c r="H309" s="19">
        <v>47</v>
      </c>
      <c r="I309" s="20">
        <v>47</v>
      </c>
      <c r="J309" s="19">
        <f t="shared" si="28"/>
        <v>0</v>
      </c>
      <c r="K309" s="19">
        <f t="shared" si="29"/>
        <v>0</v>
      </c>
      <c r="L309" s="19">
        <v>-6.6E-4</v>
      </c>
      <c r="M309" s="19">
        <v>7.0800000000000004E-3</v>
      </c>
      <c r="N309" s="19">
        <v>7.0800000000000004E-3</v>
      </c>
      <c r="O309" s="19">
        <v>7.0499999999999998E-3</v>
      </c>
      <c r="P309" s="19">
        <v>7.0200000000000002E-3</v>
      </c>
      <c r="Q309" s="19"/>
      <c r="R309" s="19">
        <f t="shared" si="30"/>
        <v>0</v>
      </c>
      <c r="S309" s="19">
        <f t="shared" si="31"/>
        <v>0</v>
      </c>
      <c r="T309" s="19">
        <f t="shared" si="32"/>
        <v>0</v>
      </c>
      <c r="U309" s="19">
        <f t="shared" si="33"/>
        <v>0</v>
      </c>
      <c r="V309" s="21">
        <f t="shared" si="34"/>
        <v>0</v>
      </c>
    </row>
    <row r="310" spans="1:22" ht="13.5" x14ac:dyDescent="0.35">
      <c r="A310" s="18">
        <v>111028</v>
      </c>
      <c r="B310" s="19" t="s">
        <v>336</v>
      </c>
      <c r="C310" s="19">
        <v>13.8</v>
      </c>
      <c r="D310" s="19">
        <v>101</v>
      </c>
      <c r="E310" s="19">
        <v>1002</v>
      </c>
      <c r="F310" s="19">
        <v>42.3</v>
      </c>
      <c r="G310" s="19">
        <v>0</v>
      </c>
      <c r="H310" s="19">
        <v>42.3</v>
      </c>
      <c r="I310" s="20">
        <v>42.3</v>
      </c>
      <c r="J310" s="19">
        <f t="shared" si="28"/>
        <v>0</v>
      </c>
      <c r="K310" s="19">
        <f t="shared" si="29"/>
        <v>0</v>
      </c>
      <c r="L310" s="19">
        <v>-6.6E-4</v>
      </c>
      <c r="M310" s="19">
        <v>3.8500000000000001E-3</v>
      </c>
      <c r="N310" s="19">
        <v>3.8500000000000001E-3</v>
      </c>
      <c r="O310" s="19">
        <v>3.82E-3</v>
      </c>
      <c r="P310" s="19">
        <v>3.8E-3</v>
      </c>
      <c r="Q310" s="19"/>
      <c r="R310" s="19">
        <f t="shared" si="30"/>
        <v>0</v>
      </c>
      <c r="S310" s="19">
        <f t="shared" si="31"/>
        <v>0</v>
      </c>
      <c r="T310" s="19">
        <f t="shared" si="32"/>
        <v>0</v>
      </c>
      <c r="U310" s="19">
        <f t="shared" si="33"/>
        <v>0</v>
      </c>
      <c r="V310" s="21">
        <f t="shared" si="34"/>
        <v>0</v>
      </c>
    </row>
    <row r="311" spans="1:22" ht="13.5" x14ac:dyDescent="0.35">
      <c r="A311" s="18">
        <v>111080</v>
      </c>
      <c r="B311" s="19" t="s">
        <v>337</v>
      </c>
      <c r="C311" s="19">
        <v>13.8</v>
      </c>
      <c r="D311" s="19">
        <v>101</v>
      </c>
      <c r="E311" s="19">
        <v>1023</v>
      </c>
      <c r="F311" s="19">
        <v>97.4</v>
      </c>
      <c r="G311" s="19">
        <v>0</v>
      </c>
      <c r="H311" s="19">
        <v>97.4</v>
      </c>
      <c r="I311" s="20">
        <v>97.4</v>
      </c>
      <c r="J311" s="19">
        <f t="shared" si="28"/>
        <v>0</v>
      </c>
      <c r="K311" s="19">
        <f t="shared" si="29"/>
        <v>0</v>
      </c>
      <c r="L311" s="19">
        <v>-6.6E-4</v>
      </c>
      <c r="M311" s="19">
        <v>-5.8E-4</v>
      </c>
      <c r="N311" s="19">
        <v>-5.8E-4</v>
      </c>
      <c r="O311" s="19">
        <v>-6.0999999999999997E-4</v>
      </c>
      <c r="P311" s="19">
        <v>-6.4000000000000005E-4</v>
      </c>
      <c r="Q311" s="19"/>
      <c r="R311" s="19">
        <f t="shared" si="30"/>
        <v>0</v>
      </c>
      <c r="S311" s="19">
        <f t="shared" si="31"/>
        <v>0</v>
      </c>
      <c r="T311" s="19">
        <f t="shared" si="32"/>
        <v>0</v>
      </c>
      <c r="U311" s="19">
        <f t="shared" si="33"/>
        <v>0</v>
      </c>
      <c r="V311" s="21">
        <f t="shared" si="34"/>
        <v>0</v>
      </c>
    </row>
    <row r="312" spans="1:22" ht="13.5" x14ac:dyDescent="0.35">
      <c r="A312" s="18">
        <v>111081</v>
      </c>
      <c r="B312" s="19" t="s">
        <v>338</v>
      </c>
      <c r="C312" s="19">
        <v>13.8</v>
      </c>
      <c r="D312" s="19">
        <v>101</v>
      </c>
      <c r="E312" s="19">
        <v>1023</v>
      </c>
      <c r="F312" s="19">
        <v>97.4</v>
      </c>
      <c r="G312" s="19">
        <v>0</v>
      </c>
      <c r="H312" s="19">
        <v>97.4</v>
      </c>
      <c r="I312" s="20">
        <v>97.4</v>
      </c>
      <c r="J312" s="19">
        <f t="shared" si="28"/>
        <v>0</v>
      </c>
      <c r="K312" s="19">
        <f t="shared" si="29"/>
        <v>0</v>
      </c>
      <c r="L312" s="19">
        <v>-6.6E-4</v>
      </c>
      <c r="M312" s="19">
        <v>-5.8E-4</v>
      </c>
      <c r="N312" s="19">
        <v>-5.8E-4</v>
      </c>
      <c r="O312" s="19">
        <v>-6.0999999999999997E-4</v>
      </c>
      <c r="P312" s="19">
        <v>-6.4000000000000005E-4</v>
      </c>
      <c r="Q312" s="19"/>
      <c r="R312" s="19">
        <f t="shared" si="30"/>
        <v>0</v>
      </c>
      <c r="S312" s="19">
        <f t="shared" si="31"/>
        <v>0</v>
      </c>
      <c r="T312" s="19">
        <f t="shared" si="32"/>
        <v>0</v>
      </c>
      <c r="U312" s="19">
        <f t="shared" si="33"/>
        <v>0</v>
      </c>
      <c r="V312" s="21">
        <f t="shared" si="34"/>
        <v>0</v>
      </c>
    </row>
    <row r="313" spans="1:22" ht="13.5" x14ac:dyDescent="0.35">
      <c r="A313" s="18">
        <v>111083</v>
      </c>
      <c r="B313" s="19" t="s">
        <v>339</v>
      </c>
      <c r="C313" s="19">
        <v>13.8</v>
      </c>
      <c r="D313" s="19">
        <v>101</v>
      </c>
      <c r="E313" s="19">
        <v>1023</v>
      </c>
      <c r="F313" s="19">
        <v>57.5</v>
      </c>
      <c r="G313" s="19">
        <v>0</v>
      </c>
      <c r="H313" s="19">
        <v>57.5</v>
      </c>
      <c r="I313" s="20">
        <v>57.5</v>
      </c>
      <c r="J313" s="19">
        <f t="shared" si="28"/>
        <v>0</v>
      </c>
      <c r="K313" s="19">
        <f t="shared" si="29"/>
        <v>0</v>
      </c>
      <c r="L313" s="19">
        <v>-6.6E-4</v>
      </c>
      <c r="M313" s="19">
        <v>-5.8E-4</v>
      </c>
      <c r="N313" s="19">
        <v>-5.8E-4</v>
      </c>
      <c r="O313" s="19">
        <v>-6.0999999999999997E-4</v>
      </c>
      <c r="P313" s="19">
        <v>-6.4000000000000005E-4</v>
      </c>
      <c r="Q313" s="19"/>
      <c r="R313" s="19">
        <f t="shared" si="30"/>
        <v>0</v>
      </c>
      <c r="S313" s="19">
        <f t="shared" si="31"/>
        <v>0</v>
      </c>
      <c r="T313" s="19">
        <f t="shared" si="32"/>
        <v>0</v>
      </c>
      <c r="U313" s="19">
        <f t="shared" si="33"/>
        <v>0</v>
      </c>
      <c r="V313" s="21">
        <f t="shared" si="34"/>
        <v>0</v>
      </c>
    </row>
    <row r="314" spans="1:22" ht="13.5" x14ac:dyDescent="0.35">
      <c r="A314" s="18">
        <v>111084</v>
      </c>
      <c r="B314" s="19" t="s">
        <v>340</v>
      </c>
      <c r="C314" s="19">
        <v>13.8</v>
      </c>
      <c r="D314" s="19">
        <v>101</v>
      </c>
      <c r="E314" s="19">
        <v>1023</v>
      </c>
      <c r="F314" s="19">
        <v>94.29</v>
      </c>
      <c r="G314" s="19">
        <v>0</v>
      </c>
      <c r="H314" s="19">
        <v>94.29</v>
      </c>
      <c r="I314" s="20">
        <v>94.29</v>
      </c>
      <c r="J314" s="19">
        <f t="shared" si="28"/>
        <v>0</v>
      </c>
      <c r="K314" s="19">
        <f t="shared" si="29"/>
        <v>0</v>
      </c>
      <c r="L314" s="19">
        <v>-6.6E-4</v>
      </c>
      <c r="M314" s="19">
        <v>1.6999999999999999E-3</v>
      </c>
      <c r="N314" s="19">
        <v>1.6999999999999999E-3</v>
      </c>
      <c r="O314" s="19">
        <v>1.67E-3</v>
      </c>
      <c r="P314" s="19">
        <v>1.64E-3</v>
      </c>
      <c r="Q314" s="19"/>
      <c r="R314" s="19">
        <f t="shared" si="30"/>
        <v>0</v>
      </c>
      <c r="S314" s="19">
        <f t="shared" si="31"/>
        <v>0</v>
      </c>
      <c r="T314" s="19">
        <f t="shared" si="32"/>
        <v>0</v>
      </c>
      <c r="U314" s="19">
        <f t="shared" si="33"/>
        <v>0</v>
      </c>
      <c r="V314" s="21">
        <f t="shared" si="34"/>
        <v>0</v>
      </c>
    </row>
    <row r="315" spans="1:22" ht="13.5" x14ac:dyDescent="0.35">
      <c r="A315" s="18">
        <v>111085</v>
      </c>
      <c r="B315" s="19" t="s">
        <v>341</v>
      </c>
      <c r="C315" s="19">
        <v>13.8</v>
      </c>
      <c r="D315" s="19">
        <v>101</v>
      </c>
      <c r="E315" s="19">
        <v>1023</v>
      </c>
      <c r="F315" s="19">
        <v>94.29</v>
      </c>
      <c r="G315" s="19">
        <v>0</v>
      </c>
      <c r="H315" s="19">
        <v>94.29</v>
      </c>
      <c r="I315" s="20">
        <v>94.29</v>
      </c>
      <c r="J315" s="19">
        <f t="shared" si="28"/>
        <v>0</v>
      </c>
      <c r="K315" s="19">
        <f t="shared" si="29"/>
        <v>0</v>
      </c>
      <c r="L315" s="19">
        <v>-6.6E-4</v>
      </c>
      <c r="M315" s="19">
        <v>1.6999999999999999E-3</v>
      </c>
      <c r="N315" s="19">
        <v>1.6999999999999999E-3</v>
      </c>
      <c r="O315" s="19">
        <v>1.67E-3</v>
      </c>
      <c r="P315" s="19">
        <v>1.64E-3</v>
      </c>
      <c r="Q315" s="19"/>
      <c r="R315" s="19">
        <f t="shared" si="30"/>
        <v>0</v>
      </c>
      <c r="S315" s="19">
        <f t="shared" si="31"/>
        <v>0</v>
      </c>
      <c r="T315" s="19">
        <f t="shared" si="32"/>
        <v>0</v>
      </c>
      <c r="U315" s="19">
        <f t="shared" si="33"/>
        <v>0</v>
      </c>
      <c r="V315" s="21">
        <f t="shared" si="34"/>
        <v>0</v>
      </c>
    </row>
    <row r="316" spans="1:22" ht="13.5" x14ac:dyDescent="0.35">
      <c r="A316" s="18">
        <v>111086</v>
      </c>
      <c r="B316" s="19" t="s">
        <v>342</v>
      </c>
      <c r="C316" s="19">
        <v>13.8</v>
      </c>
      <c r="D316" s="19">
        <v>101</v>
      </c>
      <c r="E316" s="19">
        <v>1023</v>
      </c>
      <c r="F316" s="19">
        <v>94.29</v>
      </c>
      <c r="G316" s="19">
        <v>0</v>
      </c>
      <c r="H316" s="19">
        <v>94.29</v>
      </c>
      <c r="I316" s="20">
        <v>94.29</v>
      </c>
      <c r="J316" s="19">
        <f t="shared" si="28"/>
        <v>0</v>
      </c>
      <c r="K316" s="19">
        <f t="shared" si="29"/>
        <v>0</v>
      </c>
      <c r="L316" s="19">
        <v>-6.6E-4</v>
      </c>
      <c r="M316" s="19">
        <v>1.6999999999999999E-3</v>
      </c>
      <c r="N316" s="19">
        <v>1.6999999999999999E-3</v>
      </c>
      <c r="O316" s="19">
        <v>1.67E-3</v>
      </c>
      <c r="P316" s="19">
        <v>1.64E-3</v>
      </c>
      <c r="Q316" s="19"/>
      <c r="R316" s="19">
        <f t="shared" si="30"/>
        <v>0</v>
      </c>
      <c r="S316" s="19">
        <f t="shared" si="31"/>
        <v>0</v>
      </c>
      <c r="T316" s="19">
        <f t="shared" si="32"/>
        <v>0</v>
      </c>
      <c r="U316" s="19">
        <f t="shared" si="33"/>
        <v>0</v>
      </c>
      <c r="V316" s="21">
        <f t="shared" si="34"/>
        <v>0</v>
      </c>
    </row>
    <row r="317" spans="1:22" ht="13.5" x14ac:dyDescent="0.35">
      <c r="A317" s="18">
        <v>111092</v>
      </c>
      <c r="B317" s="19" t="s">
        <v>343</v>
      </c>
      <c r="C317" s="19">
        <v>18</v>
      </c>
      <c r="D317" s="19">
        <v>101</v>
      </c>
      <c r="E317" s="19">
        <v>1023</v>
      </c>
      <c r="F317" s="19">
        <v>0</v>
      </c>
      <c r="G317" s="19">
        <v>0</v>
      </c>
      <c r="H317" s="19">
        <v>0</v>
      </c>
      <c r="I317" s="20">
        <v>0</v>
      </c>
      <c r="J317" s="19">
        <f t="shared" si="28"/>
        <v>0</v>
      </c>
      <c r="K317" s="19">
        <f t="shared" si="29"/>
        <v>0</v>
      </c>
      <c r="L317" s="19">
        <v>-6.6E-4</v>
      </c>
      <c r="M317" s="19">
        <v>2.409E-2</v>
      </c>
      <c r="N317" s="19">
        <v>2.409E-2</v>
      </c>
      <c r="O317" s="19">
        <v>2.4060000000000002E-2</v>
      </c>
      <c r="P317" s="19">
        <v>2.4029999999999999E-2</v>
      </c>
      <c r="Q317" s="19"/>
      <c r="R317" s="19">
        <f t="shared" si="30"/>
        <v>0</v>
      </c>
      <c r="S317" s="19">
        <f t="shared" si="31"/>
        <v>0</v>
      </c>
      <c r="T317" s="19">
        <f t="shared" si="32"/>
        <v>0</v>
      </c>
      <c r="U317" s="19">
        <f t="shared" si="33"/>
        <v>0</v>
      </c>
      <c r="V317" s="21">
        <f t="shared" si="34"/>
        <v>0</v>
      </c>
    </row>
    <row r="318" spans="1:22" ht="13.5" x14ac:dyDescent="0.35">
      <c r="A318" s="18">
        <v>111093</v>
      </c>
      <c r="B318" s="19" t="s">
        <v>344</v>
      </c>
      <c r="C318" s="19">
        <v>16</v>
      </c>
      <c r="D318" s="19">
        <v>101</v>
      </c>
      <c r="E318" s="19">
        <v>1023</v>
      </c>
      <c r="F318" s="19">
        <v>0</v>
      </c>
      <c r="G318" s="19">
        <v>0</v>
      </c>
      <c r="H318" s="19">
        <v>0</v>
      </c>
      <c r="I318" s="20">
        <v>0</v>
      </c>
      <c r="J318" s="19">
        <f t="shared" si="28"/>
        <v>0</v>
      </c>
      <c r="K318" s="19">
        <f t="shared" si="29"/>
        <v>0</v>
      </c>
      <c r="L318" s="19">
        <v>-6.6E-4</v>
      </c>
      <c r="M318" s="19">
        <v>2.409E-2</v>
      </c>
      <c r="N318" s="19">
        <v>2.409E-2</v>
      </c>
      <c r="O318" s="19">
        <v>2.4060000000000002E-2</v>
      </c>
      <c r="P318" s="19">
        <v>2.4029999999999999E-2</v>
      </c>
      <c r="Q318" s="19"/>
      <c r="R318" s="19">
        <f t="shared" si="30"/>
        <v>0</v>
      </c>
      <c r="S318" s="19">
        <f t="shared" si="31"/>
        <v>0</v>
      </c>
      <c r="T318" s="19">
        <f t="shared" si="32"/>
        <v>0</v>
      </c>
      <c r="U318" s="19">
        <f t="shared" si="33"/>
        <v>0</v>
      </c>
      <c r="V318" s="21">
        <f t="shared" si="34"/>
        <v>0</v>
      </c>
    </row>
    <row r="319" spans="1:22" ht="13.5" x14ac:dyDescent="0.35">
      <c r="A319" s="18">
        <v>111095</v>
      </c>
      <c r="B319" s="19" t="s">
        <v>345</v>
      </c>
      <c r="C319" s="19">
        <v>21</v>
      </c>
      <c r="D319" s="19">
        <v>101</v>
      </c>
      <c r="E319" s="19">
        <v>1023</v>
      </c>
      <c r="F319" s="19">
        <v>271.82</v>
      </c>
      <c r="G319" s="19">
        <v>0</v>
      </c>
      <c r="H319" s="19">
        <v>271.82</v>
      </c>
      <c r="I319" s="20">
        <v>271.82</v>
      </c>
      <c r="J319" s="19">
        <f t="shared" si="28"/>
        <v>0</v>
      </c>
      <c r="K319" s="19">
        <f t="shared" si="29"/>
        <v>0</v>
      </c>
      <c r="L319" s="19">
        <v>-6.6E-4</v>
      </c>
      <c r="M319" s="19">
        <v>3.8999999999999999E-4</v>
      </c>
      <c r="N319" s="19">
        <v>3.8999999999999999E-4</v>
      </c>
      <c r="O319" s="19">
        <v>3.6000000000000002E-4</v>
      </c>
      <c r="P319" s="19">
        <v>3.3E-4</v>
      </c>
      <c r="Q319" s="19"/>
      <c r="R319" s="19">
        <f t="shared" si="30"/>
        <v>0</v>
      </c>
      <c r="S319" s="19">
        <f t="shared" si="31"/>
        <v>0</v>
      </c>
      <c r="T319" s="19">
        <f t="shared" si="32"/>
        <v>0</v>
      </c>
      <c r="U319" s="19">
        <f t="shared" si="33"/>
        <v>0</v>
      </c>
      <c r="V319" s="21">
        <f t="shared" si="34"/>
        <v>0</v>
      </c>
    </row>
    <row r="320" spans="1:22" ht="13.5" x14ac:dyDescent="0.35">
      <c r="A320" s="18">
        <v>111096</v>
      </c>
      <c r="B320" s="19" t="s">
        <v>346</v>
      </c>
      <c r="C320" s="19">
        <v>21</v>
      </c>
      <c r="D320" s="19">
        <v>101</v>
      </c>
      <c r="E320" s="19">
        <v>1023</v>
      </c>
      <c r="F320" s="19">
        <v>271.32</v>
      </c>
      <c r="G320" s="19">
        <v>0</v>
      </c>
      <c r="H320" s="19">
        <v>271.32</v>
      </c>
      <c r="I320" s="20">
        <v>271.32</v>
      </c>
      <c r="J320" s="19">
        <f t="shared" si="28"/>
        <v>0</v>
      </c>
      <c r="K320" s="19">
        <f t="shared" si="29"/>
        <v>0</v>
      </c>
      <c r="L320" s="19">
        <v>-6.6E-4</v>
      </c>
      <c r="M320" s="19">
        <v>3.8999999999999999E-4</v>
      </c>
      <c r="N320" s="19">
        <v>3.8999999999999999E-4</v>
      </c>
      <c r="O320" s="19">
        <v>3.6000000000000002E-4</v>
      </c>
      <c r="P320" s="19">
        <v>3.3E-4</v>
      </c>
      <c r="Q320" s="19"/>
      <c r="R320" s="19">
        <f t="shared" si="30"/>
        <v>0</v>
      </c>
      <c r="S320" s="19">
        <f t="shared" si="31"/>
        <v>0</v>
      </c>
      <c r="T320" s="19">
        <f t="shared" si="32"/>
        <v>0</v>
      </c>
      <c r="U320" s="19">
        <f t="shared" si="33"/>
        <v>0</v>
      </c>
      <c r="V320" s="21">
        <f t="shared" si="34"/>
        <v>0</v>
      </c>
    </row>
    <row r="321" spans="1:22" ht="13.5" x14ac:dyDescent="0.35">
      <c r="A321" s="18">
        <v>111097</v>
      </c>
      <c r="B321" s="19" t="s">
        <v>347</v>
      </c>
      <c r="C321" s="19">
        <v>16</v>
      </c>
      <c r="D321" s="19">
        <v>101</v>
      </c>
      <c r="E321" s="19">
        <v>1023</v>
      </c>
      <c r="F321" s="19">
        <v>0</v>
      </c>
      <c r="G321" s="19">
        <v>0</v>
      </c>
      <c r="H321" s="19">
        <v>0</v>
      </c>
      <c r="I321" s="20">
        <v>0</v>
      </c>
      <c r="J321" s="19">
        <f t="shared" si="28"/>
        <v>0</v>
      </c>
      <c r="K321" s="19">
        <f t="shared" si="29"/>
        <v>0</v>
      </c>
      <c r="L321" s="19">
        <v>-6.6E-4</v>
      </c>
      <c r="M321" s="19">
        <v>2.409E-2</v>
      </c>
      <c r="N321" s="19">
        <v>2.409E-2</v>
      </c>
      <c r="O321" s="19">
        <v>2.4060000000000002E-2</v>
      </c>
      <c r="P321" s="19">
        <v>2.4029999999999999E-2</v>
      </c>
      <c r="Q321" s="19"/>
      <c r="R321" s="19">
        <f t="shared" si="30"/>
        <v>0</v>
      </c>
      <c r="S321" s="19">
        <f t="shared" si="31"/>
        <v>0</v>
      </c>
      <c r="T321" s="19">
        <f t="shared" si="32"/>
        <v>0</v>
      </c>
      <c r="U321" s="19">
        <f t="shared" si="33"/>
        <v>0</v>
      </c>
      <c r="V321" s="21">
        <f t="shared" si="34"/>
        <v>0</v>
      </c>
    </row>
    <row r="322" spans="1:22" ht="13.5" x14ac:dyDescent="0.35">
      <c r="A322" s="18">
        <v>111110</v>
      </c>
      <c r="B322" s="19" t="s">
        <v>348</v>
      </c>
      <c r="C322" s="19">
        <v>13.8</v>
      </c>
      <c r="D322" s="19">
        <v>101</v>
      </c>
      <c r="E322" s="19">
        <v>1012</v>
      </c>
      <c r="F322" s="19">
        <v>0</v>
      </c>
      <c r="G322" s="19">
        <v>0</v>
      </c>
      <c r="H322" s="19">
        <v>0</v>
      </c>
      <c r="I322" s="20">
        <v>0</v>
      </c>
      <c r="J322" s="19">
        <f t="shared" si="28"/>
        <v>0</v>
      </c>
      <c r="K322" s="19">
        <f t="shared" si="29"/>
        <v>0</v>
      </c>
      <c r="L322" s="19">
        <v>-6.6E-4</v>
      </c>
      <c r="M322" s="19">
        <v>-2.64E-3</v>
      </c>
      <c r="N322" s="19">
        <v>-2.64E-3</v>
      </c>
      <c r="O322" s="19">
        <v>-2.6700000000000001E-3</v>
      </c>
      <c r="P322" s="19">
        <v>-2.7000000000000001E-3</v>
      </c>
      <c r="Q322" s="19"/>
      <c r="R322" s="19">
        <f t="shared" si="30"/>
        <v>0</v>
      </c>
      <c r="S322" s="19">
        <f t="shared" si="31"/>
        <v>0</v>
      </c>
      <c r="T322" s="19">
        <f t="shared" si="32"/>
        <v>0</v>
      </c>
      <c r="U322" s="19">
        <f t="shared" si="33"/>
        <v>0</v>
      </c>
      <c r="V322" s="21">
        <f t="shared" si="34"/>
        <v>0</v>
      </c>
    </row>
    <row r="323" spans="1:22" ht="13.5" x14ac:dyDescent="0.35">
      <c r="A323" s="18">
        <v>111123</v>
      </c>
      <c r="B323" s="19" t="s">
        <v>349</v>
      </c>
      <c r="C323" s="19">
        <v>13.8</v>
      </c>
      <c r="D323" s="19">
        <v>101</v>
      </c>
      <c r="E323" s="19">
        <v>1013</v>
      </c>
      <c r="F323" s="19">
        <v>27.75</v>
      </c>
      <c r="G323" s="19">
        <v>0</v>
      </c>
      <c r="H323" s="19">
        <v>27.75</v>
      </c>
      <c r="I323" s="20">
        <v>27.75</v>
      </c>
      <c r="J323" s="19">
        <f t="shared" si="28"/>
        <v>0</v>
      </c>
      <c r="K323" s="19">
        <f t="shared" si="29"/>
        <v>0</v>
      </c>
      <c r="L323" s="19">
        <v>-6.6E-4</v>
      </c>
      <c r="M323" s="19">
        <v>6.0600000000000003E-3</v>
      </c>
      <c r="N323" s="19">
        <v>6.0600000000000003E-3</v>
      </c>
      <c r="O323" s="19">
        <v>6.0299999999999998E-3</v>
      </c>
      <c r="P323" s="19">
        <v>6.0099999999999997E-3</v>
      </c>
      <c r="Q323" s="19"/>
      <c r="R323" s="19">
        <f t="shared" si="30"/>
        <v>0</v>
      </c>
      <c r="S323" s="19">
        <f t="shared" si="31"/>
        <v>0</v>
      </c>
      <c r="T323" s="19">
        <f t="shared" si="32"/>
        <v>0</v>
      </c>
      <c r="U323" s="19">
        <f t="shared" si="33"/>
        <v>0</v>
      </c>
      <c r="V323" s="21">
        <f t="shared" si="34"/>
        <v>0</v>
      </c>
    </row>
    <row r="324" spans="1:22" ht="13.5" x14ac:dyDescent="0.35">
      <c r="A324" s="18">
        <v>111124</v>
      </c>
      <c r="B324" s="19" t="s">
        <v>350</v>
      </c>
      <c r="C324" s="19">
        <v>13.8</v>
      </c>
      <c r="D324" s="19">
        <v>101</v>
      </c>
      <c r="E324" s="19">
        <v>1014</v>
      </c>
      <c r="F324" s="19">
        <v>18</v>
      </c>
      <c r="G324" s="19">
        <v>0</v>
      </c>
      <c r="H324" s="19">
        <v>18</v>
      </c>
      <c r="I324" s="20">
        <v>18</v>
      </c>
      <c r="J324" s="19">
        <f t="shared" si="28"/>
        <v>0</v>
      </c>
      <c r="K324" s="19">
        <f t="shared" si="29"/>
        <v>0</v>
      </c>
      <c r="L324" s="19">
        <v>-6.6E-4</v>
      </c>
      <c r="M324" s="19">
        <v>6.3800000000000003E-3</v>
      </c>
      <c r="N324" s="19">
        <v>6.3800000000000003E-3</v>
      </c>
      <c r="O324" s="19">
        <v>6.3499999999999997E-3</v>
      </c>
      <c r="P324" s="19">
        <v>6.3200000000000001E-3</v>
      </c>
      <c r="Q324" s="19"/>
      <c r="R324" s="19">
        <f t="shared" si="30"/>
        <v>0</v>
      </c>
      <c r="S324" s="19">
        <f t="shared" si="31"/>
        <v>0</v>
      </c>
      <c r="T324" s="19">
        <f t="shared" si="32"/>
        <v>0</v>
      </c>
      <c r="U324" s="19">
        <f t="shared" si="33"/>
        <v>0</v>
      </c>
      <c r="V324" s="21">
        <f t="shared" si="34"/>
        <v>0</v>
      </c>
    </row>
    <row r="325" spans="1:22" ht="13.5" x14ac:dyDescent="0.35">
      <c r="A325" s="18">
        <v>111125</v>
      </c>
      <c r="B325" s="19" t="s">
        <v>351</v>
      </c>
      <c r="C325" s="19">
        <v>13.8</v>
      </c>
      <c r="D325" s="19">
        <v>101</v>
      </c>
      <c r="E325" s="19">
        <v>1012</v>
      </c>
      <c r="F325" s="19">
        <v>0</v>
      </c>
      <c r="G325" s="19">
        <v>0</v>
      </c>
      <c r="H325" s="19">
        <v>0</v>
      </c>
      <c r="I325" s="20">
        <v>0</v>
      </c>
      <c r="J325" s="19">
        <f t="shared" si="28"/>
        <v>0</v>
      </c>
      <c r="K325" s="19">
        <f t="shared" si="29"/>
        <v>0</v>
      </c>
      <c r="L325" s="19">
        <v>-6.6E-4</v>
      </c>
      <c r="M325" s="19">
        <v>6.3099999999999996E-3</v>
      </c>
      <c r="N325" s="19">
        <v>6.3099999999999996E-3</v>
      </c>
      <c r="O325" s="19">
        <v>6.28E-3</v>
      </c>
      <c r="P325" s="19">
        <v>6.2500000000000003E-3</v>
      </c>
      <c r="Q325" s="19"/>
      <c r="R325" s="19">
        <f t="shared" si="30"/>
        <v>0</v>
      </c>
      <c r="S325" s="19">
        <f t="shared" si="31"/>
        <v>0</v>
      </c>
      <c r="T325" s="19">
        <f t="shared" si="32"/>
        <v>0</v>
      </c>
      <c r="U325" s="19">
        <f t="shared" si="33"/>
        <v>0</v>
      </c>
      <c r="V325" s="21">
        <f t="shared" si="34"/>
        <v>0</v>
      </c>
    </row>
    <row r="326" spans="1:22" ht="13.5" x14ac:dyDescent="0.35">
      <c r="A326" s="18">
        <v>111126</v>
      </c>
      <c r="B326" s="19" t="s">
        <v>352</v>
      </c>
      <c r="C326" s="19">
        <v>18</v>
      </c>
      <c r="D326" s="19">
        <v>101</v>
      </c>
      <c r="E326" s="19">
        <v>1013</v>
      </c>
      <c r="F326" s="19">
        <v>170</v>
      </c>
      <c r="G326" s="19">
        <v>0</v>
      </c>
      <c r="H326" s="19">
        <v>170</v>
      </c>
      <c r="I326" s="20">
        <v>170</v>
      </c>
      <c r="J326" s="19">
        <f t="shared" si="28"/>
        <v>0</v>
      </c>
      <c r="K326" s="19">
        <f t="shared" si="29"/>
        <v>0</v>
      </c>
      <c r="L326" s="19">
        <v>-6.6E-4</v>
      </c>
      <c r="M326" s="19">
        <v>6.0600000000000003E-3</v>
      </c>
      <c r="N326" s="19">
        <v>6.0600000000000003E-3</v>
      </c>
      <c r="O326" s="19">
        <v>6.0299999999999998E-3</v>
      </c>
      <c r="P326" s="19">
        <v>6.0099999999999997E-3</v>
      </c>
      <c r="Q326" s="19"/>
      <c r="R326" s="19">
        <f t="shared" si="30"/>
        <v>0</v>
      </c>
      <c r="S326" s="19">
        <f t="shared" si="31"/>
        <v>0</v>
      </c>
      <c r="T326" s="19">
        <f t="shared" si="32"/>
        <v>0</v>
      </c>
      <c r="U326" s="19">
        <f t="shared" si="33"/>
        <v>0</v>
      </c>
      <c r="V326" s="21">
        <f t="shared" si="34"/>
        <v>0</v>
      </c>
    </row>
    <row r="327" spans="1:22" ht="13.5" x14ac:dyDescent="0.35">
      <c r="A327" s="18">
        <v>111127</v>
      </c>
      <c r="B327" s="19" t="s">
        <v>353</v>
      </c>
      <c r="C327" s="19">
        <v>13.8</v>
      </c>
      <c r="D327" s="19">
        <v>101</v>
      </c>
      <c r="E327" s="19">
        <v>1012</v>
      </c>
      <c r="F327" s="19">
        <v>0</v>
      </c>
      <c r="G327" s="19">
        <v>0</v>
      </c>
      <c r="H327" s="19">
        <v>0</v>
      </c>
      <c r="I327" s="20">
        <v>0</v>
      </c>
      <c r="J327" s="19">
        <f t="shared" si="28"/>
        <v>0</v>
      </c>
      <c r="K327" s="19">
        <f t="shared" si="29"/>
        <v>0</v>
      </c>
      <c r="L327" s="19">
        <v>-6.6E-4</v>
      </c>
      <c r="M327" s="19">
        <v>6.0600000000000003E-3</v>
      </c>
      <c r="N327" s="19">
        <v>6.0600000000000003E-3</v>
      </c>
      <c r="O327" s="19">
        <v>6.0299999999999998E-3</v>
      </c>
      <c r="P327" s="19">
        <v>6.0099999999999997E-3</v>
      </c>
      <c r="Q327" s="19"/>
      <c r="R327" s="19">
        <f t="shared" si="30"/>
        <v>0</v>
      </c>
      <c r="S327" s="19">
        <f t="shared" si="31"/>
        <v>0</v>
      </c>
      <c r="T327" s="19">
        <f t="shared" si="32"/>
        <v>0</v>
      </c>
      <c r="U327" s="19">
        <f t="shared" si="33"/>
        <v>0</v>
      </c>
      <c r="V327" s="21">
        <f t="shared" si="34"/>
        <v>0</v>
      </c>
    </row>
    <row r="328" spans="1:22" ht="13.5" x14ac:dyDescent="0.35">
      <c r="A328" s="18">
        <v>111181</v>
      </c>
      <c r="B328" s="19" t="s">
        <v>354</v>
      </c>
      <c r="C328" s="19">
        <v>0.4</v>
      </c>
      <c r="D328" s="19">
        <v>101</v>
      </c>
      <c r="E328" s="19">
        <v>1032</v>
      </c>
      <c r="F328" s="19">
        <v>0</v>
      </c>
      <c r="G328" s="19">
        <v>0</v>
      </c>
      <c r="H328" s="19">
        <v>0</v>
      </c>
      <c r="I328" s="20">
        <v>0</v>
      </c>
      <c r="J328" s="19">
        <f t="shared" si="28"/>
        <v>0</v>
      </c>
      <c r="K328" s="19">
        <f t="shared" si="29"/>
        <v>0</v>
      </c>
      <c r="L328" s="19">
        <v>-6.6E-4</v>
      </c>
      <c r="M328" s="19">
        <v>2.8080000000000001E-2</v>
      </c>
      <c r="N328" s="19">
        <v>2.8080000000000001E-2</v>
      </c>
      <c r="O328" s="19">
        <v>2.8049999999999999E-2</v>
      </c>
      <c r="P328" s="19">
        <v>2.802E-2</v>
      </c>
      <c r="Q328" s="19"/>
      <c r="R328" s="19">
        <f t="shared" si="30"/>
        <v>0</v>
      </c>
      <c r="S328" s="19">
        <f t="shared" si="31"/>
        <v>0</v>
      </c>
      <c r="T328" s="19">
        <f t="shared" si="32"/>
        <v>0</v>
      </c>
      <c r="U328" s="19">
        <f t="shared" si="33"/>
        <v>0</v>
      </c>
      <c r="V328" s="21">
        <f t="shared" si="34"/>
        <v>0</v>
      </c>
    </row>
    <row r="329" spans="1:22" ht="13.5" x14ac:dyDescent="0.35">
      <c r="A329" s="18">
        <v>111182</v>
      </c>
      <c r="B329" s="19" t="s">
        <v>355</v>
      </c>
      <c r="C329" s="19">
        <v>0.4</v>
      </c>
      <c r="D329" s="19">
        <v>101</v>
      </c>
      <c r="E329" s="19">
        <v>1032</v>
      </c>
      <c r="F329" s="19">
        <v>0</v>
      </c>
      <c r="G329" s="19">
        <v>0</v>
      </c>
      <c r="H329" s="19">
        <v>0</v>
      </c>
      <c r="I329" s="20">
        <v>0</v>
      </c>
      <c r="J329" s="19">
        <f t="shared" si="28"/>
        <v>0</v>
      </c>
      <c r="K329" s="19">
        <f t="shared" si="29"/>
        <v>0</v>
      </c>
      <c r="L329" s="19">
        <v>-6.6E-4</v>
      </c>
      <c r="M329" s="19">
        <v>2.8080000000000001E-2</v>
      </c>
      <c r="N329" s="19">
        <v>2.8080000000000001E-2</v>
      </c>
      <c r="O329" s="19">
        <v>2.8049999999999999E-2</v>
      </c>
      <c r="P329" s="19">
        <v>2.802E-2</v>
      </c>
      <c r="Q329" s="19"/>
      <c r="R329" s="19">
        <f t="shared" si="30"/>
        <v>0</v>
      </c>
      <c r="S329" s="19">
        <f t="shared" si="31"/>
        <v>0</v>
      </c>
      <c r="T329" s="19">
        <f t="shared" si="32"/>
        <v>0</v>
      </c>
      <c r="U329" s="19">
        <f t="shared" si="33"/>
        <v>0</v>
      </c>
      <c r="V329" s="21">
        <f t="shared" si="34"/>
        <v>0</v>
      </c>
    </row>
    <row r="330" spans="1:22" ht="13.5" x14ac:dyDescent="0.35">
      <c r="A330" s="18">
        <v>111183</v>
      </c>
      <c r="B330" s="19" t="s">
        <v>356</v>
      </c>
      <c r="C330" s="19">
        <v>0.4</v>
      </c>
      <c r="D330" s="19">
        <v>101</v>
      </c>
      <c r="E330" s="19">
        <v>1032</v>
      </c>
      <c r="F330" s="19">
        <v>0</v>
      </c>
      <c r="G330" s="19">
        <v>0</v>
      </c>
      <c r="H330" s="19">
        <v>0</v>
      </c>
      <c r="I330" s="20">
        <v>0</v>
      </c>
      <c r="J330" s="19">
        <f t="shared" si="28"/>
        <v>0</v>
      </c>
      <c r="K330" s="19">
        <f t="shared" si="29"/>
        <v>0</v>
      </c>
      <c r="L330" s="19">
        <v>-6.6E-4</v>
      </c>
      <c r="M330" s="19">
        <v>2.8080000000000001E-2</v>
      </c>
      <c r="N330" s="19">
        <v>2.8080000000000001E-2</v>
      </c>
      <c r="O330" s="19">
        <v>2.8049999999999999E-2</v>
      </c>
      <c r="P330" s="19">
        <v>2.802E-2</v>
      </c>
      <c r="Q330" s="19"/>
      <c r="R330" s="19">
        <f t="shared" si="30"/>
        <v>0</v>
      </c>
      <c r="S330" s="19">
        <f t="shared" si="31"/>
        <v>0</v>
      </c>
      <c r="T330" s="19">
        <f t="shared" si="32"/>
        <v>0</v>
      </c>
      <c r="U330" s="19">
        <f t="shared" si="33"/>
        <v>0</v>
      </c>
      <c r="V330" s="21">
        <f t="shared" si="34"/>
        <v>0</v>
      </c>
    </row>
    <row r="331" spans="1:22" ht="13.5" x14ac:dyDescent="0.35">
      <c r="A331" s="18">
        <v>111188</v>
      </c>
      <c r="B331" s="19" t="s">
        <v>357</v>
      </c>
      <c r="C331" s="19">
        <v>13.8</v>
      </c>
      <c r="D331" s="19">
        <v>101</v>
      </c>
      <c r="E331" s="19">
        <v>1033</v>
      </c>
      <c r="F331" s="19">
        <v>46.96</v>
      </c>
      <c r="G331" s="19">
        <v>0</v>
      </c>
      <c r="H331" s="19">
        <v>46.96</v>
      </c>
      <c r="I331" s="20">
        <v>46.96</v>
      </c>
      <c r="J331" s="19">
        <f t="shared" si="28"/>
        <v>0</v>
      </c>
      <c r="K331" s="19">
        <f t="shared" si="29"/>
        <v>0</v>
      </c>
      <c r="L331" s="19">
        <v>-6.6E-4</v>
      </c>
      <c r="M331" s="19">
        <v>2.869E-2</v>
      </c>
      <c r="N331" s="19">
        <v>2.869E-2</v>
      </c>
      <c r="O331" s="19">
        <v>2.8660000000000001E-2</v>
      </c>
      <c r="P331" s="19">
        <v>2.8629999999999999E-2</v>
      </c>
      <c r="Q331" s="19"/>
      <c r="R331" s="19">
        <f t="shared" si="30"/>
        <v>0</v>
      </c>
      <c r="S331" s="19">
        <f t="shared" si="31"/>
        <v>0</v>
      </c>
      <c r="T331" s="19">
        <f t="shared" si="32"/>
        <v>0</v>
      </c>
      <c r="U331" s="19">
        <f t="shared" si="33"/>
        <v>0</v>
      </c>
      <c r="V331" s="21">
        <f t="shared" si="34"/>
        <v>0</v>
      </c>
    </row>
    <row r="332" spans="1:22" ht="13.5" x14ac:dyDescent="0.35">
      <c r="A332" s="18">
        <v>111189</v>
      </c>
      <c r="B332" s="19" t="s">
        <v>358</v>
      </c>
      <c r="C332" s="19">
        <v>13.8</v>
      </c>
      <c r="D332" s="19">
        <v>101</v>
      </c>
      <c r="E332" s="19">
        <v>1033</v>
      </c>
      <c r="F332" s="19">
        <v>22.5</v>
      </c>
      <c r="G332" s="19">
        <v>0</v>
      </c>
      <c r="H332" s="19">
        <v>22.5</v>
      </c>
      <c r="I332" s="20">
        <v>22.5</v>
      </c>
      <c r="J332" s="19">
        <f t="shared" si="28"/>
        <v>0</v>
      </c>
      <c r="K332" s="19">
        <f t="shared" si="29"/>
        <v>0</v>
      </c>
      <c r="L332" s="19">
        <v>-6.6E-4</v>
      </c>
      <c r="M332" s="19">
        <v>2.869E-2</v>
      </c>
      <c r="N332" s="19">
        <v>2.869E-2</v>
      </c>
      <c r="O332" s="19">
        <v>2.8660000000000001E-2</v>
      </c>
      <c r="P332" s="19">
        <v>2.8629999999999999E-2</v>
      </c>
      <c r="Q332" s="19"/>
      <c r="R332" s="19">
        <f t="shared" si="30"/>
        <v>0</v>
      </c>
      <c r="S332" s="19">
        <f t="shared" si="31"/>
        <v>0</v>
      </c>
      <c r="T332" s="19">
        <f t="shared" si="32"/>
        <v>0</v>
      </c>
      <c r="U332" s="19">
        <f t="shared" si="33"/>
        <v>0</v>
      </c>
      <c r="V332" s="21">
        <f t="shared" si="34"/>
        <v>0</v>
      </c>
    </row>
    <row r="333" spans="1:22" ht="13.5" x14ac:dyDescent="0.35">
      <c r="A333" s="18">
        <v>111202</v>
      </c>
      <c r="B333" s="19" t="s">
        <v>359</v>
      </c>
      <c r="C333" s="19">
        <v>115</v>
      </c>
      <c r="D333" s="19">
        <v>101</v>
      </c>
      <c r="E333" s="19">
        <v>1040</v>
      </c>
      <c r="F333" s="19">
        <v>0</v>
      </c>
      <c r="G333" s="19">
        <v>0</v>
      </c>
      <c r="H333" s="19">
        <v>0</v>
      </c>
      <c r="I333" s="20">
        <v>0</v>
      </c>
      <c r="J333" s="19">
        <f t="shared" si="28"/>
        <v>0</v>
      </c>
      <c r="K333" s="19">
        <f t="shared" si="29"/>
        <v>0</v>
      </c>
      <c r="L333" s="19">
        <v>-6.6E-4</v>
      </c>
      <c r="M333" s="19">
        <v>2.708E-2</v>
      </c>
      <c r="N333" s="19">
        <v>2.708E-2</v>
      </c>
      <c r="O333" s="19">
        <v>2.7050000000000001E-2</v>
      </c>
      <c r="P333" s="19">
        <v>2.7029999999999998E-2</v>
      </c>
      <c r="Q333" s="19"/>
      <c r="R333" s="19">
        <f t="shared" si="30"/>
        <v>0</v>
      </c>
      <c r="S333" s="19">
        <f t="shared" si="31"/>
        <v>0</v>
      </c>
      <c r="T333" s="19">
        <f t="shared" si="32"/>
        <v>0</v>
      </c>
      <c r="U333" s="19">
        <f t="shared" si="33"/>
        <v>0</v>
      </c>
      <c r="V333" s="21">
        <f t="shared" si="34"/>
        <v>0</v>
      </c>
    </row>
    <row r="334" spans="1:22" ht="13.5" x14ac:dyDescent="0.35">
      <c r="A334" s="18">
        <v>111248</v>
      </c>
      <c r="B334" s="19" t="s">
        <v>360</v>
      </c>
      <c r="C334" s="19">
        <v>14.4</v>
      </c>
      <c r="D334" s="19">
        <v>101</v>
      </c>
      <c r="E334" s="19">
        <v>1044</v>
      </c>
      <c r="F334" s="19">
        <v>0</v>
      </c>
      <c r="G334" s="19">
        <v>0</v>
      </c>
      <c r="H334" s="19">
        <v>0</v>
      </c>
      <c r="I334" s="20">
        <v>0</v>
      </c>
      <c r="J334" s="19">
        <f t="shared" ref="J334:J397" si="35">I334-F334</f>
        <v>0</v>
      </c>
      <c r="K334" s="19">
        <f t="shared" ref="K334:K397" si="36">H334-I334</f>
        <v>0</v>
      </c>
      <c r="L334" s="19">
        <v>-6.6E-4</v>
      </c>
      <c r="M334" s="19">
        <v>2.7130000000000001E-2</v>
      </c>
      <c r="N334" s="19">
        <v>2.7130000000000001E-2</v>
      </c>
      <c r="O334" s="19">
        <v>2.7099999999999999E-2</v>
      </c>
      <c r="P334" s="19">
        <v>2.707E-2</v>
      </c>
      <c r="Q334" s="19"/>
      <c r="R334" s="19">
        <f t="shared" ref="R334:R397" si="37">L334*J334</f>
        <v>0</v>
      </c>
      <c r="S334" s="19">
        <f t="shared" ref="S334:S397" si="38">M334*J334</f>
        <v>0</v>
      </c>
      <c r="T334" s="19">
        <f t="shared" ref="T334:T397" si="39">N334*J334</f>
        <v>0</v>
      </c>
      <c r="U334" s="19">
        <f t="shared" ref="U334:U397" si="40">O334*J334</f>
        <v>0</v>
      </c>
      <c r="V334" s="21">
        <f t="shared" ref="V334:V397" si="41">P334*J334</f>
        <v>0</v>
      </c>
    </row>
    <row r="335" spans="1:22" ht="13.5" x14ac:dyDescent="0.35">
      <c r="A335" s="18">
        <v>111251</v>
      </c>
      <c r="B335" s="19" t="s">
        <v>361</v>
      </c>
      <c r="C335" s="19">
        <v>18</v>
      </c>
      <c r="D335" s="19">
        <v>101</v>
      </c>
      <c r="E335" s="19">
        <v>1043</v>
      </c>
      <c r="F335" s="19">
        <v>0</v>
      </c>
      <c r="G335" s="19">
        <v>0</v>
      </c>
      <c r="H335" s="19">
        <v>0</v>
      </c>
      <c r="I335" s="20">
        <v>0</v>
      </c>
      <c r="J335" s="19">
        <f t="shared" si="35"/>
        <v>0</v>
      </c>
      <c r="K335" s="19">
        <f t="shared" si="36"/>
        <v>0</v>
      </c>
      <c r="L335" s="19">
        <v>-6.6E-4</v>
      </c>
      <c r="M335" s="19">
        <v>2.6530000000000001E-2</v>
      </c>
      <c r="N335" s="19">
        <v>2.6530000000000001E-2</v>
      </c>
      <c r="O335" s="19">
        <v>2.6499999999999999E-2</v>
      </c>
      <c r="P335" s="19">
        <v>2.647E-2</v>
      </c>
      <c r="Q335" s="19"/>
      <c r="R335" s="19">
        <f t="shared" si="37"/>
        <v>0</v>
      </c>
      <c r="S335" s="19">
        <f t="shared" si="38"/>
        <v>0</v>
      </c>
      <c r="T335" s="19">
        <f t="shared" si="39"/>
        <v>0</v>
      </c>
      <c r="U335" s="19">
        <f t="shared" si="40"/>
        <v>0</v>
      </c>
      <c r="V335" s="21">
        <f t="shared" si="41"/>
        <v>0</v>
      </c>
    </row>
    <row r="336" spans="1:22" ht="13.5" x14ac:dyDescent="0.35">
      <c r="A336" s="18">
        <v>111252</v>
      </c>
      <c r="B336" s="19" t="s">
        <v>362</v>
      </c>
      <c r="C336" s="19">
        <v>18</v>
      </c>
      <c r="D336" s="19">
        <v>101</v>
      </c>
      <c r="E336" s="19">
        <v>1043</v>
      </c>
      <c r="F336" s="19">
        <v>0</v>
      </c>
      <c r="G336" s="19">
        <v>0</v>
      </c>
      <c r="H336" s="19">
        <v>0</v>
      </c>
      <c r="I336" s="20">
        <v>0</v>
      </c>
      <c r="J336" s="19">
        <f t="shared" si="35"/>
        <v>0</v>
      </c>
      <c r="K336" s="19">
        <f t="shared" si="36"/>
        <v>0</v>
      </c>
      <c r="L336" s="19">
        <v>-6.6E-4</v>
      </c>
      <c r="M336" s="19">
        <v>2.6530000000000001E-2</v>
      </c>
      <c r="N336" s="19">
        <v>2.6530000000000001E-2</v>
      </c>
      <c r="O336" s="19">
        <v>2.6499999999999999E-2</v>
      </c>
      <c r="P336" s="19">
        <v>2.647E-2</v>
      </c>
      <c r="Q336" s="19"/>
      <c r="R336" s="19">
        <f t="shared" si="37"/>
        <v>0</v>
      </c>
      <c r="S336" s="19">
        <f t="shared" si="38"/>
        <v>0</v>
      </c>
      <c r="T336" s="19">
        <f t="shared" si="39"/>
        <v>0</v>
      </c>
      <c r="U336" s="19">
        <f t="shared" si="40"/>
        <v>0</v>
      </c>
      <c r="V336" s="21">
        <f t="shared" si="41"/>
        <v>0</v>
      </c>
    </row>
    <row r="337" spans="1:22" ht="13.5" x14ac:dyDescent="0.35">
      <c r="A337" s="18">
        <v>111253</v>
      </c>
      <c r="B337" s="19" t="s">
        <v>363</v>
      </c>
      <c r="C337" s="19">
        <v>23</v>
      </c>
      <c r="D337" s="19">
        <v>101</v>
      </c>
      <c r="E337" s="19">
        <v>1043</v>
      </c>
      <c r="F337" s="19">
        <v>0</v>
      </c>
      <c r="G337" s="19">
        <v>0</v>
      </c>
      <c r="H337" s="19">
        <v>0</v>
      </c>
      <c r="I337" s="20">
        <v>0</v>
      </c>
      <c r="J337" s="19">
        <f t="shared" si="35"/>
        <v>0</v>
      </c>
      <c r="K337" s="19">
        <f t="shared" si="36"/>
        <v>0</v>
      </c>
      <c r="L337" s="19">
        <v>-6.6E-4</v>
      </c>
      <c r="M337" s="19">
        <v>2.7130000000000001E-2</v>
      </c>
      <c r="N337" s="19">
        <v>2.7130000000000001E-2</v>
      </c>
      <c r="O337" s="19">
        <v>2.7099999999999999E-2</v>
      </c>
      <c r="P337" s="19">
        <v>2.707E-2</v>
      </c>
      <c r="Q337" s="19"/>
      <c r="R337" s="19">
        <f t="shared" si="37"/>
        <v>0</v>
      </c>
      <c r="S337" s="19">
        <f t="shared" si="38"/>
        <v>0</v>
      </c>
      <c r="T337" s="19">
        <f t="shared" si="39"/>
        <v>0</v>
      </c>
      <c r="U337" s="19">
        <f t="shared" si="40"/>
        <v>0</v>
      </c>
      <c r="V337" s="21">
        <f t="shared" si="41"/>
        <v>0</v>
      </c>
    </row>
    <row r="338" spans="1:22" ht="13.5" x14ac:dyDescent="0.35">
      <c r="A338" s="18">
        <v>111256</v>
      </c>
      <c r="B338" s="19" t="s">
        <v>364</v>
      </c>
      <c r="C338" s="19">
        <v>25</v>
      </c>
      <c r="D338" s="19">
        <v>101</v>
      </c>
      <c r="E338" s="19">
        <v>1043</v>
      </c>
      <c r="F338" s="19">
        <v>0</v>
      </c>
      <c r="G338" s="19">
        <v>0</v>
      </c>
      <c r="H338" s="19">
        <v>0</v>
      </c>
      <c r="I338" s="20">
        <v>0</v>
      </c>
      <c r="J338" s="19">
        <f t="shared" si="35"/>
        <v>0</v>
      </c>
      <c r="K338" s="19">
        <f t="shared" si="36"/>
        <v>0</v>
      </c>
      <c r="L338" s="19">
        <v>-6.6E-4</v>
      </c>
      <c r="M338" s="19">
        <v>2.6530000000000001E-2</v>
      </c>
      <c r="N338" s="19">
        <v>2.6530000000000001E-2</v>
      </c>
      <c r="O338" s="19">
        <v>2.6499999999999999E-2</v>
      </c>
      <c r="P338" s="19">
        <v>2.647E-2</v>
      </c>
      <c r="Q338" s="19"/>
      <c r="R338" s="19">
        <f t="shared" si="37"/>
        <v>0</v>
      </c>
      <c r="S338" s="19">
        <f t="shared" si="38"/>
        <v>0</v>
      </c>
      <c r="T338" s="19">
        <f t="shared" si="39"/>
        <v>0</v>
      </c>
      <c r="U338" s="19">
        <f t="shared" si="40"/>
        <v>0</v>
      </c>
      <c r="V338" s="21">
        <f t="shared" si="41"/>
        <v>0</v>
      </c>
    </row>
    <row r="339" spans="1:22" ht="13.5" x14ac:dyDescent="0.35">
      <c r="A339" s="18">
        <v>111316</v>
      </c>
      <c r="B339" s="19" t="s">
        <v>365</v>
      </c>
      <c r="C339" s="19">
        <v>13.8</v>
      </c>
      <c r="D339" s="19">
        <v>101</v>
      </c>
      <c r="E339" s="19">
        <v>1053</v>
      </c>
      <c r="F339" s="19">
        <v>35.54</v>
      </c>
      <c r="G339" s="19">
        <v>0</v>
      </c>
      <c r="H339" s="19">
        <v>35.54</v>
      </c>
      <c r="I339" s="20">
        <v>35.54</v>
      </c>
      <c r="J339" s="19">
        <f t="shared" si="35"/>
        <v>0</v>
      </c>
      <c r="K339" s="19">
        <f t="shared" si="36"/>
        <v>0</v>
      </c>
      <c r="L339" s="19">
        <v>-6.6E-4</v>
      </c>
      <c r="M339" s="19">
        <v>2.8570000000000002E-2</v>
      </c>
      <c r="N339" s="19">
        <v>2.8570000000000002E-2</v>
      </c>
      <c r="O339" s="19">
        <v>2.8539999999999999E-2</v>
      </c>
      <c r="P339" s="19">
        <v>2.8510000000000001E-2</v>
      </c>
      <c r="Q339" s="19"/>
      <c r="R339" s="19">
        <f t="shared" si="37"/>
        <v>0</v>
      </c>
      <c r="S339" s="19">
        <f t="shared" si="38"/>
        <v>0</v>
      </c>
      <c r="T339" s="19">
        <f t="shared" si="39"/>
        <v>0</v>
      </c>
      <c r="U339" s="19">
        <f t="shared" si="40"/>
        <v>0</v>
      </c>
      <c r="V339" s="21">
        <f t="shared" si="41"/>
        <v>0</v>
      </c>
    </row>
    <row r="340" spans="1:22" ht="13.5" x14ac:dyDescent="0.35">
      <c r="A340" s="18">
        <v>111317</v>
      </c>
      <c r="B340" s="19" t="s">
        <v>366</v>
      </c>
      <c r="C340" s="19">
        <v>13.8</v>
      </c>
      <c r="D340" s="19">
        <v>101</v>
      </c>
      <c r="E340" s="19">
        <v>1053</v>
      </c>
      <c r="F340" s="19">
        <v>21.06</v>
      </c>
      <c r="G340" s="19">
        <v>0</v>
      </c>
      <c r="H340" s="19">
        <v>21.3</v>
      </c>
      <c r="I340" s="20">
        <v>21.06</v>
      </c>
      <c r="J340" s="19">
        <f t="shared" si="35"/>
        <v>0</v>
      </c>
      <c r="K340" s="19">
        <f t="shared" si="36"/>
        <v>0.24000000000000199</v>
      </c>
      <c r="L340" s="19">
        <v>-6.6E-4</v>
      </c>
      <c r="M340" s="19">
        <v>2.8570000000000002E-2</v>
      </c>
      <c r="N340" s="19">
        <v>2.8570000000000002E-2</v>
      </c>
      <c r="O340" s="19">
        <v>2.8539999999999999E-2</v>
      </c>
      <c r="P340" s="19">
        <v>2.8510000000000001E-2</v>
      </c>
      <c r="Q340" s="19"/>
      <c r="R340" s="19">
        <f t="shared" si="37"/>
        <v>0</v>
      </c>
      <c r="S340" s="19">
        <f t="shared" si="38"/>
        <v>0</v>
      </c>
      <c r="T340" s="19">
        <f t="shared" si="39"/>
        <v>0</v>
      </c>
      <c r="U340" s="19">
        <f t="shared" si="40"/>
        <v>0</v>
      </c>
      <c r="V340" s="21">
        <f t="shared" si="41"/>
        <v>0</v>
      </c>
    </row>
    <row r="341" spans="1:22" ht="13.5" x14ac:dyDescent="0.35">
      <c r="A341" s="18">
        <v>111346</v>
      </c>
      <c r="B341" s="19" t="s">
        <v>367</v>
      </c>
      <c r="C341" s="19">
        <v>33</v>
      </c>
      <c r="D341" s="19">
        <v>101</v>
      </c>
      <c r="E341" s="19">
        <v>1040</v>
      </c>
      <c r="F341" s="19">
        <v>0</v>
      </c>
      <c r="G341" s="19">
        <v>0</v>
      </c>
      <c r="H341" s="19">
        <v>0</v>
      </c>
      <c r="I341" s="20">
        <v>0</v>
      </c>
      <c r="J341" s="19">
        <f t="shared" si="35"/>
        <v>0</v>
      </c>
      <c r="K341" s="19">
        <f t="shared" si="36"/>
        <v>0</v>
      </c>
      <c r="L341" s="19">
        <v>-6.6E-4</v>
      </c>
      <c r="M341" s="19">
        <v>2.708E-2</v>
      </c>
      <c r="N341" s="19">
        <v>2.708E-2</v>
      </c>
      <c r="O341" s="19">
        <v>2.7050000000000001E-2</v>
      </c>
      <c r="P341" s="19">
        <v>2.7029999999999998E-2</v>
      </c>
      <c r="Q341" s="19"/>
      <c r="R341" s="19">
        <f t="shared" si="37"/>
        <v>0</v>
      </c>
      <c r="S341" s="19">
        <f t="shared" si="38"/>
        <v>0</v>
      </c>
      <c r="T341" s="19">
        <f t="shared" si="39"/>
        <v>0</v>
      </c>
      <c r="U341" s="19">
        <f t="shared" si="40"/>
        <v>0</v>
      </c>
      <c r="V341" s="21">
        <f t="shared" si="41"/>
        <v>0</v>
      </c>
    </row>
    <row r="342" spans="1:22" ht="13.5" x14ac:dyDescent="0.35">
      <c r="A342" s="18">
        <v>111347</v>
      </c>
      <c r="B342" s="19" t="s">
        <v>368</v>
      </c>
      <c r="C342" s="19">
        <v>33</v>
      </c>
      <c r="D342" s="19">
        <v>101</v>
      </c>
      <c r="E342" s="19">
        <v>1040</v>
      </c>
      <c r="F342" s="19">
        <v>0</v>
      </c>
      <c r="G342" s="19">
        <v>0</v>
      </c>
      <c r="H342" s="19">
        <v>0</v>
      </c>
      <c r="I342" s="20">
        <v>0</v>
      </c>
      <c r="J342" s="19">
        <f t="shared" si="35"/>
        <v>0</v>
      </c>
      <c r="K342" s="19">
        <f t="shared" si="36"/>
        <v>0</v>
      </c>
      <c r="L342" s="19">
        <v>-6.6E-4</v>
      </c>
      <c r="M342" s="19">
        <v>2.708E-2</v>
      </c>
      <c r="N342" s="19">
        <v>2.708E-2</v>
      </c>
      <c r="O342" s="19">
        <v>2.7050000000000001E-2</v>
      </c>
      <c r="P342" s="19">
        <v>2.7029999999999998E-2</v>
      </c>
      <c r="Q342" s="19"/>
      <c r="R342" s="19">
        <f t="shared" si="37"/>
        <v>0</v>
      </c>
      <c r="S342" s="19">
        <f t="shared" si="38"/>
        <v>0</v>
      </c>
      <c r="T342" s="19">
        <f t="shared" si="39"/>
        <v>0</v>
      </c>
      <c r="U342" s="19">
        <f t="shared" si="40"/>
        <v>0</v>
      </c>
      <c r="V342" s="21">
        <f t="shared" si="41"/>
        <v>0</v>
      </c>
    </row>
    <row r="343" spans="1:22" ht="13.5" x14ac:dyDescent="0.35">
      <c r="A343" s="18">
        <v>111365</v>
      </c>
      <c r="B343" s="19" t="s">
        <v>369</v>
      </c>
      <c r="C343" s="19">
        <v>0.69</v>
      </c>
      <c r="D343" s="19">
        <v>101</v>
      </c>
      <c r="E343" s="19">
        <v>1043</v>
      </c>
      <c r="F343" s="19">
        <v>0</v>
      </c>
      <c r="G343" s="19">
        <v>0</v>
      </c>
      <c r="H343" s="19">
        <v>0</v>
      </c>
      <c r="I343" s="20">
        <v>0</v>
      </c>
      <c r="J343" s="19">
        <f t="shared" si="35"/>
        <v>0</v>
      </c>
      <c r="K343" s="19">
        <f t="shared" si="36"/>
        <v>0</v>
      </c>
      <c r="L343" s="19">
        <v>-6.6E-4</v>
      </c>
      <c r="M343" s="19">
        <v>2.708E-2</v>
      </c>
      <c r="N343" s="19">
        <v>2.708E-2</v>
      </c>
      <c r="O343" s="19">
        <v>2.7050000000000001E-2</v>
      </c>
      <c r="P343" s="19">
        <v>2.7029999999999998E-2</v>
      </c>
      <c r="Q343" s="19"/>
      <c r="R343" s="19">
        <f t="shared" si="37"/>
        <v>0</v>
      </c>
      <c r="S343" s="19">
        <f t="shared" si="38"/>
        <v>0</v>
      </c>
      <c r="T343" s="19">
        <f t="shared" si="39"/>
        <v>0</v>
      </c>
      <c r="U343" s="19">
        <f t="shared" si="40"/>
        <v>0</v>
      </c>
      <c r="V343" s="21">
        <f t="shared" si="41"/>
        <v>0</v>
      </c>
    </row>
    <row r="344" spans="1:22" ht="13.5" x14ac:dyDescent="0.35">
      <c r="A344" s="18">
        <v>111366</v>
      </c>
      <c r="B344" s="19" t="s">
        <v>370</v>
      </c>
      <c r="C344" s="19">
        <v>0.69</v>
      </c>
      <c r="D344" s="19">
        <v>101</v>
      </c>
      <c r="E344" s="19">
        <v>1043</v>
      </c>
      <c r="F344" s="19">
        <v>0</v>
      </c>
      <c r="G344" s="19">
        <v>0</v>
      </c>
      <c r="H344" s="19">
        <v>0</v>
      </c>
      <c r="I344" s="20">
        <v>0</v>
      </c>
      <c r="J344" s="19">
        <f t="shared" si="35"/>
        <v>0</v>
      </c>
      <c r="K344" s="19">
        <f t="shared" si="36"/>
        <v>0</v>
      </c>
      <c r="L344" s="19">
        <v>-6.6E-4</v>
      </c>
      <c r="M344" s="19">
        <v>2.708E-2</v>
      </c>
      <c r="N344" s="19">
        <v>2.708E-2</v>
      </c>
      <c r="O344" s="19">
        <v>2.7050000000000001E-2</v>
      </c>
      <c r="P344" s="19">
        <v>2.7029999999999998E-2</v>
      </c>
      <c r="Q344" s="19"/>
      <c r="R344" s="19">
        <f t="shared" si="37"/>
        <v>0</v>
      </c>
      <c r="S344" s="19">
        <f t="shared" si="38"/>
        <v>0</v>
      </c>
      <c r="T344" s="19">
        <f t="shared" si="39"/>
        <v>0</v>
      </c>
      <c r="U344" s="19">
        <f t="shared" si="40"/>
        <v>0</v>
      </c>
      <c r="V344" s="21">
        <f t="shared" si="41"/>
        <v>0</v>
      </c>
    </row>
    <row r="345" spans="1:22" ht="13.5" x14ac:dyDescent="0.35">
      <c r="A345" s="18">
        <v>111367</v>
      </c>
      <c r="B345" s="19" t="s">
        <v>371</v>
      </c>
      <c r="C345" s="19">
        <v>0.69</v>
      </c>
      <c r="D345" s="19">
        <v>101</v>
      </c>
      <c r="E345" s="19">
        <v>1043</v>
      </c>
      <c r="F345" s="19">
        <v>0</v>
      </c>
      <c r="G345" s="19">
        <v>0</v>
      </c>
      <c r="H345" s="19">
        <v>0</v>
      </c>
      <c r="I345" s="20">
        <v>0</v>
      </c>
      <c r="J345" s="19">
        <f t="shared" si="35"/>
        <v>0</v>
      </c>
      <c r="K345" s="19">
        <f t="shared" si="36"/>
        <v>0</v>
      </c>
      <c r="L345" s="19">
        <v>-6.6E-4</v>
      </c>
      <c r="M345" s="19">
        <v>2.708E-2</v>
      </c>
      <c r="N345" s="19">
        <v>2.708E-2</v>
      </c>
      <c r="O345" s="19">
        <v>2.7050000000000001E-2</v>
      </c>
      <c r="P345" s="19">
        <v>2.7029999999999998E-2</v>
      </c>
      <c r="Q345" s="19"/>
      <c r="R345" s="19">
        <f t="shared" si="37"/>
        <v>0</v>
      </c>
      <c r="S345" s="19">
        <f t="shared" si="38"/>
        <v>0</v>
      </c>
      <c r="T345" s="19">
        <f t="shared" si="39"/>
        <v>0</v>
      </c>
      <c r="U345" s="19">
        <f t="shared" si="40"/>
        <v>0</v>
      </c>
      <c r="V345" s="21">
        <f t="shared" si="41"/>
        <v>0</v>
      </c>
    </row>
    <row r="346" spans="1:22" ht="13.5" x14ac:dyDescent="0.35">
      <c r="A346" s="18">
        <v>111368</v>
      </c>
      <c r="B346" s="19" t="s">
        <v>372</v>
      </c>
      <c r="C346" s="19">
        <v>0.69</v>
      </c>
      <c r="D346" s="19">
        <v>101</v>
      </c>
      <c r="E346" s="19">
        <v>1043</v>
      </c>
      <c r="F346" s="19">
        <v>0</v>
      </c>
      <c r="G346" s="19">
        <v>0</v>
      </c>
      <c r="H346" s="19">
        <v>0</v>
      </c>
      <c r="I346" s="20">
        <v>0</v>
      </c>
      <c r="J346" s="19">
        <f t="shared" si="35"/>
        <v>0</v>
      </c>
      <c r="K346" s="19">
        <f t="shared" si="36"/>
        <v>0</v>
      </c>
      <c r="L346" s="19">
        <v>-6.6E-4</v>
      </c>
      <c r="M346" s="19">
        <v>2.708E-2</v>
      </c>
      <c r="N346" s="19">
        <v>2.708E-2</v>
      </c>
      <c r="O346" s="19">
        <v>2.7050000000000001E-2</v>
      </c>
      <c r="P346" s="19">
        <v>2.7029999999999998E-2</v>
      </c>
      <c r="Q346" s="19"/>
      <c r="R346" s="19">
        <f t="shared" si="37"/>
        <v>0</v>
      </c>
      <c r="S346" s="19">
        <f t="shared" si="38"/>
        <v>0</v>
      </c>
      <c r="T346" s="19">
        <f t="shared" si="39"/>
        <v>0</v>
      </c>
      <c r="U346" s="19">
        <f t="shared" si="40"/>
        <v>0</v>
      </c>
      <c r="V346" s="21">
        <f t="shared" si="41"/>
        <v>0</v>
      </c>
    </row>
    <row r="347" spans="1:22" ht="13.5" x14ac:dyDescent="0.35">
      <c r="A347" s="18">
        <v>111722</v>
      </c>
      <c r="B347" s="19" t="s">
        <v>373</v>
      </c>
      <c r="C347" s="19">
        <v>13.8</v>
      </c>
      <c r="D347" s="19">
        <v>101</v>
      </c>
      <c r="E347" s="19">
        <v>1063</v>
      </c>
      <c r="F347" s="19">
        <v>52.6</v>
      </c>
      <c r="G347" s="19">
        <v>0</v>
      </c>
      <c r="H347" s="19">
        <v>52.6</v>
      </c>
      <c r="I347" s="20">
        <v>52.6</v>
      </c>
      <c r="J347" s="19">
        <f t="shared" si="35"/>
        <v>0</v>
      </c>
      <c r="K347" s="19">
        <f t="shared" si="36"/>
        <v>0</v>
      </c>
      <c r="L347" s="19">
        <v>-6.6E-4</v>
      </c>
      <c r="M347" s="19">
        <v>2.409E-2</v>
      </c>
      <c r="N347" s="19">
        <v>2.409E-2</v>
      </c>
      <c r="O347" s="19">
        <v>2.4060000000000002E-2</v>
      </c>
      <c r="P347" s="19">
        <v>2.4029999999999999E-2</v>
      </c>
      <c r="Q347" s="19"/>
      <c r="R347" s="19">
        <f t="shared" si="37"/>
        <v>0</v>
      </c>
      <c r="S347" s="19">
        <f t="shared" si="38"/>
        <v>0</v>
      </c>
      <c r="T347" s="19">
        <f t="shared" si="39"/>
        <v>0</v>
      </c>
      <c r="U347" s="19">
        <f t="shared" si="40"/>
        <v>0</v>
      </c>
      <c r="V347" s="21">
        <f t="shared" si="41"/>
        <v>0</v>
      </c>
    </row>
    <row r="348" spans="1:22" ht="13.5" x14ac:dyDescent="0.35">
      <c r="A348" s="18">
        <v>111723</v>
      </c>
      <c r="B348" s="19" t="s">
        <v>374</v>
      </c>
      <c r="C348" s="19">
        <v>13.8</v>
      </c>
      <c r="D348" s="19">
        <v>101</v>
      </c>
      <c r="E348" s="19">
        <v>1063</v>
      </c>
      <c r="F348" s="19">
        <v>52.6</v>
      </c>
      <c r="G348" s="19">
        <v>0</v>
      </c>
      <c r="H348" s="19">
        <v>52.6</v>
      </c>
      <c r="I348" s="20">
        <v>52.6</v>
      </c>
      <c r="J348" s="19">
        <f t="shared" si="35"/>
        <v>0</v>
      </c>
      <c r="K348" s="19">
        <f t="shared" si="36"/>
        <v>0</v>
      </c>
      <c r="L348" s="19">
        <v>-6.6E-4</v>
      </c>
      <c r="M348" s="19">
        <v>2.409E-2</v>
      </c>
      <c r="N348" s="19">
        <v>2.409E-2</v>
      </c>
      <c r="O348" s="19">
        <v>2.4060000000000002E-2</v>
      </c>
      <c r="P348" s="19">
        <v>2.4029999999999999E-2</v>
      </c>
      <c r="Q348" s="19"/>
      <c r="R348" s="19">
        <f t="shared" si="37"/>
        <v>0</v>
      </c>
      <c r="S348" s="19">
        <f t="shared" si="38"/>
        <v>0</v>
      </c>
      <c r="T348" s="19">
        <f t="shared" si="39"/>
        <v>0</v>
      </c>
      <c r="U348" s="19">
        <f t="shared" si="40"/>
        <v>0</v>
      </c>
      <c r="V348" s="21">
        <f t="shared" si="41"/>
        <v>0</v>
      </c>
    </row>
    <row r="349" spans="1:22" ht="13.5" x14ac:dyDescent="0.35">
      <c r="A349" s="18">
        <v>111728</v>
      </c>
      <c r="B349" s="19" t="s">
        <v>375</v>
      </c>
      <c r="C349" s="19">
        <v>13.8</v>
      </c>
      <c r="D349" s="19">
        <v>101</v>
      </c>
      <c r="E349" s="19">
        <v>1063</v>
      </c>
      <c r="F349" s="19">
        <v>61.4</v>
      </c>
      <c r="G349" s="19">
        <v>0</v>
      </c>
      <c r="H349" s="19">
        <v>61.4</v>
      </c>
      <c r="I349" s="20">
        <v>61.4</v>
      </c>
      <c r="J349" s="19">
        <f t="shared" si="35"/>
        <v>0</v>
      </c>
      <c r="K349" s="19">
        <f t="shared" si="36"/>
        <v>0</v>
      </c>
      <c r="L349" s="19">
        <v>-6.6E-4</v>
      </c>
      <c r="M349" s="19">
        <v>2.409E-2</v>
      </c>
      <c r="N349" s="19">
        <v>2.409E-2</v>
      </c>
      <c r="O349" s="19">
        <v>2.4060000000000002E-2</v>
      </c>
      <c r="P349" s="19">
        <v>2.4029999999999999E-2</v>
      </c>
      <c r="Q349" s="19"/>
      <c r="R349" s="19">
        <f t="shared" si="37"/>
        <v>0</v>
      </c>
      <c r="S349" s="19">
        <f t="shared" si="38"/>
        <v>0</v>
      </c>
      <c r="T349" s="19">
        <f t="shared" si="39"/>
        <v>0</v>
      </c>
      <c r="U349" s="19">
        <f t="shared" si="40"/>
        <v>0</v>
      </c>
      <c r="V349" s="21">
        <f t="shared" si="41"/>
        <v>0</v>
      </c>
    </row>
    <row r="350" spans="1:22" ht="13.5" x14ac:dyDescent="0.35">
      <c r="A350" s="18">
        <v>111729</v>
      </c>
      <c r="B350" s="19" t="s">
        <v>376</v>
      </c>
      <c r="C350" s="19">
        <v>13.8</v>
      </c>
      <c r="D350" s="19">
        <v>101</v>
      </c>
      <c r="E350" s="19">
        <v>1063</v>
      </c>
      <c r="F350" s="19">
        <v>18.100000000000001</v>
      </c>
      <c r="G350" s="19">
        <v>0</v>
      </c>
      <c r="H350" s="19">
        <v>18.100000000000001</v>
      </c>
      <c r="I350" s="20">
        <v>18.100000000000001</v>
      </c>
      <c r="J350" s="19">
        <f t="shared" si="35"/>
        <v>0</v>
      </c>
      <c r="K350" s="19">
        <f t="shared" si="36"/>
        <v>0</v>
      </c>
      <c r="L350" s="19">
        <v>-6.6E-4</v>
      </c>
      <c r="M350" s="19">
        <v>2.409E-2</v>
      </c>
      <c r="N350" s="19">
        <v>2.409E-2</v>
      </c>
      <c r="O350" s="19">
        <v>2.4060000000000002E-2</v>
      </c>
      <c r="P350" s="19">
        <v>2.4029999999999999E-2</v>
      </c>
      <c r="Q350" s="19"/>
      <c r="R350" s="19">
        <f t="shared" si="37"/>
        <v>0</v>
      </c>
      <c r="S350" s="19">
        <f t="shared" si="38"/>
        <v>0</v>
      </c>
      <c r="T350" s="19">
        <f t="shared" si="39"/>
        <v>0</v>
      </c>
      <c r="U350" s="19">
        <f t="shared" si="40"/>
        <v>0</v>
      </c>
      <c r="V350" s="21">
        <f t="shared" si="41"/>
        <v>0</v>
      </c>
    </row>
    <row r="351" spans="1:22" ht="13.5" x14ac:dyDescent="0.35">
      <c r="A351" s="18">
        <v>113011</v>
      </c>
      <c r="B351" s="19" t="s">
        <v>377</v>
      </c>
      <c r="C351" s="19">
        <v>115</v>
      </c>
      <c r="D351" s="19">
        <v>101</v>
      </c>
      <c r="E351" s="19">
        <v>1100</v>
      </c>
      <c r="F351" s="19">
        <v>0</v>
      </c>
      <c r="G351" s="19">
        <v>0</v>
      </c>
      <c r="H351" s="19">
        <v>0</v>
      </c>
      <c r="I351" s="20">
        <v>0</v>
      </c>
      <c r="J351" s="19">
        <f t="shared" si="35"/>
        <v>0</v>
      </c>
      <c r="K351" s="19">
        <f t="shared" si="36"/>
        <v>0</v>
      </c>
      <c r="L351" s="19">
        <v>-6.6E-4</v>
      </c>
      <c r="M351" s="19">
        <v>-2.7299999999999998E-3</v>
      </c>
      <c r="N351" s="19">
        <v>-2.7299999999999998E-3</v>
      </c>
      <c r="O351" s="19">
        <v>-2.7599999999999999E-3</v>
      </c>
      <c r="P351" s="19">
        <v>-2.7799999999999999E-3</v>
      </c>
      <c r="Q351" s="19"/>
      <c r="R351" s="19">
        <f t="shared" si="37"/>
        <v>0</v>
      </c>
      <c r="S351" s="19">
        <f t="shared" si="38"/>
        <v>0</v>
      </c>
      <c r="T351" s="19">
        <f t="shared" si="39"/>
        <v>0</v>
      </c>
      <c r="U351" s="19">
        <f t="shared" si="40"/>
        <v>0</v>
      </c>
      <c r="V351" s="21">
        <f t="shared" si="41"/>
        <v>0</v>
      </c>
    </row>
    <row r="352" spans="1:22" ht="13.5" x14ac:dyDescent="0.35">
      <c r="A352" s="18">
        <v>113020</v>
      </c>
      <c r="B352" s="19" t="s">
        <v>378</v>
      </c>
      <c r="C352" s="19">
        <v>115</v>
      </c>
      <c r="D352" s="19">
        <v>101</v>
      </c>
      <c r="E352" s="19">
        <v>1100</v>
      </c>
      <c r="F352" s="19">
        <v>0</v>
      </c>
      <c r="G352" s="19">
        <v>0</v>
      </c>
      <c r="H352" s="19">
        <v>0</v>
      </c>
      <c r="I352" s="20">
        <v>0</v>
      </c>
      <c r="J352" s="19">
        <f t="shared" si="35"/>
        <v>0</v>
      </c>
      <c r="K352" s="19">
        <f t="shared" si="36"/>
        <v>0</v>
      </c>
      <c r="L352" s="19">
        <v>-6.6E-4</v>
      </c>
      <c r="M352" s="19">
        <v>-3.5599999999999998E-3</v>
      </c>
      <c r="N352" s="19">
        <v>-3.5599999999999998E-3</v>
      </c>
      <c r="O352" s="19">
        <v>-3.5999999999999999E-3</v>
      </c>
      <c r="P352" s="19">
        <v>-3.62E-3</v>
      </c>
      <c r="Q352" s="19"/>
      <c r="R352" s="19">
        <f t="shared" si="37"/>
        <v>0</v>
      </c>
      <c r="S352" s="19">
        <f t="shared" si="38"/>
        <v>0</v>
      </c>
      <c r="T352" s="19">
        <f t="shared" si="39"/>
        <v>0</v>
      </c>
      <c r="U352" s="19">
        <f t="shared" si="40"/>
        <v>0</v>
      </c>
      <c r="V352" s="21">
        <f t="shared" si="41"/>
        <v>0</v>
      </c>
    </row>
    <row r="353" spans="1:22" ht="13.5" x14ac:dyDescent="0.35">
      <c r="A353" s="18">
        <v>113061</v>
      </c>
      <c r="B353" s="19" t="s">
        <v>379</v>
      </c>
      <c r="C353" s="19">
        <v>23</v>
      </c>
      <c r="D353" s="19">
        <v>101</v>
      </c>
      <c r="E353" s="19">
        <v>1100</v>
      </c>
      <c r="F353" s="19">
        <v>0</v>
      </c>
      <c r="G353" s="19">
        <v>0</v>
      </c>
      <c r="H353" s="19">
        <v>0</v>
      </c>
      <c r="I353" s="20">
        <v>0</v>
      </c>
      <c r="J353" s="19">
        <f t="shared" si="35"/>
        <v>0</v>
      </c>
      <c r="K353" s="19">
        <f t="shared" si="36"/>
        <v>0</v>
      </c>
      <c r="L353" s="19">
        <v>-6.6E-4</v>
      </c>
      <c r="M353" s="19">
        <v>-1.8699999999999999E-3</v>
      </c>
      <c r="N353" s="19">
        <v>-1.8699999999999999E-3</v>
      </c>
      <c r="O353" s="19">
        <v>-1.91E-3</v>
      </c>
      <c r="P353" s="19">
        <v>-1.9300000000000001E-3</v>
      </c>
      <c r="Q353" s="19"/>
      <c r="R353" s="19">
        <f t="shared" si="37"/>
        <v>0</v>
      </c>
      <c r="S353" s="19">
        <f t="shared" si="38"/>
        <v>0</v>
      </c>
      <c r="T353" s="19">
        <f t="shared" si="39"/>
        <v>0</v>
      </c>
      <c r="U353" s="19">
        <f t="shared" si="40"/>
        <v>0</v>
      </c>
      <c r="V353" s="21">
        <f t="shared" si="41"/>
        <v>0</v>
      </c>
    </row>
    <row r="354" spans="1:22" ht="13.5" x14ac:dyDescent="0.35">
      <c r="A354" s="18">
        <v>113073</v>
      </c>
      <c r="B354" s="19" t="s">
        <v>380</v>
      </c>
      <c r="C354" s="19">
        <v>23</v>
      </c>
      <c r="D354" s="19">
        <v>101</v>
      </c>
      <c r="E354" s="19">
        <v>1100</v>
      </c>
      <c r="F354" s="19">
        <v>0</v>
      </c>
      <c r="G354" s="19">
        <v>0</v>
      </c>
      <c r="H354" s="19">
        <v>0</v>
      </c>
      <c r="I354" s="20">
        <v>0</v>
      </c>
      <c r="J354" s="19">
        <f t="shared" si="35"/>
        <v>0</v>
      </c>
      <c r="K354" s="19">
        <f t="shared" si="36"/>
        <v>0</v>
      </c>
      <c r="L354" s="19">
        <v>-6.6E-4</v>
      </c>
      <c r="M354" s="19">
        <v>-1.99E-3</v>
      </c>
      <c r="N354" s="19">
        <v>-1.99E-3</v>
      </c>
      <c r="O354" s="19">
        <v>-2.0200000000000001E-3</v>
      </c>
      <c r="P354" s="19">
        <v>-2.0500000000000002E-3</v>
      </c>
      <c r="Q354" s="19"/>
      <c r="R354" s="19">
        <f t="shared" si="37"/>
        <v>0</v>
      </c>
      <c r="S354" s="19">
        <f t="shared" si="38"/>
        <v>0</v>
      </c>
      <c r="T354" s="19">
        <f t="shared" si="39"/>
        <v>0</v>
      </c>
      <c r="U354" s="19">
        <f t="shared" si="40"/>
        <v>0</v>
      </c>
      <c r="V354" s="21">
        <f t="shared" si="41"/>
        <v>0</v>
      </c>
    </row>
    <row r="355" spans="1:22" ht="13.5" x14ac:dyDescent="0.35">
      <c r="A355" s="18">
        <v>113082</v>
      </c>
      <c r="B355" s="19" t="s">
        <v>381</v>
      </c>
      <c r="C355" s="19">
        <v>13.8</v>
      </c>
      <c r="D355" s="19">
        <v>101</v>
      </c>
      <c r="E355" s="19">
        <v>1100</v>
      </c>
      <c r="F355" s="19">
        <v>0</v>
      </c>
      <c r="G355" s="19">
        <v>0</v>
      </c>
      <c r="H355" s="19">
        <v>0</v>
      </c>
      <c r="I355" s="20">
        <v>0</v>
      </c>
      <c r="J355" s="19">
        <f t="shared" si="35"/>
        <v>0</v>
      </c>
      <c r="K355" s="19">
        <f t="shared" si="36"/>
        <v>0</v>
      </c>
      <c r="L355" s="19">
        <v>-6.6E-4</v>
      </c>
      <c r="M355" s="19">
        <v>-3.5000000000000001E-3</v>
      </c>
      <c r="N355" s="19">
        <v>-3.5000000000000001E-3</v>
      </c>
      <c r="O355" s="19">
        <v>-3.5300000000000002E-3</v>
      </c>
      <c r="P355" s="19">
        <v>-3.5599999999999998E-3</v>
      </c>
      <c r="Q355" s="19"/>
      <c r="R355" s="19">
        <f t="shared" si="37"/>
        <v>0</v>
      </c>
      <c r="S355" s="19">
        <f t="shared" si="38"/>
        <v>0</v>
      </c>
      <c r="T355" s="19">
        <f t="shared" si="39"/>
        <v>0</v>
      </c>
      <c r="U355" s="19">
        <f t="shared" si="40"/>
        <v>0</v>
      </c>
      <c r="V355" s="21">
        <f t="shared" si="41"/>
        <v>0</v>
      </c>
    </row>
    <row r="356" spans="1:22" ht="13.5" x14ac:dyDescent="0.35">
      <c r="A356" s="18">
        <v>113085</v>
      </c>
      <c r="B356" s="19" t="s">
        <v>382</v>
      </c>
      <c r="C356" s="19">
        <v>13.8</v>
      </c>
      <c r="D356" s="19">
        <v>101</v>
      </c>
      <c r="E356" s="19">
        <v>1100</v>
      </c>
      <c r="F356" s="19">
        <v>0</v>
      </c>
      <c r="G356" s="19">
        <v>0</v>
      </c>
      <c r="H356" s="19">
        <v>0</v>
      </c>
      <c r="I356" s="20">
        <v>0</v>
      </c>
      <c r="J356" s="19">
        <f t="shared" si="35"/>
        <v>0</v>
      </c>
      <c r="K356" s="19">
        <f t="shared" si="36"/>
        <v>0</v>
      </c>
      <c r="L356" s="19">
        <v>-6.6E-4</v>
      </c>
      <c r="M356" s="19">
        <v>-1.8400000000000001E-3</v>
      </c>
      <c r="N356" s="19">
        <v>-1.8400000000000001E-3</v>
      </c>
      <c r="O356" s="19">
        <v>-1.8699999999999999E-3</v>
      </c>
      <c r="P356" s="19">
        <v>-1.9E-3</v>
      </c>
      <c r="Q356" s="19"/>
      <c r="R356" s="19">
        <f t="shared" si="37"/>
        <v>0</v>
      </c>
      <c r="S356" s="19">
        <f t="shared" si="38"/>
        <v>0</v>
      </c>
      <c r="T356" s="19">
        <f t="shared" si="39"/>
        <v>0</v>
      </c>
      <c r="U356" s="19">
        <f t="shared" si="40"/>
        <v>0</v>
      </c>
      <c r="V356" s="21">
        <f t="shared" si="41"/>
        <v>0</v>
      </c>
    </row>
    <row r="357" spans="1:22" ht="13.5" x14ac:dyDescent="0.35">
      <c r="A357" s="18">
        <v>113096</v>
      </c>
      <c r="B357" s="19" t="s">
        <v>383</v>
      </c>
      <c r="C357" s="19">
        <v>13.8</v>
      </c>
      <c r="D357" s="19">
        <v>101</v>
      </c>
      <c r="E357" s="19">
        <v>1100</v>
      </c>
      <c r="F357" s="19">
        <v>331.5</v>
      </c>
      <c r="G357" s="19">
        <v>0</v>
      </c>
      <c r="H357" s="19">
        <v>331.5</v>
      </c>
      <c r="I357" s="20">
        <f>331.5</f>
        <v>331.5</v>
      </c>
      <c r="J357" s="19">
        <f t="shared" si="35"/>
        <v>0</v>
      </c>
      <c r="K357" s="19">
        <f t="shared" si="36"/>
        <v>0</v>
      </c>
      <c r="L357" s="19">
        <v>-6.6E-4</v>
      </c>
      <c r="M357" s="19">
        <v>-1.4599999999999999E-3</v>
      </c>
      <c r="N357" s="19">
        <v>-1.4599999999999999E-3</v>
      </c>
      <c r="O357" s="19">
        <v>-1.49E-3</v>
      </c>
      <c r="P357" s="19">
        <v>-1.5100000000000001E-3</v>
      </c>
      <c r="Q357" s="19"/>
      <c r="R357" s="19">
        <f t="shared" si="37"/>
        <v>0</v>
      </c>
      <c r="S357" s="19">
        <f t="shared" si="38"/>
        <v>0</v>
      </c>
      <c r="T357" s="19">
        <f t="shared" si="39"/>
        <v>0</v>
      </c>
      <c r="U357" s="19">
        <f t="shared" si="40"/>
        <v>0</v>
      </c>
      <c r="V357" s="21">
        <f t="shared" si="41"/>
        <v>0</v>
      </c>
    </row>
    <row r="358" spans="1:22" ht="13.5" x14ac:dyDescent="0.35">
      <c r="A358" s="18">
        <v>113097</v>
      </c>
      <c r="B358" s="19" t="s">
        <v>384</v>
      </c>
      <c r="C358" s="19">
        <v>13.8</v>
      </c>
      <c r="D358" s="19">
        <v>101</v>
      </c>
      <c r="E358" s="19">
        <v>1100</v>
      </c>
      <c r="F358" s="19">
        <v>331.5</v>
      </c>
      <c r="G358" s="19">
        <v>0</v>
      </c>
      <c r="H358" s="19">
        <v>331.5</v>
      </c>
      <c r="I358" s="20">
        <v>331.5</v>
      </c>
      <c r="J358" s="19">
        <f t="shared" si="35"/>
        <v>0</v>
      </c>
      <c r="K358" s="19">
        <f t="shared" si="36"/>
        <v>0</v>
      </c>
      <c r="L358" s="19">
        <v>-6.6E-4</v>
      </c>
      <c r="M358" s="19">
        <v>-1.4599999999999999E-3</v>
      </c>
      <c r="N358" s="19">
        <v>-1.4599999999999999E-3</v>
      </c>
      <c r="O358" s="19">
        <v>-1.49E-3</v>
      </c>
      <c r="P358" s="19">
        <v>-1.5100000000000001E-3</v>
      </c>
      <c r="Q358" s="19"/>
      <c r="R358" s="19">
        <f t="shared" si="37"/>
        <v>0</v>
      </c>
      <c r="S358" s="19">
        <f t="shared" si="38"/>
        <v>0</v>
      </c>
      <c r="T358" s="19">
        <f t="shared" si="39"/>
        <v>0</v>
      </c>
      <c r="U358" s="19">
        <f t="shared" si="40"/>
        <v>0</v>
      </c>
      <c r="V358" s="21">
        <f t="shared" si="41"/>
        <v>0</v>
      </c>
    </row>
    <row r="359" spans="1:22" ht="13.5" x14ac:dyDescent="0.35">
      <c r="A359" s="18">
        <v>113098</v>
      </c>
      <c r="B359" s="19" t="s">
        <v>385</v>
      </c>
      <c r="C359" s="19">
        <v>2.4</v>
      </c>
      <c r="D359" s="19">
        <v>101</v>
      </c>
      <c r="E359" s="19">
        <v>1100</v>
      </c>
      <c r="F359" s="19">
        <v>0</v>
      </c>
      <c r="G359" s="19">
        <v>0</v>
      </c>
      <c r="H359" s="19">
        <v>0</v>
      </c>
      <c r="I359" s="20">
        <v>0</v>
      </c>
      <c r="J359" s="19">
        <f t="shared" si="35"/>
        <v>0</v>
      </c>
      <c r="K359" s="19">
        <f t="shared" si="36"/>
        <v>0</v>
      </c>
      <c r="L359" s="19">
        <v>-6.6E-4</v>
      </c>
      <c r="M359" s="19">
        <v>-1.6299999999999999E-3</v>
      </c>
      <c r="N359" s="19">
        <v>-1.6299999999999999E-3</v>
      </c>
      <c r="O359" s="19">
        <v>-1.66E-3</v>
      </c>
      <c r="P359" s="19">
        <v>-1.6900000000000001E-3</v>
      </c>
      <c r="Q359" s="19"/>
      <c r="R359" s="19">
        <f t="shared" si="37"/>
        <v>0</v>
      </c>
      <c r="S359" s="19">
        <f t="shared" si="38"/>
        <v>0</v>
      </c>
      <c r="T359" s="19">
        <f t="shared" si="39"/>
        <v>0</v>
      </c>
      <c r="U359" s="19">
        <f t="shared" si="40"/>
        <v>0</v>
      </c>
      <c r="V359" s="21">
        <f t="shared" si="41"/>
        <v>0</v>
      </c>
    </row>
    <row r="360" spans="1:22" ht="13.5" x14ac:dyDescent="0.35">
      <c r="A360" s="18">
        <v>113099</v>
      </c>
      <c r="B360" s="19" t="s">
        <v>386</v>
      </c>
      <c r="C360" s="19">
        <v>2.4</v>
      </c>
      <c r="D360" s="19">
        <v>101</v>
      </c>
      <c r="E360" s="19">
        <v>1100</v>
      </c>
      <c r="F360" s="19">
        <v>0</v>
      </c>
      <c r="G360" s="19">
        <v>0</v>
      </c>
      <c r="H360" s="19">
        <v>0</v>
      </c>
      <c r="I360" s="20">
        <v>0</v>
      </c>
      <c r="J360" s="19">
        <f t="shared" si="35"/>
        <v>0</v>
      </c>
      <c r="K360" s="19">
        <f t="shared" si="36"/>
        <v>0</v>
      </c>
      <c r="L360" s="19">
        <v>-6.6E-4</v>
      </c>
      <c r="M360" s="19">
        <v>-1.58E-3</v>
      </c>
      <c r="N360" s="19">
        <v>-1.58E-3</v>
      </c>
      <c r="O360" s="19">
        <v>-1.6100000000000001E-3</v>
      </c>
      <c r="P360" s="19">
        <v>-1.64E-3</v>
      </c>
      <c r="Q360" s="19"/>
      <c r="R360" s="19">
        <f t="shared" si="37"/>
        <v>0</v>
      </c>
      <c r="S360" s="19">
        <f t="shared" si="38"/>
        <v>0</v>
      </c>
      <c r="T360" s="19">
        <f t="shared" si="39"/>
        <v>0</v>
      </c>
      <c r="U360" s="19">
        <f t="shared" si="40"/>
        <v>0</v>
      </c>
      <c r="V360" s="21">
        <f t="shared" si="41"/>
        <v>0</v>
      </c>
    </row>
    <row r="361" spans="1:22" ht="13.5" x14ac:dyDescent="0.35">
      <c r="A361" s="18">
        <v>113100</v>
      </c>
      <c r="B361" s="19" t="s">
        <v>387</v>
      </c>
      <c r="C361" s="19">
        <v>2.4</v>
      </c>
      <c r="D361" s="19">
        <v>101</v>
      </c>
      <c r="E361" s="19">
        <v>1100</v>
      </c>
      <c r="F361" s="19">
        <v>0</v>
      </c>
      <c r="G361" s="19">
        <v>0</v>
      </c>
      <c r="H361" s="19">
        <v>0</v>
      </c>
      <c r="I361" s="20">
        <v>0</v>
      </c>
      <c r="J361" s="19">
        <f t="shared" si="35"/>
        <v>0</v>
      </c>
      <c r="K361" s="19">
        <f t="shared" si="36"/>
        <v>0</v>
      </c>
      <c r="L361" s="19">
        <v>-6.6E-4</v>
      </c>
      <c r="M361" s="19">
        <v>-1.5399999999999999E-3</v>
      </c>
      <c r="N361" s="19">
        <v>-1.5399999999999999E-3</v>
      </c>
      <c r="O361" s="19">
        <v>-1.57E-3</v>
      </c>
      <c r="P361" s="19">
        <v>-1.6000000000000001E-3</v>
      </c>
      <c r="Q361" s="19"/>
      <c r="R361" s="19">
        <f t="shared" si="37"/>
        <v>0</v>
      </c>
      <c r="S361" s="19">
        <f t="shared" si="38"/>
        <v>0</v>
      </c>
      <c r="T361" s="19">
        <f t="shared" si="39"/>
        <v>0</v>
      </c>
      <c r="U361" s="19">
        <f t="shared" si="40"/>
        <v>0</v>
      </c>
      <c r="V361" s="21">
        <f t="shared" si="41"/>
        <v>0</v>
      </c>
    </row>
    <row r="362" spans="1:22" ht="13.5" x14ac:dyDescent="0.35">
      <c r="A362" s="18">
        <v>113101</v>
      </c>
      <c r="B362" s="19" t="s">
        <v>388</v>
      </c>
      <c r="C362" s="19">
        <v>13.8</v>
      </c>
      <c r="D362" s="19">
        <v>101</v>
      </c>
      <c r="E362" s="19">
        <v>1100</v>
      </c>
      <c r="F362" s="19">
        <v>0</v>
      </c>
      <c r="G362" s="19">
        <v>0</v>
      </c>
      <c r="H362" s="19">
        <v>0</v>
      </c>
      <c r="I362" s="20">
        <v>0</v>
      </c>
      <c r="J362" s="19">
        <f t="shared" si="35"/>
        <v>0</v>
      </c>
      <c r="K362" s="19">
        <f t="shared" si="36"/>
        <v>0</v>
      </c>
      <c r="L362" s="19">
        <v>-6.6E-4</v>
      </c>
      <c r="M362" s="19">
        <v>-1.73E-3</v>
      </c>
      <c r="N362" s="19">
        <v>-1.73E-3</v>
      </c>
      <c r="O362" s="19">
        <v>-1.7600000000000001E-3</v>
      </c>
      <c r="P362" s="19">
        <v>-1.7899999999999999E-3</v>
      </c>
      <c r="Q362" s="19"/>
      <c r="R362" s="19">
        <f t="shared" si="37"/>
        <v>0</v>
      </c>
      <c r="S362" s="19">
        <f t="shared" si="38"/>
        <v>0</v>
      </c>
      <c r="T362" s="19">
        <f t="shared" si="39"/>
        <v>0</v>
      </c>
      <c r="U362" s="19">
        <f t="shared" si="40"/>
        <v>0</v>
      </c>
      <c r="V362" s="21">
        <f t="shared" si="41"/>
        <v>0</v>
      </c>
    </row>
    <row r="363" spans="1:22" ht="13.5" x14ac:dyDescent="0.35">
      <c r="A363" s="18">
        <v>113102</v>
      </c>
      <c r="B363" s="19" t="s">
        <v>389</v>
      </c>
      <c r="C363" s="19">
        <v>13.8</v>
      </c>
      <c r="D363" s="19">
        <v>101</v>
      </c>
      <c r="E363" s="19">
        <v>1100</v>
      </c>
      <c r="F363" s="19">
        <v>9.9</v>
      </c>
      <c r="G363" s="19">
        <v>0</v>
      </c>
      <c r="H363" s="19">
        <v>9.9</v>
      </c>
      <c r="I363" s="20">
        <v>9.9</v>
      </c>
      <c r="J363" s="19">
        <f t="shared" si="35"/>
        <v>0</v>
      </c>
      <c r="K363" s="19">
        <f t="shared" si="36"/>
        <v>0</v>
      </c>
      <c r="L363" s="19">
        <v>-6.6E-4</v>
      </c>
      <c r="M363" s="19">
        <v>-1.73E-3</v>
      </c>
      <c r="N363" s="19">
        <v>-1.73E-3</v>
      </c>
      <c r="O363" s="19">
        <v>-1.7600000000000001E-3</v>
      </c>
      <c r="P363" s="19">
        <v>-1.7899999999999999E-3</v>
      </c>
      <c r="Q363" s="19"/>
      <c r="R363" s="19">
        <f t="shared" si="37"/>
        <v>0</v>
      </c>
      <c r="S363" s="19">
        <f t="shared" si="38"/>
        <v>0</v>
      </c>
      <c r="T363" s="19">
        <f t="shared" si="39"/>
        <v>0</v>
      </c>
      <c r="U363" s="19">
        <f t="shared" si="40"/>
        <v>0</v>
      </c>
      <c r="V363" s="21">
        <f t="shared" si="41"/>
        <v>0</v>
      </c>
    </row>
    <row r="364" spans="1:22" ht="13.5" x14ac:dyDescent="0.35">
      <c r="A364" s="18">
        <v>113104</v>
      </c>
      <c r="B364" s="19" t="s">
        <v>390</v>
      </c>
      <c r="C364" s="19">
        <v>2.4</v>
      </c>
      <c r="D364" s="19">
        <v>101</v>
      </c>
      <c r="E364" s="19">
        <v>1100</v>
      </c>
      <c r="F364" s="19">
        <v>0</v>
      </c>
      <c r="G364" s="19">
        <v>0</v>
      </c>
      <c r="H364" s="19">
        <v>0</v>
      </c>
      <c r="I364" s="20">
        <v>0</v>
      </c>
      <c r="J364" s="19">
        <f t="shared" si="35"/>
        <v>0</v>
      </c>
      <c r="K364" s="19">
        <f t="shared" si="36"/>
        <v>0</v>
      </c>
      <c r="L364" s="19">
        <v>-6.6E-4</v>
      </c>
      <c r="M364" s="19">
        <v>-1.75E-3</v>
      </c>
      <c r="N364" s="19">
        <v>-1.75E-3</v>
      </c>
      <c r="O364" s="19">
        <v>-1.7799999999999999E-3</v>
      </c>
      <c r="P364" s="19">
        <v>-1.8E-3</v>
      </c>
      <c r="Q364" s="19"/>
      <c r="R364" s="19">
        <f t="shared" si="37"/>
        <v>0</v>
      </c>
      <c r="S364" s="19">
        <f t="shared" si="38"/>
        <v>0</v>
      </c>
      <c r="T364" s="19">
        <f t="shared" si="39"/>
        <v>0</v>
      </c>
      <c r="U364" s="19">
        <f t="shared" si="40"/>
        <v>0</v>
      </c>
      <c r="V364" s="21">
        <f t="shared" si="41"/>
        <v>0</v>
      </c>
    </row>
    <row r="365" spans="1:22" ht="13.5" x14ac:dyDescent="0.35">
      <c r="A365" s="18">
        <v>113123</v>
      </c>
      <c r="B365" s="19" t="s">
        <v>391</v>
      </c>
      <c r="C365" s="19">
        <v>0.69</v>
      </c>
      <c r="D365" s="19">
        <v>101</v>
      </c>
      <c r="E365" s="19">
        <v>1100</v>
      </c>
      <c r="F365" s="19">
        <v>0</v>
      </c>
      <c r="G365" s="19">
        <v>0</v>
      </c>
      <c r="H365" s="19">
        <v>0</v>
      </c>
      <c r="I365" s="20">
        <v>0</v>
      </c>
      <c r="J365" s="19">
        <f t="shared" si="35"/>
        <v>0</v>
      </c>
      <c r="K365" s="19">
        <f t="shared" si="36"/>
        <v>0</v>
      </c>
      <c r="L365" s="19">
        <v>-6.6E-4</v>
      </c>
      <c r="M365" s="19">
        <v>-1.74E-3</v>
      </c>
      <c r="N365" s="19">
        <v>-1.74E-3</v>
      </c>
      <c r="O365" s="19">
        <v>-1.7700000000000001E-3</v>
      </c>
      <c r="P365" s="19">
        <v>-1.7899999999999999E-3</v>
      </c>
      <c r="Q365" s="19"/>
      <c r="R365" s="19">
        <f t="shared" si="37"/>
        <v>0</v>
      </c>
      <c r="S365" s="19">
        <f t="shared" si="38"/>
        <v>0</v>
      </c>
      <c r="T365" s="19">
        <f t="shared" si="39"/>
        <v>0</v>
      </c>
      <c r="U365" s="19">
        <f t="shared" si="40"/>
        <v>0</v>
      </c>
      <c r="V365" s="21">
        <f t="shared" si="41"/>
        <v>0</v>
      </c>
    </row>
    <row r="366" spans="1:22" ht="13.5" x14ac:dyDescent="0.35">
      <c r="A366" s="18">
        <v>113125</v>
      </c>
      <c r="B366" s="19" t="s">
        <v>392</v>
      </c>
      <c r="C366" s="19">
        <v>0.69</v>
      </c>
      <c r="D366" s="19">
        <v>101</v>
      </c>
      <c r="E366" s="19">
        <v>1100</v>
      </c>
      <c r="F366" s="19">
        <v>0</v>
      </c>
      <c r="G366" s="19">
        <v>0</v>
      </c>
      <c r="H366" s="19">
        <v>0</v>
      </c>
      <c r="I366" s="20">
        <v>0</v>
      </c>
      <c r="J366" s="19">
        <f t="shared" si="35"/>
        <v>0</v>
      </c>
      <c r="K366" s="19">
        <f t="shared" si="36"/>
        <v>0</v>
      </c>
      <c r="L366" s="19">
        <v>-6.6E-4</v>
      </c>
      <c r="M366" s="19">
        <v>-1.74E-3</v>
      </c>
      <c r="N366" s="19">
        <v>-1.74E-3</v>
      </c>
      <c r="O366" s="19">
        <v>-1.7700000000000001E-3</v>
      </c>
      <c r="P366" s="19">
        <v>-1.7899999999999999E-3</v>
      </c>
      <c r="Q366" s="19"/>
      <c r="R366" s="19">
        <f t="shared" si="37"/>
        <v>0</v>
      </c>
      <c r="S366" s="19">
        <f t="shared" si="38"/>
        <v>0</v>
      </c>
      <c r="T366" s="19">
        <f t="shared" si="39"/>
        <v>0</v>
      </c>
      <c r="U366" s="19">
        <f t="shared" si="40"/>
        <v>0</v>
      </c>
      <c r="V366" s="21">
        <f t="shared" si="41"/>
        <v>0</v>
      </c>
    </row>
    <row r="367" spans="1:22" ht="13.5" x14ac:dyDescent="0.35">
      <c r="A367" s="18">
        <v>113128</v>
      </c>
      <c r="B367" s="19" t="s">
        <v>393</v>
      </c>
      <c r="C367" s="19">
        <v>0.34</v>
      </c>
      <c r="D367" s="19">
        <v>101</v>
      </c>
      <c r="E367" s="19">
        <v>1100</v>
      </c>
      <c r="F367" s="19">
        <v>0</v>
      </c>
      <c r="G367" s="19">
        <v>0</v>
      </c>
      <c r="H367" s="19">
        <v>0</v>
      </c>
      <c r="I367" s="20">
        <v>0</v>
      </c>
      <c r="J367" s="19">
        <f t="shared" si="35"/>
        <v>0</v>
      </c>
      <c r="K367" s="19">
        <f t="shared" si="36"/>
        <v>0</v>
      </c>
      <c r="L367" s="19">
        <v>-6.6E-4</v>
      </c>
      <c r="M367" s="19">
        <v>-1.8500000000000001E-3</v>
      </c>
      <c r="N367" s="19">
        <v>-1.8500000000000001E-3</v>
      </c>
      <c r="O367" s="19">
        <v>-1.8799999999999999E-3</v>
      </c>
      <c r="P367" s="19">
        <v>-1.9E-3</v>
      </c>
      <c r="Q367" s="19"/>
      <c r="R367" s="19">
        <f t="shared" si="37"/>
        <v>0</v>
      </c>
      <c r="S367" s="19">
        <f t="shared" si="38"/>
        <v>0</v>
      </c>
      <c r="T367" s="19">
        <f t="shared" si="39"/>
        <v>0</v>
      </c>
      <c r="U367" s="19">
        <f t="shared" si="40"/>
        <v>0</v>
      </c>
      <c r="V367" s="21">
        <f t="shared" si="41"/>
        <v>0</v>
      </c>
    </row>
    <row r="368" spans="1:22" ht="13.5" x14ac:dyDescent="0.35">
      <c r="A368" s="18">
        <v>113129</v>
      </c>
      <c r="B368" s="19" t="s">
        <v>394</v>
      </c>
      <c r="C368" s="19">
        <v>0.34</v>
      </c>
      <c r="D368" s="19">
        <v>101</v>
      </c>
      <c r="E368" s="19">
        <v>1100</v>
      </c>
      <c r="F368" s="19">
        <v>0</v>
      </c>
      <c r="G368" s="19">
        <v>0</v>
      </c>
      <c r="H368" s="19">
        <v>0</v>
      </c>
      <c r="I368" s="20">
        <v>0</v>
      </c>
      <c r="J368" s="19">
        <f t="shared" si="35"/>
        <v>0</v>
      </c>
      <c r="K368" s="19">
        <f t="shared" si="36"/>
        <v>0</v>
      </c>
      <c r="L368" s="19">
        <v>-6.6E-4</v>
      </c>
      <c r="M368" s="19">
        <v>-1.8500000000000001E-3</v>
      </c>
      <c r="N368" s="19">
        <v>-1.8500000000000001E-3</v>
      </c>
      <c r="O368" s="19">
        <v>-1.8799999999999999E-3</v>
      </c>
      <c r="P368" s="19">
        <v>-1.9E-3</v>
      </c>
      <c r="Q368" s="19"/>
      <c r="R368" s="19">
        <f t="shared" si="37"/>
        <v>0</v>
      </c>
      <c r="S368" s="19">
        <f t="shared" si="38"/>
        <v>0</v>
      </c>
      <c r="T368" s="19">
        <f t="shared" si="39"/>
        <v>0</v>
      </c>
      <c r="U368" s="19">
        <f t="shared" si="40"/>
        <v>0</v>
      </c>
      <c r="V368" s="21">
        <f t="shared" si="41"/>
        <v>0</v>
      </c>
    </row>
    <row r="369" spans="1:22" ht="13.5" x14ac:dyDescent="0.35">
      <c r="A369" s="18">
        <v>113130</v>
      </c>
      <c r="B369" s="19" t="s">
        <v>395</v>
      </c>
      <c r="C369" s="19">
        <v>0.36</v>
      </c>
      <c r="D369" s="19">
        <v>101</v>
      </c>
      <c r="E369" s="19">
        <v>1100</v>
      </c>
      <c r="F369" s="19">
        <v>0</v>
      </c>
      <c r="G369" s="19">
        <v>0</v>
      </c>
      <c r="H369" s="19">
        <v>0</v>
      </c>
      <c r="I369" s="20">
        <v>0</v>
      </c>
      <c r="J369" s="19">
        <f t="shared" si="35"/>
        <v>0</v>
      </c>
      <c r="K369" s="19">
        <f t="shared" si="36"/>
        <v>0</v>
      </c>
      <c r="L369" s="19">
        <v>-6.6E-4</v>
      </c>
      <c r="M369" s="19">
        <v>-1.8500000000000001E-3</v>
      </c>
      <c r="N369" s="19">
        <v>-1.8500000000000001E-3</v>
      </c>
      <c r="O369" s="19">
        <v>-1.8799999999999999E-3</v>
      </c>
      <c r="P369" s="19">
        <v>-1.9E-3</v>
      </c>
      <c r="Q369" s="19"/>
      <c r="R369" s="19">
        <f t="shared" si="37"/>
        <v>0</v>
      </c>
      <c r="S369" s="19">
        <f t="shared" si="38"/>
        <v>0</v>
      </c>
      <c r="T369" s="19">
        <f t="shared" si="39"/>
        <v>0</v>
      </c>
      <c r="U369" s="19">
        <f t="shared" si="40"/>
        <v>0</v>
      </c>
      <c r="V369" s="21">
        <f t="shared" si="41"/>
        <v>0</v>
      </c>
    </row>
    <row r="370" spans="1:22" ht="13.5" x14ac:dyDescent="0.35">
      <c r="A370" s="18">
        <v>113138</v>
      </c>
      <c r="B370" s="19" t="s">
        <v>396</v>
      </c>
      <c r="C370" s="19">
        <v>0.38</v>
      </c>
      <c r="D370" s="19">
        <v>101</v>
      </c>
      <c r="E370" s="19">
        <v>1100</v>
      </c>
      <c r="F370" s="19">
        <v>0</v>
      </c>
      <c r="G370" s="19">
        <v>0</v>
      </c>
      <c r="H370" s="19">
        <v>0</v>
      </c>
      <c r="I370" s="20">
        <v>0</v>
      </c>
      <c r="J370" s="19">
        <f t="shared" si="35"/>
        <v>0</v>
      </c>
      <c r="K370" s="19">
        <f t="shared" si="36"/>
        <v>0</v>
      </c>
      <c r="L370" s="19">
        <v>-6.6E-4</v>
      </c>
      <c r="M370" s="19">
        <v>-2.82E-3</v>
      </c>
      <c r="N370" s="19">
        <v>-2.82E-3</v>
      </c>
      <c r="O370" s="19">
        <v>-2.8500000000000001E-3</v>
      </c>
      <c r="P370" s="19">
        <v>-2.8800000000000002E-3</v>
      </c>
      <c r="Q370" s="19"/>
      <c r="R370" s="19">
        <f t="shared" si="37"/>
        <v>0</v>
      </c>
      <c r="S370" s="19">
        <f t="shared" si="38"/>
        <v>0</v>
      </c>
      <c r="T370" s="19">
        <f t="shared" si="39"/>
        <v>0</v>
      </c>
      <c r="U370" s="19">
        <f t="shared" si="40"/>
        <v>0</v>
      </c>
      <c r="V370" s="21">
        <f t="shared" si="41"/>
        <v>0</v>
      </c>
    </row>
    <row r="371" spans="1:22" ht="13.5" x14ac:dyDescent="0.35">
      <c r="A371" s="18">
        <v>113139</v>
      </c>
      <c r="B371" s="19" t="s">
        <v>397</v>
      </c>
      <c r="C371" s="19">
        <v>0.38</v>
      </c>
      <c r="D371" s="19">
        <v>101</v>
      </c>
      <c r="E371" s="19">
        <v>1100</v>
      </c>
      <c r="F371" s="19">
        <v>0</v>
      </c>
      <c r="G371" s="19">
        <v>0</v>
      </c>
      <c r="H371" s="19">
        <v>0</v>
      </c>
      <c r="I371" s="20">
        <v>0</v>
      </c>
      <c r="J371" s="19">
        <f t="shared" si="35"/>
        <v>0</v>
      </c>
      <c r="K371" s="19">
        <f t="shared" si="36"/>
        <v>0</v>
      </c>
      <c r="L371" s="19">
        <v>-6.6E-4</v>
      </c>
      <c r="M371" s="19">
        <v>-2.82E-3</v>
      </c>
      <c r="N371" s="19">
        <v>-2.82E-3</v>
      </c>
      <c r="O371" s="19">
        <v>-2.8500000000000001E-3</v>
      </c>
      <c r="P371" s="19">
        <v>-2.8800000000000002E-3</v>
      </c>
      <c r="Q371" s="19"/>
      <c r="R371" s="19">
        <f t="shared" si="37"/>
        <v>0</v>
      </c>
      <c r="S371" s="19">
        <f t="shared" si="38"/>
        <v>0</v>
      </c>
      <c r="T371" s="19">
        <f t="shared" si="39"/>
        <v>0</v>
      </c>
      <c r="U371" s="19">
        <f t="shared" si="40"/>
        <v>0</v>
      </c>
      <c r="V371" s="21">
        <f t="shared" si="41"/>
        <v>0</v>
      </c>
    </row>
    <row r="372" spans="1:22" ht="13.5" x14ac:dyDescent="0.35">
      <c r="A372" s="18">
        <v>113142</v>
      </c>
      <c r="B372" s="19" t="s">
        <v>398</v>
      </c>
      <c r="C372" s="19">
        <v>0.48</v>
      </c>
      <c r="D372" s="19">
        <v>101</v>
      </c>
      <c r="E372" s="19">
        <v>1100</v>
      </c>
      <c r="F372" s="19">
        <v>0</v>
      </c>
      <c r="G372" s="19">
        <v>0</v>
      </c>
      <c r="H372" s="19">
        <v>0</v>
      </c>
      <c r="I372" s="20">
        <v>0</v>
      </c>
      <c r="J372" s="19">
        <f t="shared" si="35"/>
        <v>0</v>
      </c>
      <c r="K372" s="19">
        <f t="shared" si="36"/>
        <v>0</v>
      </c>
      <c r="L372" s="19">
        <v>-6.6E-4</v>
      </c>
      <c r="M372" s="19">
        <v>-3.7699999999999999E-3</v>
      </c>
      <c r="N372" s="19">
        <v>-3.7699999999999999E-3</v>
      </c>
      <c r="O372" s="19">
        <v>-3.8E-3</v>
      </c>
      <c r="P372" s="19">
        <v>-3.8300000000000001E-3</v>
      </c>
      <c r="Q372" s="19"/>
      <c r="R372" s="19">
        <f t="shared" si="37"/>
        <v>0</v>
      </c>
      <c r="S372" s="19">
        <f t="shared" si="38"/>
        <v>0</v>
      </c>
      <c r="T372" s="19">
        <f t="shared" si="39"/>
        <v>0</v>
      </c>
      <c r="U372" s="19">
        <f t="shared" si="40"/>
        <v>0</v>
      </c>
      <c r="V372" s="21">
        <f t="shared" si="41"/>
        <v>0</v>
      </c>
    </row>
    <row r="373" spans="1:22" ht="13.5" x14ac:dyDescent="0.35">
      <c r="A373" s="18">
        <v>113143</v>
      </c>
      <c r="B373" s="19" t="s">
        <v>399</v>
      </c>
      <c r="C373" s="19">
        <v>0.42</v>
      </c>
      <c r="D373" s="19">
        <v>101</v>
      </c>
      <c r="E373" s="19">
        <v>1100</v>
      </c>
      <c r="F373" s="19">
        <v>0</v>
      </c>
      <c r="G373" s="19">
        <v>0</v>
      </c>
      <c r="H373" s="19">
        <v>0</v>
      </c>
      <c r="I373" s="20">
        <v>0</v>
      </c>
      <c r="J373" s="19">
        <f t="shared" si="35"/>
        <v>0</v>
      </c>
      <c r="K373" s="19">
        <f t="shared" si="36"/>
        <v>0</v>
      </c>
      <c r="L373" s="19">
        <v>-6.6E-4</v>
      </c>
      <c r="M373" s="19">
        <v>-3.7699999999999999E-3</v>
      </c>
      <c r="N373" s="19">
        <v>-3.7699999999999999E-3</v>
      </c>
      <c r="O373" s="19">
        <v>-3.8E-3</v>
      </c>
      <c r="P373" s="19">
        <v>-3.8300000000000001E-3</v>
      </c>
      <c r="Q373" s="19"/>
      <c r="R373" s="19">
        <f t="shared" si="37"/>
        <v>0</v>
      </c>
      <c r="S373" s="19">
        <f t="shared" si="38"/>
        <v>0</v>
      </c>
      <c r="T373" s="19">
        <f t="shared" si="39"/>
        <v>0</v>
      </c>
      <c r="U373" s="19">
        <f t="shared" si="40"/>
        <v>0</v>
      </c>
      <c r="V373" s="21">
        <f t="shared" si="41"/>
        <v>0</v>
      </c>
    </row>
    <row r="374" spans="1:22" ht="13.5" x14ac:dyDescent="0.35">
      <c r="A374" s="18">
        <v>113341</v>
      </c>
      <c r="B374" s="19" t="s">
        <v>400</v>
      </c>
      <c r="C374" s="19">
        <v>69</v>
      </c>
      <c r="D374" s="19">
        <v>101</v>
      </c>
      <c r="E374" s="19">
        <v>1110</v>
      </c>
      <c r="F374" s="19">
        <v>0</v>
      </c>
      <c r="G374" s="19">
        <v>0</v>
      </c>
      <c r="H374" s="19">
        <v>0</v>
      </c>
      <c r="I374" s="20">
        <v>0</v>
      </c>
      <c r="J374" s="19">
        <f t="shared" si="35"/>
        <v>0</v>
      </c>
      <c r="K374" s="19">
        <f t="shared" si="36"/>
        <v>0</v>
      </c>
      <c r="L374" s="19">
        <v>-6.6E-4</v>
      </c>
      <c r="M374" s="19">
        <v>-1.0000000000000001E-5</v>
      </c>
      <c r="N374" s="19">
        <v>-1.0000000000000001E-5</v>
      </c>
      <c r="O374" s="19">
        <v>-4.0000000000000003E-5</v>
      </c>
      <c r="P374" s="19">
        <v>-6.0000000000000002E-5</v>
      </c>
      <c r="Q374" s="19"/>
      <c r="R374" s="19">
        <f t="shared" si="37"/>
        <v>0</v>
      </c>
      <c r="S374" s="19">
        <f t="shared" si="38"/>
        <v>0</v>
      </c>
      <c r="T374" s="19">
        <f t="shared" si="39"/>
        <v>0</v>
      </c>
      <c r="U374" s="19">
        <f t="shared" si="40"/>
        <v>0</v>
      </c>
      <c r="V374" s="21">
        <f t="shared" si="41"/>
        <v>0</v>
      </c>
    </row>
    <row r="375" spans="1:22" ht="13.5" x14ac:dyDescent="0.35">
      <c r="A375" s="18">
        <v>113378</v>
      </c>
      <c r="B375" s="19" t="s">
        <v>401</v>
      </c>
      <c r="C375" s="19">
        <v>13.8</v>
      </c>
      <c r="D375" s="19">
        <v>101</v>
      </c>
      <c r="E375" s="19">
        <v>1110</v>
      </c>
      <c r="F375" s="19">
        <v>0</v>
      </c>
      <c r="G375" s="19">
        <v>0</v>
      </c>
      <c r="H375" s="19">
        <v>0</v>
      </c>
      <c r="I375" s="20">
        <v>0</v>
      </c>
      <c r="J375" s="19">
        <f t="shared" si="35"/>
        <v>0</v>
      </c>
      <c r="K375" s="19">
        <f t="shared" si="36"/>
        <v>0</v>
      </c>
      <c r="L375" s="19">
        <v>-6.6E-4</v>
      </c>
      <c r="M375" s="19">
        <v>-6.0000000000000002E-5</v>
      </c>
      <c r="N375" s="19">
        <v>-6.0000000000000002E-5</v>
      </c>
      <c r="O375" s="19">
        <v>-9.0000000000000006E-5</v>
      </c>
      <c r="P375" s="19">
        <v>-1.2E-4</v>
      </c>
      <c r="Q375" s="19"/>
      <c r="R375" s="19">
        <f t="shared" si="37"/>
        <v>0</v>
      </c>
      <c r="S375" s="19">
        <f t="shared" si="38"/>
        <v>0</v>
      </c>
      <c r="T375" s="19">
        <f t="shared" si="39"/>
        <v>0</v>
      </c>
      <c r="U375" s="19">
        <f t="shared" si="40"/>
        <v>0</v>
      </c>
      <c r="V375" s="21">
        <f t="shared" si="41"/>
        <v>0</v>
      </c>
    </row>
    <row r="376" spans="1:22" ht="13.5" x14ac:dyDescent="0.35">
      <c r="A376" s="18">
        <v>113379</v>
      </c>
      <c r="B376" s="19" t="s">
        <v>402</v>
      </c>
      <c r="C376" s="19">
        <v>13.8</v>
      </c>
      <c r="D376" s="19">
        <v>101</v>
      </c>
      <c r="E376" s="19">
        <v>1110</v>
      </c>
      <c r="F376" s="19">
        <v>0</v>
      </c>
      <c r="G376" s="19">
        <v>0</v>
      </c>
      <c r="H376" s="19">
        <v>0</v>
      </c>
      <c r="I376" s="20">
        <v>0</v>
      </c>
      <c r="J376" s="19">
        <f t="shared" si="35"/>
        <v>0</v>
      </c>
      <c r="K376" s="19">
        <f t="shared" si="36"/>
        <v>0</v>
      </c>
      <c r="L376" s="19">
        <v>-6.6E-4</v>
      </c>
      <c r="M376" s="19">
        <v>-6.0000000000000002E-5</v>
      </c>
      <c r="N376" s="19">
        <v>-6.0000000000000002E-5</v>
      </c>
      <c r="O376" s="19">
        <v>-9.0000000000000006E-5</v>
      </c>
      <c r="P376" s="19">
        <v>-1.2E-4</v>
      </c>
      <c r="Q376" s="19"/>
      <c r="R376" s="19">
        <f t="shared" si="37"/>
        <v>0</v>
      </c>
      <c r="S376" s="19">
        <f t="shared" si="38"/>
        <v>0</v>
      </c>
      <c r="T376" s="19">
        <f t="shared" si="39"/>
        <v>0</v>
      </c>
      <c r="U376" s="19">
        <f t="shared" si="40"/>
        <v>0</v>
      </c>
      <c r="V376" s="21">
        <f t="shared" si="41"/>
        <v>0</v>
      </c>
    </row>
    <row r="377" spans="1:22" ht="13.5" x14ac:dyDescent="0.35">
      <c r="A377" s="18">
        <v>113389</v>
      </c>
      <c r="B377" s="19" t="s">
        <v>403</v>
      </c>
      <c r="C377" s="19">
        <v>13.2</v>
      </c>
      <c r="D377" s="19">
        <v>101</v>
      </c>
      <c r="E377" s="19">
        <v>1110</v>
      </c>
      <c r="F377" s="19">
        <v>0</v>
      </c>
      <c r="G377" s="19">
        <v>0</v>
      </c>
      <c r="H377" s="19">
        <v>0</v>
      </c>
      <c r="I377" s="20">
        <v>0</v>
      </c>
      <c r="J377" s="19">
        <f t="shared" si="35"/>
        <v>0</v>
      </c>
      <c r="K377" s="19">
        <f t="shared" si="36"/>
        <v>0</v>
      </c>
      <c r="L377" s="19">
        <v>-6.6E-4</v>
      </c>
      <c r="M377" s="19">
        <v>-1.6000000000000001E-3</v>
      </c>
      <c r="N377" s="19">
        <v>-1.6000000000000001E-3</v>
      </c>
      <c r="O377" s="19">
        <v>-1.6299999999999999E-3</v>
      </c>
      <c r="P377" s="19">
        <v>-1.65E-3</v>
      </c>
      <c r="Q377" s="19"/>
      <c r="R377" s="19">
        <f t="shared" si="37"/>
        <v>0</v>
      </c>
      <c r="S377" s="19">
        <f t="shared" si="38"/>
        <v>0</v>
      </c>
      <c r="T377" s="19">
        <f t="shared" si="39"/>
        <v>0</v>
      </c>
      <c r="U377" s="19">
        <f t="shared" si="40"/>
        <v>0</v>
      </c>
      <c r="V377" s="21">
        <f t="shared" si="41"/>
        <v>0</v>
      </c>
    </row>
    <row r="378" spans="1:22" ht="13.5" x14ac:dyDescent="0.35">
      <c r="A378" s="18">
        <v>113404</v>
      </c>
      <c r="B378" s="19" t="s">
        <v>404</v>
      </c>
      <c r="C378" s="19">
        <v>13.8</v>
      </c>
      <c r="D378" s="19">
        <v>101</v>
      </c>
      <c r="E378" s="19">
        <v>1110</v>
      </c>
      <c r="F378" s="19">
        <v>40.94</v>
      </c>
      <c r="G378" s="19">
        <v>0</v>
      </c>
      <c r="H378" s="19">
        <v>40.94</v>
      </c>
      <c r="I378" s="20">
        <v>40.94</v>
      </c>
      <c r="J378" s="19">
        <f t="shared" si="35"/>
        <v>0</v>
      </c>
      <c r="K378" s="19">
        <f t="shared" si="36"/>
        <v>0</v>
      </c>
      <c r="L378" s="19">
        <v>-6.6E-4</v>
      </c>
      <c r="M378" s="19">
        <v>-4.1000000000000003E-3</v>
      </c>
      <c r="N378" s="19">
        <v>-4.1000000000000003E-3</v>
      </c>
      <c r="O378" s="19">
        <v>-4.13E-3</v>
      </c>
      <c r="P378" s="19">
        <v>-4.15E-3</v>
      </c>
      <c r="Q378" s="19"/>
      <c r="R378" s="19">
        <f t="shared" si="37"/>
        <v>0</v>
      </c>
      <c r="S378" s="19">
        <f t="shared" si="38"/>
        <v>0</v>
      </c>
      <c r="T378" s="19">
        <f t="shared" si="39"/>
        <v>0</v>
      </c>
      <c r="U378" s="19">
        <f t="shared" si="40"/>
        <v>0</v>
      </c>
      <c r="V378" s="21">
        <f t="shared" si="41"/>
        <v>0</v>
      </c>
    </row>
    <row r="379" spans="1:22" ht="13.5" x14ac:dyDescent="0.35">
      <c r="A379" s="18">
        <v>113405</v>
      </c>
      <c r="B379" s="19" t="s">
        <v>405</v>
      </c>
      <c r="C379" s="19">
        <v>16</v>
      </c>
      <c r="D379" s="19">
        <v>101</v>
      </c>
      <c r="E379" s="19">
        <v>1110</v>
      </c>
      <c r="F379" s="19">
        <v>228.56</v>
      </c>
      <c r="G379" s="19">
        <v>0</v>
      </c>
      <c r="H379" s="19">
        <v>228.56</v>
      </c>
      <c r="I379" s="20">
        <f>228.56</f>
        <v>228.56</v>
      </c>
      <c r="J379" s="19">
        <f t="shared" si="35"/>
        <v>0</v>
      </c>
      <c r="K379" s="19">
        <f t="shared" si="36"/>
        <v>0</v>
      </c>
      <c r="L379" s="19">
        <v>-6.6E-4</v>
      </c>
      <c r="M379" s="19">
        <v>-1.6000000000000001E-3</v>
      </c>
      <c r="N379" s="19">
        <v>-1.6000000000000001E-3</v>
      </c>
      <c r="O379" s="19">
        <v>-1.6299999999999999E-3</v>
      </c>
      <c r="P379" s="19">
        <v>-1.65E-3</v>
      </c>
      <c r="Q379" s="19"/>
      <c r="R379" s="19">
        <f t="shared" si="37"/>
        <v>0</v>
      </c>
      <c r="S379" s="19">
        <f t="shared" si="38"/>
        <v>0</v>
      </c>
      <c r="T379" s="19">
        <f t="shared" si="39"/>
        <v>0</v>
      </c>
      <c r="U379" s="19">
        <f t="shared" si="40"/>
        <v>0</v>
      </c>
      <c r="V379" s="21">
        <f t="shared" si="41"/>
        <v>0</v>
      </c>
    </row>
    <row r="380" spans="1:22" ht="13.5" x14ac:dyDescent="0.35">
      <c r="A380" s="18">
        <v>113406</v>
      </c>
      <c r="B380" s="19" t="s">
        <v>406</v>
      </c>
      <c r="C380" s="19">
        <v>13.8</v>
      </c>
      <c r="D380" s="19">
        <v>101</v>
      </c>
      <c r="E380" s="19">
        <v>1110</v>
      </c>
      <c r="F380" s="19">
        <v>102.44</v>
      </c>
      <c r="G380" s="19">
        <v>0</v>
      </c>
      <c r="H380" s="19">
        <v>102.44</v>
      </c>
      <c r="I380" s="20">
        <v>102.44</v>
      </c>
      <c r="J380" s="19">
        <f t="shared" si="35"/>
        <v>0</v>
      </c>
      <c r="K380" s="19">
        <f t="shared" si="36"/>
        <v>0</v>
      </c>
      <c r="L380" s="19">
        <v>-6.6E-4</v>
      </c>
      <c r="M380" s="19">
        <v>-1.6000000000000001E-3</v>
      </c>
      <c r="N380" s="19">
        <v>-1.6000000000000001E-3</v>
      </c>
      <c r="O380" s="19">
        <v>-1.6299999999999999E-3</v>
      </c>
      <c r="P380" s="19">
        <v>-1.65E-3</v>
      </c>
      <c r="Q380" s="19"/>
      <c r="R380" s="19">
        <f t="shared" si="37"/>
        <v>0</v>
      </c>
      <c r="S380" s="19">
        <f t="shared" si="38"/>
        <v>0</v>
      </c>
      <c r="T380" s="19">
        <f t="shared" si="39"/>
        <v>0</v>
      </c>
      <c r="U380" s="19">
        <f t="shared" si="40"/>
        <v>0</v>
      </c>
      <c r="V380" s="21">
        <f t="shared" si="41"/>
        <v>0</v>
      </c>
    </row>
    <row r="381" spans="1:22" ht="13.5" x14ac:dyDescent="0.35">
      <c r="A381" s="18">
        <v>113429</v>
      </c>
      <c r="B381" s="19" t="s">
        <v>407</v>
      </c>
      <c r="C381" s="19">
        <v>0.48</v>
      </c>
      <c r="D381" s="19">
        <v>101</v>
      </c>
      <c r="E381" s="19">
        <v>1110</v>
      </c>
      <c r="F381" s="19">
        <v>0</v>
      </c>
      <c r="G381" s="19">
        <v>0</v>
      </c>
      <c r="H381" s="19">
        <v>0</v>
      </c>
      <c r="I381" s="20">
        <v>0</v>
      </c>
      <c r="J381" s="19">
        <f t="shared" si="35"/>
        <v>0</v>
      </c>
      <c r="K381" s="19">
        <f t="shared" si="36"/>
        <v>0</v>
      </c>
      <c r="L381" s="19">
        <v>-6.6E-4</v>
      </c>
      <c r="M381" s="19">
        <v>-2.6199999999999999E-3</v>
      </c>
      <c r="N381" s="19">
        <v>-2.6199999999999999E-3</v>
      </c>
      <c r="O381" s="19">
        <v>-2.65E-3</v>
      </c>
      <c r="P381" s="19">
        <v>-2.6800000000000001E-3</v>
      </c>
      <c r="Q381" s="19"/>
      <c r="R381" s="19">
        <f t="shared" si="37"/>
        <v>0</v>
      </c>
      <c r="S381" s="19">
        <f t="shared" si="38"/>
        <v>0</v>
      </c>
      <c r="T381" s="19">
        <f t="shared" si="39"/>
        <v>0</v>
      </c>
      <c r="U381" s="19">
        <f t="shared" si="40"/>
        <v>0</v>
      </c>
      <c r="V381" s="21">
        <f t="shared" si="41"/>
        <v>0</v>
      </c>
    </row>
    <row r="382" spans="1:22" ht="13.5" x14ac:dyDescent="0.35">
      <c r="A382" s="18">
        <v>113431</v>
      </c>
      <c r="B382" s="19" t="s">
        <v>408</v>
      </c>
      <c r="C382" s="19">
        <v>0.48</v>
      </c>
      <c r="D382" s="19">
        <v>101</v>
      </c>
      <c r="E382" s="19">
        <v>1110</v>
      </c>
      <c r="F382" s="19">
        <v>0</v>
      </c>
      <c r="G382" s="19">
        <v>0</v>
      </c>
      <c r="H382" s="19">
        <v>0</v>
      </c>
      <c r="I382" s="20">
        <v>0</v>
      </c>
      <c r="J382" s="19">
        <f t="shared" si="35"/>
        <v>0</v>
      </c>
      <c r="K382" s="19">
        <f t="shared" si="36"/>
        <v>0</v>
      </c>
      <c r="L382" s="19">
        <v>-6.6E-4</v>
      </c>
      <c r="M382" s="19">
        <v>-2.6199999999999999E-3</v>
      </c>
      <c r="N382" s="19">
        <v>-2.6199999999999999E-3</v>
      </c>
      <c r="O382" s="19">
        <v>-2.65E-3</v>
      </c>
      <c r="P382" s="19">
        <v>-2.6800000000000001E-3</v>
      </c>
      <c r="Q382" s="19"/>
      <c r="R382" s="19">
        <f t="shared" si="37"/>
        <v>0</v>
      </c>
      <c r="S382" s="19">
        <f t="shared" si="38"/>
        <v>0</v>
      </c>
      <c r="T382" s="19">
        <f t="shared" si="39"/>
        <v>0</v>
      </c>
      <c r="U382" s="19">
        <f t="shared" si="40"/>
        <v>0</v>
      </c>
      <c r="V382" s="21">
        <f t="shared" si="41"/>
        <v>0</v>
      </c>
    </row>
    <row r="383" spans="1:22" ht="13.5" x14ac:dyDescent="0.35">
      <c r="A383" s="18">
        <v>113432</v>
      </c>
      <c r="B383" s="19" t="s">
        <v>409</v>
      </c>
      <c r="C383" s="19">
        <v>0.48</v>
      </c>
      <c r="D383" s="19">
        <v>101</v>
      </c>
      <c r="E383" s="19">
        <v>1110</v>
      </c>
      <c r="F383" s="19">
        <v>0</v>
      </c>
      <c r="G383" s="19">
        <v>0</v>
      </c>
      <c r="H383" s="19">
        <v>0</v>
      </c>
      <c r="I383" s="20">
        <v>0</v>
      </c>
      <c r="J383" s="19">
        <f t="shared" si="35"/>
        <v>0</v>
      </c>
      <c r="K383" s="19">
        <f t="shared" si="36"/>
        <v>0</v>
      </c>
      <c r="L383" s="19">
        <v>-6.6E-4</v>
      </c>
      <c r="M383" s="19">
        <v>-2.6199999999999999E-3</v>
      </c>
      <c r="N383" s="19">
        <v>-2.6199999999999999E-3</v>
      </c>
      <c r="O383" s="19">
        <v>-2.65E-3</v>
      </c>
      <c r="P383" s="19">
        <v>-2.6800000000000001E-3</v>
      </c>
      <c r="Q383" s="19"/>
      <c r="R383" s="19">
        <f t="shared" si="37"/>
        <v>0</v>
      </c>
      <c r="S383" s="19">
        <f t="shared" si="38"/>
        <v>0</v>
      </c>
      <c r="T383" s="19">
        <f t="shared" si="39"/>
        <v>0</v>
      </c>
      <c r="U383" s="19">
        <f t="shared" si="40"/>
        <v>0</v>
      </c>
      <c r="V383" s="21">
        <f t="shared" si="41"/>
        <v>0</v>
      </c>
    </row>
    <row r="384" spans="1:22" ht="13.5" x14ac:dyDescent="0.35">
      <c r="A384" s="18">
        <v>113444</v>
      </c>
      <c r="B384" s="19" t="s">
        <v>410</v>
      </c>
      <c r="C384" s="19">
        <v>0.48</v>
      </c>
      <c r="D384" s="19">
        <v>101</v>
      </c>
      <c r="E384" s="19">
        <v>1110</v>
      </c>
      <c r="F384" s="19">
        <v>0</v>
      </c>
      <c r="G384" s="19">
        <v>0</v>
      </c>
      <c r="H384" s="19">
        <v>0</v>
      </c>
      <c r="I384" s="20">
        <v>0</v>
      </c>
      <c r="J384" s="19">
        <f t="shared" si="35"/>
        <v>0</v>
      </c>
      <c r="K384" s="19">
        <f t="shared" si="36"/>
        <v>0</v>
      </c>
      <c r="L384" s="19">
        <v>-6.6E-4</v>
      </c>
      <c r="M384" s="19">
        <v>5.6999999999999998E-4</v>
      </c>
      <c r="N384" s="19">
        <v>5.6999999999999998E-4</v>
      </c>
      <c r="O384" s="19">
        <v>5.2999999999999998E-4</v>
      </c>
      <c r="P384" s="19">
        <v>5.1000000000000004E-4</v>
      </c>
      <c r="Q384" s="19"/>
      <c r="R384" s="19">
        <f t="shared" si="37"/>
        <v>0</v>
      </c>
      <c r="S384" s="19">
        <f t="shared" si="38"/>
        <v>0</v>
      </c>
      <c r="T384" s="19">
        <f t="shared" si="39"/>
        <v>0</v>
      </c>
      <c r="U384" s="19">
        <f t="shared" si="40"/>
        <v>0</v>
      </c>
      <c r="V384" s="21">
        <f t="shared" si="41"/>
        <v>0</v>
      </c>
    </row>
    <row r="385" spans="1:22" ht="13.5" x14ac:dyDescent="0.35">
      <c r="A385" s="18">
        <v>113451</v>
      </c>
      <c r="B385" s="19" t="s">
        <v>411</v>
      </c>
      <c r="C385" s="19">
        <v>0.6</v>
      </c>
      <c r="D385" s="19">
        <v>101</v>
      </c>
      <c r="E385" s="19">
        <v>1110</v>
      </c>
      <c r="F385" s="19">
        <v>0</v>
      </c>
      <c r="G385" s="19">
        <v>0</v>
      </c>
      <c r="H385" s="19">
        <v>0</v>
      </c>
      <c r="I385" s="20">
        <v>0</v>
      </c>
      <c r="J385" s="19">
        <f t="shared" si="35"/>
        <v>0</v>
      </c>
      <c r="K385" s="19">
        <f t="shared" si="36"/>
        <v>0</v>
      </c>
      <c r="L385" s="19">
        <v>-6.6E-4</v>
      </c>
      <c r="M385" s="19">
        <v>6.7000000000000002E-4</v>
      </c>
      <c r="N385" s="19">
        <v>6.7000000000000002E-4</v>
      </c>
      <c r="O385" s="19">
        <v>6.4000000000000005E-4</v>
      </c>
      <c r="P385" s="19">
        <v>6.0999999999999997E-4</v>
      </c>
      <c r="Q385" s="19"/>
      <c r="R385" s="19">
        <f t="shared" si="37"/>
        <v>0</v>
      </c>
      <c r="S385" s="19">
        <f t="shared" si="38"/>
        <v>0</v>
      </c>
      <c r="T385" s="19">
        <f t="shared" si="39"/>
        <v>0</v>
      </c>
      <c r="U385" s="19">
        <f t="shared" si="40"/>
        <v>0</v>
      </c>
      <c r="V385" s="21">
        <f t="shared" si="41"/>
        <v>0</v>
      </c>
    </row>
    <row r="386" spans="1:22" ht="13.5" x14ac:dyDescent="0.35">
      <c r="A386" s="18">
        <v>113877</v>
      </c>
      <c r="B386" s="19" t="s">
        <v>412</v>
      </c>
      <c r="C386" s="19">
        <v>13.8</v>
      </c>
      <c r="D386" s="19">
        <v>101</v>
      </c>
      <c r="E386" s="19">
        <v>1206</v>
      </c>
      <c r="F386" s="19">
        <v>0</v>
      </c>
      <c r="G386" s="19">
        <v>0</v>
      </c>
      <c r="H386" s="19">
        <v>0</v>
      </c>
      <c r="I386" s="20">
        <v>0</v>
      </c>
      <c r="J386" s="19">
        <f t="shared" si="35"/>
        <v>0</v>
      </c>
      <c r="K386" s="19">
        <f t="shared" si="36"/>
        <v>0</v>
      </c>
      <c r="L386" s="19">
        <v>-6.6E-4</v>
      </c>
      <c r="M386" s="19">
        <v>5.1000000000000004E-4</v>
      </c>
      <c r="N386" s="19">
        <v>5.1000000000000004E-4</v>
      </c>
      <c r="O386" s="19">
        <v>4.8000000000000001E-4</v>
      </c>
      <c r="P386" s="19">
        <v>4.4999999999999999E-4</v>
      </c>
      <c r="Q386" s="19"/>
      <c r="R386" s="19">
        <f t="shared" si="37"/>
        <v>0</v>
      </c>
      <c r="S386" s="19">
        <f t="shared" si="38"/>
        <v>0</v>
      </c>
      <c r="T386" s="19">
        <f t="shared" si="39"/>
        <v>0</v>
      </c>
      <c r="U386" s="19">
        <f t="shared" si="40"/>
        <v>0</v>
      </c>
      <c r="V386" s="21">
        <f t="shared" si="41"/>
        <v>0</v>
      </c>
    </row>
    <row r="387" spans="1:22" ht="13.5" x14ac:dyDescent="0.35">
      <c r="A387" s="18">
        <v>113889</v>
      </c>
      <c r="B387" s="19" t="s">
        <v>413</v>
      </c>
      <c r="C387" s="19">
        <v>13.8</v>
      </c>
      <c r="D387" s="19">
        <v>101</v>
      </c>
      <c r="E387" s="19">
        <v>1208</v>
      </c>
      <c r="F387" s="19">
        <v>0</v>
      </c>
      <c r="G387" s="19">
        <v>0</v>
      </c>
      <c r="H387" s="19">
        <v>0</v>
      </c>
      <c r="I387" s="20">
        <v>0</v>
      </c>
      <c r="J387" s="19">
        <f t="shared" si="35"/>
        <v>0</v>
      </c>
      <c r="K387" s="19">
        <f t="shared" si="36"/>
        <v>0</v>
      </c>
      <c r="L387" s="19">
        <v>-6.6E-4</v>
      </c>
      <c r="M387" s="19">
        <v>6.9999999999999994E-5</v>
      </c>
      <c r="N387" s="19">
        <v>6.9999999999999994E-5</v>
      </c>
      <c r="O387" s="19">
        <v>4.0000000000000003E-5</v>
      </c>
      <c r="P387" s="19">
        <v>1.0000000000000001E-5</v>
      </c>
      <c r="Q387" s="19"/>
      <c r="R387" s="19">
        <f t="shared" si="37"/>
        <v>0</v>
      </c>
      <c r="S387" s="19">
        <f t="shared" si="38"/>
        <v>0</v>
      </c>
      <c r="T387" s="19">
        <f t="shared" si="39"/>
        <v>0</v>
      </c>
      <c r="U387" s="19">
        <f t="shared" si="40"/>
        <v>0</v>
      </c>
      <c r="V387" s="21">
        <f t="shared" si="41"/>
        <v>0</v>
      </c>
    </row>
    <row r="388" spans="1:22" ht="13.5" x14ac:dyDescent="0.35">
      <c r="A388" s="18">
        <v>113894</v>
      </c>
      <c r="B388" s="19" t="s">
        <v>414</v>
      </c>
      <c r="C388" s="19">
        <v>13.8</v>
      </c>
      <c r="D388" s="19">
        <v>101</v>
      </c>
      <c r="E388" s="19">
        <v>1210</v>
      </c>
      <c r="F388" s="19">
        <v>0</v>
      </c>
      <c r="G388" s="19">
        <v>0</v>
      </c>
      <c r="H388" s="19">
        <v>0</v>
      </c>
      <c r="I388" s="20">
        <v>0</v>
      </c>
      <c r="J388" s="19">
        <f t="shared" si="35"/>
        <v>0</v>
      </c>
      <c r="K388" s="19">
        <f t="shared" si="36"/>
        <v>0</v>
      </c>
      <c r="L388" s="19">
        <v>-6.6E-4</v>
      </c>
      <c r="M388" s="19">
        <v>3.6999999999999999E-4</v>
      </c>
      <c r="N388" s="19">
        <v>3.6999999999999999E-4</v>
      </c>
      <c r="O388" s="19">
        <v>3.4000000000000002E-4</v>
      </c>
      <c r="P388" s="19">
        <v>3.2000000000000003E-4</v>
      </c>
      <c r="Q388" s="19"/>
      <c r="R388" s="19">
        <f t="shared" si="37"/>
        <v>0</v>
      </c>
      <c r="S388" s="19">
        <f t="shared" si="38"/>
        <v>0</v>
      </c>
      <c r="T388" s="19">
        <f t="shared" si="39"/>
        <v>0</v>
      </c>
      <c r="U388" s="19">
        <f t="shared" si="40"/>
        <v>0</v>
      </c>
      <c r="V388" s="21">
        <f t="shared" si="41"/>
        <v>0</v>
      </c>
    </row>
    <row r="389" spans="1:22" ht="13.5" x14ac:dyDescent="0.35">
      <c r="A389" s="18">
        <v>113907</v>
      </c>
      <c r="B389" s="19" t="s">
        <v>415</v>
      </c>
      <c r="C389" s="19">
        <v>69</v>
      </c>
      <c r="D389" s="19">
        <v>101</v>
      </c>
      <c r="E389" s="19">
        <v>1214</v>
      </c>
      <c r="F389" s="19">
        <v>0</v>
      </c>
      <c r="G389" s="19">
        <v>0</v>
      </c>
      <c r="H389" s="19">
        <v>0</v>
      </c>
      <c r="I389" s="20">
        <v>0</v>
      </c>
      <c r="J389" s="19">
        <f t="shared" si="35"/>
        <v>0</v>
      </c>
      <c r="K389" s="19">
        <f t="shared" si="36"/>
        <v>0</v>
      </c>
      <c r="L389" s="19">
        <v>-6.6E-4</v>
      </c>
      <c r="M389" s="19">
        <v>-2.3500000000000001E-3</v>
      </c>
      <c r="N389" s="19">
        <v>-2.3500000000000001E-3</v>
      </c>
      <c r="O389" s="19">
        <v>-2.3800000000000002E-3</v>
      </c>
      <c r="P389" s="19">
        <v>-2.3999999999999998E-3</v>
      </c>
      <c r="Q389" s="19"/>
      <c r="R389" s="19">
        <f t="shared" si="37"/>
        <v>0</v>
      </c>
      <c r="S389" s="19">
        <f t="shared" si="38"/>
        <v>0</v>
      </c>
      <c r="T389" s="19">
        <f t="shared" si="39"/>
        <v>0</v>
      </c>
      <c r="U389" s="19">
        <f t="shared" si="40"/>
        <v>0</v>
      </c>
      <c r="V389" s="21">
        <f t="shared" si="41"/>
        <v>0</v>
      </c>
    </row>
    <row r="390" spans="1:22" ht="13.5" x14ac:dyDescent="0.35">
      <c r="A390" s="18">
        <v>113926</v>
      </c>
      <c r="B390" s="19" t="s">
        <v>416</v>
      </c>
      <c r="C390" s="19">
        <v>4.16</v>
      </c>
      <c r="D390" s="19">
        <v>101</v>
      </c>
      <c r="E390" s="19">
        <v>1220</v>
      </c>
      <c r="F390" s="19">
        <v>16.8</v>
      </c>
      <c r="G390" s="19">
        <v>0</v>
      </c>
      <c r="H390" s="19">
        <v>16.8</v>
      </c>
      <c r="I390" s="20">
        <v>16.8</v>
      </c>
      <c r="J390" s="19">
        <f t="shared" si="35"/>
        <v>0</v>
      </c>
      <c r="K390" s="19">
        <f t="shared" si="36"/>
        <v>0</v>
      </c>
      <c r="L390" s="19">
        <v>-6.6E-4</v>
      </c>
      <c r="M390" s="19">
        <v>-7.1000000000000002E-4</v>
      </c>
      <c r="N390" s="19">
        <v>-7.1000000000000002E-4</v>
      </c>
      <c r="O390" s="19">
        <v>-7.3999999999999999E-4</v>
      </c>
      <c r="P390" s="19">
        <v>-7.6000000000000004E-4</v>
      </c>
      <c r="Q390" s="19"/>
      <c r="R390" s="19">
        <f t="shared" si="37"/>
        <v>0</v>
      </c>
      <c r="S390" s="19">
        <f t="shared" si="38"/>
        <v>0</v>
      </c>
      <c r="T390" s="19">
        <f t="shared" si="39"/>
        <v>0</v>
      </c>
      <c r="U390" s="19">
        <f t="shared" si="40"/>
        <v>0</v>
      </c>
      <c r="V390" s="21">
        <f t="shared" si="41"/>
        <v>0</v>
      </c>
    </row>
    <row r="391" spans="1:22" ht="13.5" x14ac:dyDescent="0.35">
      <c r="A391" s="18">
        <v>114026</v>
      </c>
      <c r="B391" s="19" t="s">
        <v>417</v>
      </c>
      <c r="C391" s="19">
        <v>13.8</v>
      </c>
      <c r="D391" s="19">
        <v>101</v>
      </c>
      <c r="E391" s="19">
        <v>1120</v>
      </c>
      <c r="F391" s="19">
        <v>0</v>
      </c>
      <c r="G391" s="19">
        <v>0</v>
      </c>
      <c r="H391" s="19">
        <v>0</v>
      </c>
      <c r="I391" s="20">
        <v>0</v>
      </c>
      <c r="J391" s="19">
        <f t="shared" si="35"/>
        <v>0</v>
      </c>
      <c r="K391" s="19">
        <f t="shared" si="36"/>
        <v>0</v>
      </c>
      <c r="L391" s="19">
        <v>-6.6E-4</v>
      </c>
      <c r="M391" s="19">
        <v>3.6900000000000001E-3</v>
      </c>
      <c r="N391" s="19">
        <v>3.6900000000000001E-3</v>
      </c>
      <c r="O391" s="19">
        <v>3.6600000000000001E-3</v>
      </c>
      <c r="P391" s="19">
        <v>3.63E-3</v>
      </c>
      <c r="Q391" s="19"/>
      <c r="R391" s="19">
        <f t="shared" si="37"/>
        <v>0</v>
      </c>
      <c r="S391" s="19">
        <f t="shared" si="38"/>
        <v>0</v>
      </c>
      <c r="T391" s="19">
        <f t="shared" si="39"/>
        <v>0</v>
      </c>
      <c r="U391" s="19">
        <f t="shared" si="40"/>
        <v>0</v>
      </c>
      <c r="V391" s="21">
        <f t="shared" si="41"/>
        <v>0</v>
      </c>
    </row>
    <row r="392" spans="1:22" ht="13.5" x14ac:dyDescent="0.35">
      <c r="A392" s="18">
        <v>114047</v>
      </c>
      <c r="B392" s="19" t="s">
        <v>418</v>
      </c>
      <c r="C392" s="19">
        <v>13.8</v>
      </c>
      <c r="D392" s="19">
        <v>101</v>
      </c>
      <c r="E392" s="19">
        <v>1120</v>
      </c>
      <c r="F392" s="19">
        <v>50.43</v>
      </c>
      <c r="G392" s="19">
        <v>0</v>
      </c>
      <c r="H392" s="19">
        <v>50.43</v>
      </c>
      <c r="I392" s="20">
        <v>50.43</v>
      </c>
      <c r="J392" s="19">
        <f t="shared" si="35"/>
        <v>0</v>
      </c>
      <c r="K392" s="19">
        <f t="shared" si="36"/>
        <v>0</v>
      </c>
      <c r="L392" s="19">
        <v>-6.6E-4</v>
      </c>
      <c r="M392" s="19">
        <v>3.6900000000000001E-3</v>
      </c>
      <c r="N392" s="19">
        <v>3.6900000000000001E-3</v>
      </c>
      <c r="O392" s="19">
        <v>3.6600000000000001E-3</v>
      </c>
      <c r="P392" s="19">
        <v>3.63E-3</v>
      </c>
      <c r="Q392" s="19"/>
      <c r="R392" s="19">
        <f t="shared" si="37"/>
        <v>0</v>
      </c>
      <c r="S392" s="19">
        <f t="shared" si="38"/>
        <v>0</v>
      </c>
      <c r="T392" s="19">
        <f t="shared" si="39"/>
        <v>0</v>
      </c>
      <c r="U392" s="19">
        <f t="shared" si="40"/>
        <v>0</v>
      </c>
      <c r="V392" s="21">
        <f t="shared" si="41"/>
        <v>0</v>
      </c>
    </row>
    <row r="393" spans="1:22" ht="13.5" x14ac:dyDescent="0.35">
      <c r="A393" s="18">
        <v>114048</v>
      </c>
      <c r="B393" s="19" t="s">
        <v>419</v>
      </c>
      <c r="C393" s="19">
        <v>13.8</v>
      </c>
      <c r="D393" s="19">
        <v>101</v>
      </c>
      <c r="E393" s="19">
        <v>1120</v>
      </c>
      <c r="F393" s="19">
        <v>23.57</v>
      </c>
      <c r="G393" s="19">
        <v>0</v>
      </c>
      <c r="H393" s="19">
        <v>23.57</v>
      </c>
      <c r="I393" s="20">
        <v>23.57</v>
      </c>
      <c r="J393" s="19">
        <f t="shared" si="35"/>
        <v>0</v>
      </c>
      <c r="K393" s="19">
        <f t="shared" si="36"/>
        <v>0</v>
      </c>
      <c r="L393" s="19">
        <v>-6.6E-4</v>
      </c>
      <c r="M393" s="19">
        <v>3.6900000000000001E-3</v>
      </c>
      <c r="N393" s="19">
        <v>3.6900000000000001E-3</v>
      </c>
      <c r="O393" s="19">
        <v>3.6600000000000001E-3</v>
      </c>
      <c r="P393" s="19">
        <v>3.63E-3</v>
      </c>
      <c r="Q393" s="19"/>
      <c r="R393" s="19">
        <f t="shared" si="37"/>
        <v>0</v>
      </c>
      <c r="S393" s="19">
        <f t="shared" si="38"/>
        <v>0</v>
      </c>
      <c r="T393" s="19">
        <f t="shared" si="39"/>
        <v>0</v>
      </c>
      <c r="U393" s="19">
        <f t="shared" si="40"/>
        <v>0</v>
      </c>
      <c r="V393" s="21">
        <f t="shared" si="41"/>
        <v>0</v>
      </c>
    </row>
    <row r="394" spans="1:22" ht="13.5" x14ac:dyDescent="0.35">
      <c r="A394" s="18">
        <v>114050</v>
      </c>
      <c r="B394" s="19" t="s">
        <v>420</v>
      </c>
      <c r="C394" s="19">
        <v>23</v>
      </c>
      <c r="D394" s="19">
        <v>101</v>
      </c>
      <c r="E394" s="19">
        <v>1120</v>
      </c>
      <c r="F394" s="19">
        <v>0</v>
      </c>
      <c r="G394" s="19">
        <v>0</v>
      </c>
      <c r="H394" s="19">
        <v>0</v>
      </c>
      <c r="I394" s="20">
        <v>0</v>
      </c>
      <c r="J394" s="19">
        <f t="shared" si="35"/>
        <v>0</v>
      </c>
      <c r="K394" s="19">
        <f t="shared" si="36"/>
        <v>0</v>
      </c>
      <c r="L394" s="19">
        <v>-6.6E-4</v>
      </c>
      <c r="M394" s="19">
        <v>-2.64E-3</v>
      </c>
      <c r="N394" s="19">
        <v>-2.64E-3</v>
      </c>
      <c r="O394" s="19">
        <v>-2.6700000000000001E-3</v>
      </c>
      <c r="P394" s="19">
        <v>-2.7000000000000001E-3</v>
      </c>
      <c r="Q394" s="19"/>
      <c r="R394" s="19">
        <f t="shared" si="37"/>
        <v>0</v>
      </c>
      <c r="S394" s="19">
        <f t="shared" si="38"/>
        <v>0</v>
      </c>
      <c r="T394" s="19">
        <f t="shared" si="39"/>
        <v>0</v>
      </c>
      <c r="U394" s="19">
        <f t="shared" si="40"/>
        <v>0</v>
      </c>
      <c r="V394" s="21">
        <f t="shared" si="41"/>
        <v>0</v>
      </c>
    </row>
    <row r="395" spans="1:22" ht="13.5" x14ac:dyDescent="0.35">
      <c r="A395" s="18">
        <v>114067</v>
      </c>
      <c r="B395" s="19" t="s">
        <v>421</v>
      </c>
      <c r="C395" s="19">
        <v>4.16</v>
      </c>
      <c r="D395" s="19">
        <v>101</v>
      </c>
      <c r="E395" s="19">
        <v>1120</v>
      </c>
      <c r="F395" s="19">
        <v>9.4</v>
      </c>
      <c r="G395" s="19">
        <v>0</v>
      </c>
      <c r="H395" s="19">
        <v>9.4</v>
      </c>
      <c r="I395" s="20">
        <v>9.4</v>
      </c>
      <c r="J395" s="19">
        <f t="shared" si="35"/>
        <v>0</v>
      </c>
      <c r="K395" s="19">
        <f t="shared" si="36"/>
        <v>0</v>
      </c>
      <c r="L395" s="19">
        <v>-6.6E-4</v>
      </c>
      <c r="M395" s="19">
        <v>3.5699999999999998E-3</v>
      </c>
      <c r="N395" s="19">
        <v>3.5699999999999998E-3</v>
      </c>
      <c r="O395" s="19">
        <v>3.5400000000000002E-3</v>
      </c>
      <c r="P395" s="19">
        <v>3.5100000000000001E-3</v>
      </c>
      <c r="Q395" s="19"/>
      <c r="R395" s="19">
        <f t="shared" si="37"/>
        <v>0</v>
      </c>
      <c r="S395" s="19">
        <f t="shared" si="38"/>
        <v>0</v>
      </c>
      <c r="T395" s="19">
        <f t="shared" si="39"/>
        <v>0</v>
      </c>
      <c r="U395" s="19">
        <f t="shared" si="40"/>
        <v>0</v>
      </c>
      <c r="V395" s="21">
        <f t="shared" si="41"/>
        <v>0</v>
      </c>
    </row>
    <row r="396" spans="1:22" ht="13.5" x14ac:dyDescent="0.35">
      <c r="A396" s="18">
        <v>114069</v>
      </c>
      <c r="B396" s="19" t="s">
        <v>422</v>
      </c>
      <c r="C396" s="19">
        <v>13.8</v>
      </c>
      <c r="D396" s="19">
        <v>101</v>
      </c>
      <c r="E396" s="19">
        <v>1120</v>
      </c>
      <c r="F396" s="19">
        <v>40</v>
      </c>
      <c r="G396" s="19">
        <v>0</v>
      </c>
      <c r="H396" s="19">
        <v>40</v>
      </c>
      <c r="I396" s="20">
        <v>40</v>
      </c>
      <c r="J396" s="19">
        <f t="shared" si="35"/>
        <v>0</v>
      </c>
      <c r="K396" s="19">
        <f t="shared" si="36"/>
        <v>0</v>
      </c>
      <c r="L396" s="19">
        <v>-6.6E-4</v>
      </c>
      <c r="M396" s="19">
        <v>3.46E-3</v>
      </c>
      <c r="N396" s="19">
        <v>3.46E-3</v>
      </c>
      <c r="O396" s="19">
        <v>3.4299999999999999E-3</v>
      </c>
      <c r="P396" s="19">
        <v>3.4099999999999998E-3</v>
      </c>
      <c r="Q396" s="19"/>
      <c r="R396" s="19">
        <f t="shared" si="37"/>
        <v>0</v>
      </c>
      <c r="S396" s="19">
        <f t="shared" si="38"/>
        <v>0</v>
      </c>
      <c r="T396" s="19">
        <f t="shared" si="39"/>
        <v>0</v>
      </c>
      <c r="U396" s="19">
        <f t="shared" si="40"/>
        <v>0</v>
      </c>
      <c r="V396" s="21">
        <f t="shared" si="41"/>
        <v>0</v>
      </c>
    </row>
    <row r="397" spans="1:22" ht="13.5" x14ac:dyDescent="0.35">
      <c r="A397" s="18">
        <v>114070</v>
      </c>
      <c r="B397" s="19" t="s">
        <v>423</v>
      </c>
      <c r="C397" s="19">
        <v>13.8</v>
      </c>
      <c r="D397" s="19">
        <v>101</v>
      </c>
      <c r="E397" s="19">
        <v>1120</v>
      </c>
      <c r="F397" s="19">
        <v>41.68</v>
      </c>
      <c r="G397" s="19">
        <v>0</v>
      </c>
      <c r="H397" s="19">
        <v>41.68</v>
      </c>
      <c r="I397" s="20">
        <v>41.68</v>
      </c>
      <c r="J397" s="19">
        <f t="shared" si="35"/>
        <v>0</v>
      </c>
      <c r="K397" s="19">
        <f t="shared" si="36"/>
        <v>0</v>
      </c>
      <c r="L397" s="19">
        <v>-6.6E-4</v>
      </c>
      <c r="M397" s="19">
        <v>3.46E-3</v>
      </c>
      <c r="N397" s="19">
        <v>3.46E-3</v>
      </c>
      <c r="O397" s="19">
        <v>3.4299999999999999E-3</v>
      </c>
      <c r="P397" s="19">
        <v>3.4099999999999998E-3</v>
      </c>
      <c r="Q397" s="19"/>
      <c r="R397" s="19">
        <f t="shared" si="37"/>
        <v>0</v>
      </c>
      <c r="S397" s="19">
        <f t="shared" si="38"/>
        <v>0</v>
      </c>
      <c r="T397" s="19">
        <f t="shared" si="39"/>
        <v>0</v>
      </c>
      <c r="U397" s="19">
        <f t="shared" si="40"/>
        <v>0</v>
      </c>
      <c r="V397" s="21">
        <f t="shared" si="41"/>
        <v>0</v>
      </c>
    </row>
    <row r="398" spans="1:22" ht="13.5" x14ac:dyDescent="0.35">
      <c r="A398" s="18">
        <v>114085</v>
      </c>
      <c r="B398" s="19" t="s">
        <v>424</v>
      </c>
      <c r="C398" s="19">
        <v>4.16</v>
      </c>
      <c r="D398" s="19">
        <v>101</v>
      </c>
      <c r="E398" s="19">
        <v>1120</v>
      </c>
      <c r="F398" s="19">
        <v>0</v>
      </c>
      <c r="G398" s="19">
        <v>0</v>
      </c>
      <c r="H398" s="19">
        <v>0</v>
      </c>
      <c r="I398" s="20">
        <v>0</v>
      </c>
      <c r="J398" s="19">
        <f t="shared" ref="J398:J461" si="42">I398-F398</f>
        <v>0</v>
      </c>
      <c r="K398" s="19">
        <f t="shared" ref="K398:K461" si="43">H398-I398</f>
        <v>0</v>
      </c>
      <c r="L398" s="19">
        <v>-6.6E-4</v>
      </c>
      <c r="M398" s="19">
        <v>3.6900000000000001E-3</v>
      </c>
      <c r="N398" s="19">
        <v>3.6900000000000001E-3</v>
      </c>
      <c r="O398" s="19">
        <v>3.6600000000000001E-3</v>
      </c>
      <c r="P398" s="19">
        <v>3.63E-3</v>
      </c>
      <c r="Q398" s="19"/>
      <c r="R398" s="19">
        <f t="shared" ref="R398:R461" si="44">L398*J398</f>
        <v>0</v>
      </c>
      <c r="S398" s="19">
        <f t="shared" ref="S398:S461" si="45">M398*J398</f>
        <v>0</v>
      </c>
      <c r="T398" s="19">
        <f t="shared" ref="T398:T461" si="46">N398*J398</f>
        <v>0</v>
      </c>
      <c r="U398" s="19">
        <f t="shared" ref="U398:U461" si="47">O398*J398</f>
        <v>0</v>
      </c>
      <c r="V398" s="21">
        <f t="shared" ref="V398:V461" si="48">P398*J398</f>
        <v>0</v>
      </c>
    </row>
    <row r="399" spans="1:22" ht="13.5" x14ac:dyDescent="0.35">
      <c r="A399" s="18">
        <v>114086</v>
      </c>
      <c r="B399" s="19" t="s">
        <v>425</v>
      </c>
      <c r="C399" s="19">
        <v>4.16</v>
      </c>
      <c r="D399" s="19">
        <v>101</v>
      </c>
      <c r="E399" s="19">
        <v>1120</v>
      </c>
      <c r="F399" s="19">
        <v>0</v>
      </c>
      <c r="G399" s="19">
        <v>0</v>
      </c>
      <c r="H399" s="19">
        <v>0</v>
      </c>
      <c r="I399" s="20">
        <v>0</v>
      </c>
      <c r="J399" s="19">
        <f t="shared" si="42"/>
        <v>0</v>
      </c>
      <c r="K399" s="19">
        <f t="shared" si="43"/>
        <v>0</v>
      </c>
      <c r="L399" s="19">
        <v>-6.6E-4</v>
      </c>
      <c r="M399" s="19">
        <v>3.6900000000000001E-3</v>
      </c>
      <c r="N399" s="19">
        <v>3.6900000000000001E-3</v>
      </c>
      <c r="O399" s="19">
        <v>3.6600000000000001E-3</v>
      </c>
      <c r="P399" s="19">
        <v>3.63E-3</v>
      </c>
      <c r="Q399" s="19"/>
      <c r="R399" s="19">
        <f t="shared" si="44"/>
        <v>0</v>
      </c>
      <c r="S399" s="19">
        <f t="shared" si="45"/>
        <v>0</v>
      </c>
      <c r="T399" s="19">
        <f t="shared" si="46"/>
        <v>0</v>
      </c>
      <c r="U399" s="19">
        <f t="shared" si="47"/>
        <v>0</v>
      </c>
      <c r="V399" s="21">
        <f t="shared" si="48"/>
        <v>0</v>
      </c>
    </row>
    <row r="400" spans="1:22" ht="13.5" x14ac:dyDescent="0.35">
      <c r="A400" s="18">
        <v>114465</v>
      </c>
      <c r="B400" s="19" t="s">
        <v>426</v>
      </c>
      <c r="C400" s="19">
        <v>13.8</v>
      </c>
      <c r="D400" s="19">
        <v>101</v>
      </c>
      <c r="E400" s="19">
        <v>1130</v>
      </c>
      <c r="F400" s="19">
        <v>32.79</v>
      </c>
      <c r="G400" s="19">
        <v>0</v>
      </c>
      <c r="H400" s="19">
        <v>32.79</v>
      </c>
      <c r="I400" s="20">
        <v>32.79</v>
      </c>
      <c r="J400" s="19">
        <f t="shared" si="42"/>
        <v>0</v>
      </c>
      <c r="K400" s="19">
        <f t="shared" si="43"/>
        <v>0</v>
      </c>
      <c r="L400" s="19">
        <v>-6.6E-4</v>
      </c>
      <c r="M400" s="19">
        <v>5.45E-3</v>
      </c>
      <c r="N400" s="19">
        <v>5.45E-3</v>
      </c>
      <c r="O400" s="19">
        <v>5.4200000000000003E-3</v>
      </c>
      <c r="P400" s="19">
        <v>5.4000000000000003E-3</v>
      </c>
      <c r="Q400" s="19"/>
      <c r="R400" s="19">
        <f t="shared" si="44"/>
        <v>0</v>
      </c>
      <c r="S400" s="19">
        <f t="shared" si="45"/>
        <v>0</v>
      </c>
      <c r="T400" s="19">
        <f t="shared" si="46"/>
        <v>0</v>
      </c>
      <c r="U400" s="19">
        <f t="shared" si="47"/>
        <v>0</v>
      </c>
      <c r="V400" s="21">
        <f t="shared" si="48"/>
        <v>0</v>
      </c>
    </row>
    <row r="401" spans="1:22" ht="13.5" x14ac:dyDescent="0.35">
      <c r="A401" s="18">
        <v>114470</v>
      </c>
      <c r="B401" s="19" t="s">
        <v>427</v>
      </c>
      <c r="C401" s="19">
        <v>13.8</v>
      </c>
      <c r="D401" s="19">
        <v>101</v>
      </c>
      <c r="E401" s="19">
        <v>1130</v>
      </c>
      <c r="F401" s="19">
        <v>1.1399999999999999</v>
      </c>
      <c r="G401" s="19">
        <v>0</v>
      </c>
      <c r="H401" s="19">
        <v>1.1399999999999999</v>
      </c>
      <c r="I401" s="20">
        <v>1.1399999999999999</v>
      </c>
      <c r="J401" s="19">
        <f t="shared" si="42"/>
        <v>0</v>
      </c>
      <c r="K401" s="19">
        <f t="shared" si="43"/>
        <v>0</v>
      </c>
      <c r="L401" s="19">
        <v>-6.6E-4</v>
      </c>
      <c r="M401" s="19">
        <v>5.8199999999999997E-3</v>
      </c>
      <c r="N401" s="19">
        <v>5.8199999999999997E-3</v>
      </c>
      <c r="O401" s="19">
        <v>5.79E-3</v>
      </c>
      <c r="P401" s="19">
        <v>5.77E-3</v>
      </c>
      <c r="Q401" s="19"/>
      <c r="R401" s="19">
        <f t="shared" si="44"/>
        <v>0</v>
      </c>
      <c r="S401" s="19">
        <f t="shared" si="45"/>
        <v>0</v>
      </c>
      <c r="T401" s="19">
        <f t="shared" si="46"/>
        <v>0</v>
      </c>
      <c r="U401" s="19">
        <f t="shared" si="47"/>
        <v>0</v>
      </c>
      <c r="V401" s="21">
        <f t="shared" si="48"/>
        <v>0</v>
      </c>
    </row>
    <row r="402" spans="1:22" ht="13.5" x14ac:dyDescent="0.35">
      <c r="A402" s="18">
        <v>114474</v>
      </c>
      <c r="B402" s="19" t="s">
        <v>428</v>
      </c>
      <c r="C402" s="19">
        <v>13.8</v>
      </c>
      <c r="D402" s="19">
        <v>101</v>
      </c>
      <c r="E402" s="19">
        <v>1130</v>
      </c>
      <c r="F402" s="19">
        <v>1.1399999999999999</v>
      </c>
      <c r="G402" s="19">
        <v>0</v>
      </c>
      <c r="H402" s="19">
        <v>1.1399999999999999</v>
      </c>
      <c r="I402" s="20">
        <v>1.1399999999999999</v>
      </c>
      <c r="J402" s="19">
        <f t="shared" si="42"/>
        <v>0</v>
      </c>
      <c r="K402" s="19">
        <f t="shared" si="43"/>
        <v>0</v>
      </c>
      <c r="L402" s="19">
        <v>-6.6E-4</v>
      </c>
      <c r="M402" s="19">
        <v>5.8199999999999997E-3</v>
      </c>
      <c r="N402" s="19">
        <v>5.8199999999999997E-3</v>
      </c>
      <c r="O402" s="19">
        <v>5.79E-3</v>
      </c>
      <c r="P402" s="19">
        <v>5.77E-3</v>
      </c>
      <c r="Q402" s="19"/>
      <c r="R402" s="19">
        <f t="shared" si="44"/>
        <v>0</v>
      </c>
      <c r="S402" s="19">
        <f t="shared" si="45"/>
        <v>0</v>
      </c>
      <c r="T402" s="19">
        <f t="shared" si="46"/>
        <v>0</v>
      </c>
      <c r="U402" s="19">
        <f t="shared" si="47"/>
        <v>0</v>
      </c>
      <c r="V402" s="21">
        <f t="shared" si="48"/>
        <v>0</v>
      </c>
    </row>
    <row r="403" spans="1:22" ht="13.5" x14ac:dyDescent="0.35">
      <c r="A403" s="18">
        <v>114484</v>
      </c>
      <c r="B403" s="19" t="s">
        <v>429</v>
      </c>
      <c r="C403" s="19">
        <v>18</v>
      </c>
      <c r="D403" s="19">
        <v>101</v>
      </c>
      <c r="E403" s="19">
        <v>1130</v>
      </c>
      <c r="F403" s="19">
        <v>203.25</v>
      </c>
      <c r="G403" s="19">
        <v>0</v>
      </c>
      <c r="H403" s="19">
        <v>203.25</v>
      </c>
      <c r="I403" s="20">
        <f>203.25</f>
        <v>203.25</v>
      </c>
      <c r="J403" s="19">
        <f t="shared" si="42"/>
        <v>0</v>
      </c>
      <c r="K403" s="19">
        <f t="shared" si="43"/>
        <v>0</v>
      </c>
      <c r="L403" s="19">
        <v>-6.6E-4</v>
      </c>
      <c r="M403" s="19">
        <v>4.2599999999999999E-3</v>
      </c>
      <c r="N403" s="19">
        <v>4.2599999999999999E-3</v>
      </c>
      <c r="O403" s="19">
        <v>4.2300000000000003E-3</v>
      </c>
      <c r="P403" s="19">
        <v>4.1999999999999997E-3</v>
      </c>
      <c r="Q403" s="19"/>
      <c r="R403" s="19">
        <f t="shared" si="44"/>
        <v>0</v>
      </c>
      <c r="S403" s="19">
        <f t="shared" si="45"/>
        <v>0</v>
      </c>
      <c r="T403" s="19">
        <f t="shared" si="46"/>
        <v>0</v>
      </c>
      <c r="U403" s="19">
        <f t="shared" si="47"/>
        <v>0</v>
      </c>
      <c r="V403" s="21">
        <f t="shared" si="48"/>
        <v>0</v>
      </c>
    </row>
    <row r="404" spans="1:22" ht="13.5" x14ac:dyDescent="0.35">
      <c r="A404" s="18">
        <v>114485</v>
      </c>
      <c r="B404" s="19" t="s">
        <v>430</v>
      </c>
      <c r="C404" s="19">
        <v>13.8</v>
      </c>
      <c r="D404" s="19">
        <v>101</v>
      </c>
      <c r="E404" s="19">
        <v>1130</v>
      </c>
      <c r="F404" s="19">
        <v>133.75</v>
      </c>
      <c r="G404" s="19">
        <v>0</v>
      </c>
      <c r="H404" s="19">
        <v>133.75</v>
      </c>
      <c r="I404" s="20">
        <v>133.75</v>
      </c>
      <c r="J404" s="19">
        <f t="shared" si="42"/>
        <v>0</v>
      </c>
      <c r="K404" s="19">
        <f t="shared" si="43"/>
        <v>0</v>
      </c>
      <c r="L404" s="19">
        <v>-6.6E-4</v>
      </c>
      <c r="M404" s="19">
        <v>4.2599999999999999E-3</v>
      </c>
      <c r="N404" s="19">
        <v>4.2599999999999999E-3</v>
      </c>
      <c r="O404" s="19">
        <v>4.2300000000000003E-3</v>
      </c>
      <c r="P404" s="19">
        <v>4.1999999999999997E-3</v>
      </c>
      <c r="Q404" s="19"/>
      <c r="R404" s="19">
        <f t="shared" si="44"/>
        <v>0</v>
      </c>
      <c r="S404" s="19">
        <f t="shared" si="45"/>
        <v>0</v>
      </c>
      <c r="T404" s="19">
        <f t="shared" si="46"/>
        <v>0</v>
      </c>
      <c r="U404" s="19">
        <f t="shared" si="47"/>
        <v>0</v>
      </c>
      <c r="V404" s="21">
        <f t="shared" si="48"/>
        <v>0</v>
      </c>
    </row>
    <row r="405" spans="1:22" ht="13.5" x14ac:dyDescent="0.35">
      <c r="A405" s="18">
        <v>114487</v>
      </c>
      <c r="B405" s="19" t="s">
        <v>431</v>
      </c>
      <c r="C405" s="19">
        <v>18</v>
      </c>
      <c r="D405" s="19">
        <v>101</v>
      </c>
      <c r="E405" s="19">
        <v>1130</v>
      </c>
      <c r="F405" s="19">
        <v>203.25</v>
      </c>
      <c r="G405" s="19">
        <v>0</v>
      </c>
      <c r="H405" s="19">
        <v>203.25</v>
      </c>
      <c r="I405" s="20">
        <v>203.25</v>
      </c>
      <c r="J405" s="19">
        <f t="shared" si="42"/>
        <v>0</v>
      </c>
      <c r="K405" s="19">
        <f t="shared" si="43"/>
        <v>0</v>
      </c>
      <c r="L405" s="19">
        <v>-6.6E-4</v>
      </c>
      <c r="M405" s="19">
        <v>4.2599999999999999E-3</v>
      </c>
      <c r="N405" s="19">
        <v>4.2599999999999999E-3</v>
      </c>
      <c r="O405" s="19">
        <v>4.2300000000000003E-3</v>
      </c>
      <c r="P405" s="19">
        <v>4.1999999999999997E-3</v>
      </c>
      <c r="Q405" s="19"/>
      <c r="R405" s="19">
        <f t="shared" si="44"/>
        <v>0</v>
      </c>
      <c r="S405" s="19">
        <f t="shared" si="45"/>
        <v>0</v>
      </c>
      <c r="T405" s="19">
        <f t="shared" si="46"/>
        <v>0</v>
      </c>
      <c r="U405" s="19">
        <f t="shared" si="47"/>
        <v>0</v>
      </c>
      <c r="V405" s="21">
        <f t="shared" si="48"/>
        <v>0</v>
      </c>
    </row>
    <row r="406" spans="1:22" ht="13.5" x14ac:dyDescent="0.35">
      <c r="A406" s="18">
        <v>114488</v>
      </c>
      <c r="B406" s="19" t="s">
        <v>432</v>
      </c>
      <c r="C406" s="19">
        <v>13.8</v>
      </c>
      <c r="D406" s="19">
        <v>101</v>
      </c>
      <c r="E406" s="19">
        <v>1130</v>
      </c>
      <c r="F406" s="19">
        <v>133.75</v>
      </c>
      <c r="G406" s="19">
        <v>0</v>
      </c>
      <c r="H406" s="19">
        <v>133.75</v>
      </c>
      <c r="I406" s="20">
        <v>133.75</v>
      </c>
      <c r="J406" s="19">
        <f t="shared" si="42"/>
        <v>0</v>
      </c>
      <c r="K406" s="19">
        <f t="shared" si="43"/>
        <v>0</v>
      </c>
      <c r="L406" s="19">
        <v>-6.6E-4</v>
      </c>
      <c r="M406" s="19">
        <v>4.2599999999999999E-3</v>
      </c>
      <c r="N406" s="19">
        <v>4.2599999999999999E-3</v>
      </c>
      <c r="O406" s="19">
        <v>4.2300000000000003E-3</v>
      </c>
      <c r="P406" s="19">
        <v>4.1999999999999997E-3</v>
      </c>
      <c r="Q406" s="19"/>
      <c r="R406" s="19">
        <f t="shared" si="44"/>
        <v>0</v>
      </c>
      <c r="S406" s="19">
        <f t="shared" si="45"/>
        <v>0</v>
      </c>
      <c r="T406" s="19">
        <f t="shared" si="46"/>
        <v>0</v>
      </c>
      <c r="U406" s="19">
        <f t="shared" si="47"/>
        <v>0</v>
      </c>
      <c r="V406" s="21">
        <f t="shared" si="48"/>
        <v>0</v>
      </c>
    </row>
    <row r="407" spans="1:22" ht="13.5" x14ac:dyDescent="0.35">
      <c r="A407" s="18">
        <v>114713</v>
      </c>
      <c r="B407" s="19" t="s">
        <v>433</v>
      </c>
      <c r="C407" s="19">
        <v>13.8</v>
      </c>
      <c r="D407" s="19">
        <v>101</v>
      </c>
      <c r="E407" s="19">
        <v>1242</v>
      </c>
      <c r="F407" s="19">
        <v>16.440000000000001</v>
      </c>
      <c r="G407" s="19">
        <v>0</v>
      </c>
      <c r="H407" s="19">
        <v>16.440000000000001</v>
      </c>
      <c r="I407" s="20">
        <v>16.440000000000001</v>
      </c>
      <c r="J407" s="19">
        <f t="shared" si="42"/>
        <v>0</v>
      </c>
      <c r="K407" s="19">
        <f t="shared" si="43"/>
        <v>0</v>
      </c>
      <c r="L407" s="19">
        <v>-6.6E-4</v>
      </c>
      <c r="M407" s="19">
        <v>4.13E-3</v>
      </c>
      <c r="N407" s="19">
        <v>4.13E-3</v>
      </c>
      <c r="O407" s="19">
        <v>4.0899999999999999E-3</v>
      </c>
      <c r="P407" s="19">
        <v>4.0699999999999998E-3</v>
      </c>
      <c r="Q407" s="19"/>
      <c r="R407" s="19">
        <f t="shared" si="44"/>
        <v>0</v>
      </c>
      <c r="S407" s="19">
        <f t="shared" si="45"/>
        <v>0</v>
      </c>
      <c r="T407" s="19">
        <f t="shared" si="46"/>
        <v>0</v>
      </c>
      <c r="U407" s="19">
        <f t="shared" si="47"/>
        <v>0</v>
      </c>
      <c r="V407" s="21">
        <f t="shared" si="48"/>
        <v>0</v>
      </c>
    </row>
    <row r="408" spans="1:22" ht="13.5" x14ac:dyDescent="0.35">
      <c r="A408" s="18">
        <v>114714</v>
      </c>
      <c r="B408" s="19" t="s">
        <v>434</v>
      </c>
      <c r="C408" s="19">
        <v>13.8</v>
      </c>
      <c r="D408" s="19">
        <v>101</v>
      </c>
      <c r="E408" s="19">
        <v>1242</v>
      </c>
      <c r="F408" s="19">
        <v>30.79</v>
      </c>
      <c r="G408" s="19">
        <v>0</v>
      </c>
      <c r="H408" s="19">
        <v>30.79</v>
      </c>
      <c r="I408" s="20">
        <v>30.79</v>
      </c>
      <c r="J408" s="19">
        <f t="shared" si="42"/>
        <v>0</v>
      </c>
      <c r="K408" s="19">
        <f t="shared" si="43"/>
        <v>0</v>
      </c>
      <c r="L408" s="19">
        <v>-6.6E-4</v>
      </c>
      <c r="M408" s="19">
        <v>4.13E-3</v>
      </c>
      <c r="N408" s="19">
        <v>4.13E-3</v>
      </c>
      <c r="O408" s="19">
        <v>4.1000000000000003E-3</v>
      </c>
      <c r="P408" s="19">
        <v>4.0699999999999998E-3</v>
      </c>
      <c r="Q408" s="19"/>
      <c r="R408" s="19">
        <f t="shared" si="44"/>
        <v>0</v>
      </c>
      <c r="S408" s="19">
        <f t="shared" si="45"/>
        <v>0</v>
      </c>
      <c r="T408" s="19">
        <f t="shared" si="46"/>
        <v>0</v>
      </c>
      <c r="U408" s="19">
        <f t="shared" si="47"/>
        <v>0</v>
      </c>
      <c r="V408" s="21">
        <f t="shared" si="48"/>
        <v>0</v>
      </c>
    </row>
    <row r="409" spans="1:22" ht="13.5" x14ac:dyDescent="0.35">
      <c r="A409" s="18">
        <v>114716</v>
      </c>
      <c r="B409" s="19" t="s">
        <v>435</v>
      </c>
      <c r="C409" s="19">
        <v>13.8</v>
      </c>
      <c r="D409" s="19">
        <v>101</v>
      </c>
      <c r="E409" s="19">
        <v>1242</v>
      </c>
      <c r="F409" s="19">
        <v>57.97</v>
      </c>
      <c r="G409" s="19">
        <v>0</v>
      </c>
      <c r="H409" s="19">
        <v>57.97</v>
      </c>
      <c r="I409" s="20">
        <v>57.97</v>
      </c>
      <c r="J409" s="19">
        <f t="shared" si="42"/>
        <v>0</v>
      </c>
      <c r="K409" s="19">
        <f t="shared" si="43"/>
        <v>0</v>
      </c>
      <c r="L409" s="19">
        <v>-6.6E-4</v>
      </c>
      <c r="M409" s="19">
        <v>4.13E-3</v>
      </c>
      <c r="N409" s="19">
        <v>4.13E-3</v>
      </c>
      <c r="O409" s="19">
        <v>4.1000000000000003E-3</v>
      </c>
      <c r="P409" s="19">
        <v>4.0699999999999998E-3</v>
      </c>
      <c r="Q409" s="19"/>
      <c r="R409" s="19">
        <f t="shared" si="44"/>
        <v>0</v>
      </c>
      <c r="S409" s="19">
        <f t="shared" si="45"/>
        <v>0</v>
      </c>
      <c r="T409" s="19">
        <f t="shared" si="46"/>
        <v>0</v>
      </c>
      <c r="U409" s="19">
        <f t="shared" si="47"/>
        <v>0</v>
      </c>
      <c r="V409" s="21">
        <f t="shared" si="48"/>
        <v>0</v>
      </c>
    </row>
    <row r="410" spans="1:22" ht="13.5" x14ac:dyDescent="0.35">
      <c r="A410" s="18">
        <v>114728</v>
      </c>
      <c r="B410" s="19" t="s">
        <v>436</v>
      </c>
      <c r="C410" s="19">
        <v>23</v>
      </c>
      <c r="D410" s="19">
        <v>101</v>
      </c>
      <c r="E410" s="19">
        <v>1246</v>
      </c>
      <c r="F410" s="19">
        <v>2.5</v>
      </c>
      <c r="G410" s="19">
        <v>0</v>
      </c>
      <c r="H410" s="19">
        <v>2.5</v>
      </c>
      <c r="I410" s="20">
        <v>2.5</v>
      </c>
      <c r="J410" s="19">
        <f t="shared" si="42"/>
        <v>0</v>
      </c>
      <c r="K410" s="19">
        <f t="shared" si="43"/>
        <v>0</v>
      </c>
      <c r="L410" s="19">
        <v>-6.6E-4</v>
      </c>
      <c r="M410" s="19">
        <v>4.28E-3</v>
      </c>
      <c r="N410" s="19">
        <v>4.28E-3</v>
      </c>
      <c r="O410" s="19">
        <v>4.2500000000000003E-3</v>
      </c>
      <c r="P410" s="19">
        <v>4.2300000000000003E-3</v>
      </c>
      <c r="Q410" s="19"/>
      <c r="R410" s="19">
        <f t="shared" si="44"/>
        <v>0</v>
      </c>
      <c r="S410" s="19">
        <f t="shared" si="45"/>
        <v>0</v>
      </c>
      <c r="T410" s="19">
        <f t="shared" si="46"/>
        <v>0</v>
      </c>
      <c r="U410" s="19">
        <f t="shared" si="47"/>
        <v>0</v>
      </c>
      <c r="V410" s="21">
        <f t="shared" si="48"/>
        <v>0</v>
      </c>
    </row>
    <row r="411" spans="1:22" ht="13.5" x14ac:dyDescent="0.35">
      <c r="A411" s="18">
        <v>114729</v>
      </c>
      <c r="B411" s="19" t="s">
        <v>437</v>
      </c>
      <c r="C411" s="19">
        <v>23</v>
      </c>
      <c r="D411" s="19">
        <v>101</v>
      </c>
      <c r="E411" s="19">
        <v>1246</v>
      </c>
      <c r="F411" s="19">
        <v>2.5</v>
      </c>
      <c r="G411" s="19">
        <v>0</v>
      </c>
      <c r="H411" s="19">
        <v>2.5</v>
      </c>
      <c r="I411" s="20">
        <v>2.5</v>
      </c>
      <c r="J411" s="19">
        <f t="shared" si="42"/>
        <v>0</v>
      </c>
      <c r="K411" s="19">
        <f t="shared" si="43"/>
        <v>0</v>
      </c>
      <c r="L411" s="19">
        <v>-6.6E-4</v>
      </c>
      <c r="M411" s="19">
        <v>4.28E-3</v>
      </c>
      <c r="N411" s="19">
        <v>4.28E-3</v>
      </c>
      <c r="O411" s="19">
        <v>4.2500000000000003E-3</v>
      </c>
      <c r="P411" s="19">
        <v>4.2300000000000003E-3</v>
      </c>
      <c r="Q411" s="19"/>
      <c r="R411" s="19">
        <f t="shared" si="44"/>
        <v>0</v>
      </c>
      <c r="S411" s="19">
        <f t="shared" si="45"/>
        <v>0</v>
      </c>
      <c r="T411" s="19">
        <f t="shared" si="46"/>
        <v>0</v>
      </c>
      <c r="U411" s="19">
        <f t="shared" si="47"/>
        <v>0</v>
      </c>
      <c r="V411" s="21">
        <f t="shared" si="48"/>
        <v>0</v>
      </c>
    </row>
    <row r="412" spans="1:22" ht="13.5" x14ac:dyDescent="0.35">
      <c r="A412" s="18">
        <v>114858</v>
      </c>
      <c r="B412" s="19" t="s">
        <v>438</v>
      </c>
      <c r="C412" s="19">
        <v>13.8</v>
      </c>
      <c r="D412" s="19">
        <v>101</v>
      </c>
      <c r="E412" s="19">
        <v>1140</v>
      </c>
      <c r="F412" s="19">
        <v>109.83</v>
      </c>
      <c r="G412" s="19">
        <v>0</v>
      </c>
      <c r="H412" s="19">
        <v>109.83</v>
      </c>
      <c r="I412" s="20">
        <v>109.83</v>
      </c>
      <c r="J412" s="19">
        <f t="shared" si="42"/>
        <v>0</v>
      </c>
      <c r="K412" s="19">
        <f t="shared" si="43"/>
        <v>0</v>
      </c>
      <c r="L412" s="19">
        <v>-6.6E-4</v>
      </c>
      <c r="M412" s="19">
        <v>-1.07E-3</v>
      </c>
      <c r="N412" s="19">
        <v>-1.07E-3</v>
      </c>
      <c r="O412" s="19">
        <v>-1.1000000000000001E-3</v>
      </c>
      <c r="P412" s="19">
        <v>-1.1299999999999999E-3</v>
      </c>
      <c r="Q412" s="19"/>
      <c r="R412" s="19">
        <f t="shared" si="44"/>
        <v>0</v>
      </c>
      <c r="S412" s="19">
        <f t="shared" si="45"/>
        <v>0</v>
      </c>
      <c r="T412" s="19">
        <f t="shared" si="46"/>
        <v>0</v>
      </c>
      <c r="U412" s="19">
        <f t="shared" si="47"/>
        <v>0</v>
      </c>
      <c r="V412" s="21">
        <f t="shared" si="48"/>
        <v>0</v>
      </c>
    </row>
    <row r="413" spans="1:22" ht="13.5" x14ac:dyDescent="0.35">
      <c r="A413" s="18">
        <v>114859</v>
      </c>
      <c r="B413" s="19" t="s">
        <v>439</v>
      </c>
      <c r="C413" s="19">
        <v>13.8</v>
      </c>
      <c r="D413" s="19">
        <v>101</v>
      </c>
      <c r="E413" s="19">
        <v>1140</v>
      </c>
      <c r="F413" s="19">
        <v>92.17</v>
      </c>
      <c r="G413" s="19">
        <v>0</v>
      </c>
      <c r="H413" s="19">
        <v>92.17</v>
      </c>
      <c r="I413" s="20">
        <v>92.17</v>
      </c>
      <c r="J413" s="19">
        <f t="shared" si="42"/>
        <v>0</v>
      </c>
      <c r="K413" s="19">
        <f t="shared" si="43"/>
        <v>0</v>
      </c>
      <c r="L413" s="19">
        <v>-6.6E-4</v>
      </c>
      <c r="M413" s="19">
        <v>-1.07E-3</v>
      </c>
      <c r="N413" s="19">
        <v>-1.07E-3</v>
      </c>
      <c r="O413" s="19">
        <v>-1.1000000000000001E-3</v>
      </c>
      <c r="P413" s="19">
        <v>-1.1299999999999999E-3</v>
      </c>
      <c r="Q413" s="19"/>
      <c r="R413" s="19">
        <f t="shared" si="44"/>
        <v>0</v>
      </c>
      <c r="S413" s="19">
        <f t="shared" si="45"/>
        <v>0</v>
      </c>
      <c r="T413" s="19">
        <f t="shared" si="46"/>
        <v>0</v>
      </c>
      <c r="U413" s="19">
        <f t="shared" si="47"/>
        <v>0</v>
      </c>
      <c r="V413" s="21">
        <f t="shared" si="48"/>
        <v>0</v>
      </c>
    </row>
    <row r="414" spans="1:22" ht="13.5" x14ac:dyDescent="0.35">
      <c r="A414" s="18">
        <v>114861</v>
      </c>
      <c r="B414" s="19" t="s">
        <v>440</v>
      </c>
      <c r="C414" s="19">
        <v>21</v>
      </c>
      <c r="D414" s="19">
        <v>101</v>
      </c>
      <c r="E414" s="19">
        <v>1140</v>
      </c>
      <c r="F414" s="19">
        <v>272.39</v>
      </c>
      <c r="G414" s="19">
        <v>0</v>
      </c>
      <c r="H414" s="19">
        <v>272.39</v>
      </c>
      <c r="I414" s="20">
        <f>272.39</f>
        <v>272.39</v>
      </c>
      <c r="J414" s="19">
        <f t="shared" si="42"/>
        <v>0</v>
      </c>
      <c r="K414" s="19">
        <f t="shared" si="43"/>
        <v>0</v>
      </c>
      <c r="L414" s="19">
        <v>-6.6E-4</v>
      </c>
      <c r="M414" s="19">
        <v>1.9599999999999999E-3</v>
      </c>
      <c r="N414" s="19">
        <v>1.9599999999999999E-3</v>
      </c>
      <c r="O414" s="19">
        <v>1.9300000000000001E-3</v>
      </c>
      <c r="P414" s="19">
        <v>1.9E-3</v>
      </c>
      <c r="Q414" s="19"/>
      <c r="R414" s="19">
        <f t="shared" si="44"/>
        <v>0</v>
      </c>
      <c r="S414" s="19">
        <f t="shared" si="45"/>
        <v>0</v>
      </c>
      <c r="T414" s="19">
        <f t="shared" si="46"/>
        <v>0</v>
      </c>
      <c r="U414" s="19">
        <f t="shared" si="47"/>
        <v>0</v>
      </c>
      <c r="V414" s="21">
        <f t="shared" si="48"/>
        <v>0</v>
      </c>
    </row>
    <row r="415" spans="1:22" ht="13.5" x14ac:dyDescent="0.35">
      <c r="A415" s="18">
        <v>114862</v>
      </c>
      <c r="B415" s="19" t="s">
        <v>441</v>
      </c>
      <c r="C415" s="19">
        <v>21</v>
      </c>
      <c r="D415" s="19">
        <v>101</v>
      </c>
      <c r="E415" s="19">
        <v>1140</v>
      </c>
      <c r="F415" s="19">
        <v>272.62</v>
      </c>
      <c r="G415" s="19">
        <v>0</v>
      </c>
      <c r="H415" s="19">
        <v>272.62</v>
      </c>
      <c r="I415" s="20">
        <v>272.62</v>
      </c>
      <c r="J415" s="19">
        <f t="shared" si="42"/>
        <v>0</v>
      </c>
      <c r="K415" s="19">
        <f t="shared" si="43"/>
        <v>0</v>
      </c>
      <c r="L415" s="19">
        <v>-6.6E-4</v>
      </c>
      <c r="M415" s="19">
        <v>1.7600000000000001E-3</v>
      </c>
      <c r="N415" s="19">
        <v>1.7600000000000001E-3</v>
      </c>
      <c r="O415" s="19">
        <v>1.73E-3</v>
      </c>
      <c r="P415" s="19">
        <v>1.6999999999999999E-3</v>
      </c>
      <c r="Q415" s="19"/>
      <c r="R415" s="19">
        <f t="shared" si="44"/>
        <v>0</v>
      </c>
      <c r="S415" s="19">
        <f t="shared" si="45"/>
        <v>0</v>
      </c>
      <c r="T415" s="19">
        <f t="shared" si="46"/>
        <v>0</v>
      </c>
      <c r="U415" s="19">
        <f t="shared" si="47"/>
        <v>0</v>
      </c>
      <c r="V415" s="21">
        <f t="shared" si="48"/>
        <v>0</v>
      </c>
    </row>
    <row r="416" spans="1:22" ht="13.5" x14ac:dyDescent="0.35">
      <c r="A416" s="18">
        <v>115689</v>
      </c>
      <c r="B416" s="19" t="s">
        <v>442</v>
      </c>
      <c r="C416" s="19">
        <v>13.8</v>
      </c>
      <c r="D416" s="19">
        <v>101</v>
      </c>
      <c r="E416" s="19">
        <v>1254</v>
      </c>
      <c r="F416" s="19">
        <v>46.82</v>
      </c>
      <c r="G416" s="19">
        <v>0</v>
      </c>
      <c r="H416" s="19">
        <v>46.82</v>
      </c>
      <c r="I416" s="20">
        <v>46.82</v>
      </c>
      <c r="J416" s="19">
        <f t="shared" si="42"/>
        <v>0</v>
      </c>
      <c r="K416" s="19">
        <f t="shared" si="43"/>
        <v>0</v>
      </c>
      <c r="L416" s="19">
        <v>-6.6E-4</v>
      </c>
      <c r="M416" s="19">
        <v>-5.8100000000000001E-3</v>
      </c>
      <c r="N416" s="19">
        <v>-5.8100000000000001E-3</v>
      </c>
      <c r="O416" s="19">
        <v>-5.8399999999999997E-3</v>
      </c>
      <c r="P416" s="19">
        <v>-5.8599999999999998E-3</v>
      </c>
      <c r="Q416" s="19"/>
      <c r="R416" s="19">
        <f t="shared" si="44"/>
        <v>0</v>
      </c>
      <c r="S416" s="19">
        <f t="shared" si="45"/>
        <v>0</v>
      </c>
      <c r="T416" s="19">
        <f t="shared" si="46"/>
        <v>0</v>
      </c>
      <c r="U416" s="19">
        <f t="shared" si="47"/>
        <v>0</v>
      </c>
      <c r="V416" s="21">
        <f t="shared" si="48"/>
        <v>0</v>
      </c>
    </row>
    <row r="417" spans="1:22" ht="13.5" x14ac:dyDescent="0.35">
      <c r="A417" s="18">
        <v>115690</v>
      </c>
      <c r="B417" s="19" t="s">
        <v>443</v>
      </c>
      <c r="C417" s="19">
        <v>13.8</v>
      </c>
      <c r="D417" s="19">
        <v>101</v>
      </c>
      <c r="E417" s="19">
        <v>1254</v>
      </c>
      <c r="F417" s="19">
        <v>84.18</v>
      </c>
      <c r="G417" s="19">
        <v>0</v>
      </c>
      <c r="H417" s="19">
        <v>84.18</v>
      </c>
      <c r="I417" s="20">
        <v>84.18</v>
      </c>
      <c r="J417" s="19">
        <f t="shared" si="42"/>
        <v>0</v>
      </c>
      <c r="K417" s="19">
        <f t="shared" si="43"/>
        <v>0</v>
      </c>
      <c r="L417" s="19">
        <v>-6.6E-4</v>
      </c>
      <c r="M417" s="19">
        <v>-5.8100000000000001E-3</v>
      </c>
      <c r="N417" s="19">
        <v>-5.8100000000000001E-3</v>
      </c>
      <c r="O417" s="19">
        <v>-5.8399999999999997E-3</v>
      </c>
      <c r="P417" s="19">
        <v>-5.8599999999999998E-3</v>
      </c>
      <c r="Q417" s="19"/>
      <c r="R417" s="19">
        <f t="shared" si="44"/>
        <v>0</v>
      </c>
      <c r="S417" s="19">
        <f t="shared" si="45"/>
        <v>0</v>
      </c>
      <c r="T417" s="19">
        <f t="shared" si="46"/>
        <v>0</v>
      </c>
      <c r="U417" s="19">
        <f t="shared" si="47"/>
        <v>0</v>
      </c>
      <c r="V417" s="21">
        <f t="shared" si="48"/>
        <v>0</v>
      </c>
    </row>
    <row r="418" spans="1:22" ht="13.5" x14ac:dyDescent="0.35">
      <c r="A418" s="18">
        <v>115978</v>
      </c>
      <c r="B418" s="19" t="s">
        <v>444</v>
      </c>
      <c r="C418" s="19">
        <v>13.2</v>
      </c>
      <c r="D418" s="19">
        <v>101</v>
      </c>
      <c r="E418" s="19">
        <v>1170</v>
      </c>
      <c r="F418" s="19">
        <v>0</v>
      </c>
      <c r="G418" s="19">
        <v>0</v>
      </c>
      <c r="H418" s="19">
        <v>0</v>
      </c>
      <c r="I418" s="20">
        <v>0</v>
      </c>
      <c r="J418" s="19">
        <f t="shared" si="42"/>
        <v>0</v>
      </c>
      <c r="K418" s="19">
        <f t="shared" si="43"/>
        <v>0</v>
      </c>
      <c r="L418" s="19">
        <v>-6.6E-4</v>
      </c>
      <c r="M418" s="19">
        <v>2.708E-2</v>
      </c>
      <c r="N418" s="19">
        <v>2.708E-2</v>
      </c>
      <c r="O418" s="19">
        <v>2.7050000000000001E-2</v>
      </c>
      <c r="P418" s="19">
        <v>2.7029999999999998E-2</v>
      </c>
      <c r="Q418" s="19"/>
      <c r="R418" s="19">
        <f t="shared" si="44"/>
        <v>0</v>
      </c>
      <c r="S418" s="19">
        <f t="shared" si="45"/>
        <v>0</v>
      </c>
      <c r="T418" s="19">
        <f t="shared" si="46"/>
        <v>0</v>
      </c>
      <c r="U418" s="19">
        <f t="shared" si="47"/>
        <v>0</v>
      </c>
      <c r="V418" s="21">
        <f t="shared" si="48"/>
        <v>0</v>
      </c>
    </row>
    <row r="419" spans="1:22" ht="13.5" x14ac:dyDescent="0.35">
      <c r="A419" s="18">
        <v>115979</v>
      </c>
      <c r="B419" s="19" t="s">
        <v>445</v>
      </c>
      <c r="C419" s="19">
        <v>0.4</v>
      </c>
      <c r="D419" s="19">
        <v>101</v>
      </c>
      <c r="E419" s="19">
        <v>1170</v>
      </c>
      <c r="F419" s="19">
        <v>0</v>
      </c>
      <c r="G419" s="19">
        <v>0</v>
      </c>
      <c r="H419" s="19">
        <v>0</v>
      </c>
      <c r="I419" s="20">
        <v>0</v>
      </c>
      <c r="J419" s="19">
        <f t="shared" si="42"/>
        <v>0</v>
      </c>
      <c r="K419" s="19">
        <f t="shared" si="43"/>
        <v>0</v>
      </c>
      <c r="L419" s="19">
        <v>-6.6E-4</v>
      </c>
      <c r="M419" s="19">
        <v>2.708E-2</v>
      </c>
      <c r="N419" s="19">
        <v>2.708E-2</v>
      </c>
      <c r="O419" s="19">
        <v>2.7050000000000001E-2</v>
      </c>
      <c r="P419" s="19">
        <v>2.7029999999999998E-2</v>
      </c>
      <c r="Q419" s="19"/>
      <c r="R419" s="19">
        <f t="shared" si="44"/>
        <v>0</v>
      </c>
      <c r="S419" s="19">
        <f t="shared" si="45"/>
        <v>0</v>
      </c>
      <c r="T419" s="19">
        <f t="shared" si="46"/>
        <v>0</v>
      </c>
      <c r="U419" s="19">
        <f t="shared" si="47"/>
        <v>0</v>
      </c>
      <c r="V419" s="21">
        <f t="shared" si="48"/>
        <v>0</v>
      </c>
    </row>
    <row r="420" spans="1:22" ht="13.5" x14ac:dyDescent="0.35">
      <c r="A420" s="18">
        <v>116411</v>
      </c>
      <c r="B420" s="19" t="s">
        <v>446</v>
      </c>
      <c r="C420" s="19">
        <v>13.8</v>
      </c>
      <c r="D420" s="19">
        <v>101</v>
      </c>
      <c r="E420" s="19">
        <v>1373</v>
      </c>
      <c r="F420" s="19">
        <v>292</v>
      </c>
      <c r="G420" s="19">
        <v>0</v>
      </c>
      <c r="H420" s="19">
        <v>292</v>
      </c>
      <c r="I420" s="20">
        <f>292</f>
        <v>292</v>
      </c>
      <c r="J420" s="19">
        <f t="shared" si="42"/>
        <v>0</v>
      </c>
      <c r="K420" s="19">
        <f t="shared" si="43"/>
        <v>0</v>
      </c>
      <c r="L420" s="19">
        <v>-6.6E-4</v>
      </c>
      <c r="M420" s="19">
        <v>-1.1199999999999999E-3</v>
      </c>
      <c r="N420" s="19">
        <v>-1.1199999999999999E-3</v>
      </c>
      <c r="O420" s="19">
        <v>-1.15E-3</v>
      </c>
      <c r="P420" s="19">
        <v>-1.17E-3</v>
      </c>
      <c r="Q420" s="19"/>
      <c r="R420" s="19">
        <f t="shared" si="44"/>
        <v>0</v>
      </c>
      <c r="S420" s="19">
        <f t="shared" si="45"/>
        <v>0</v>
      </c>
      <c r="T420" s="19">
        <f t="shared" si="46"/>
        <v>0</v>
      </c>
      <c r="U420" s="19">
        <f t="shared" si="47"/>
        <v>0</v>
      </c>
      <c r="V420" s="21">
        <f t="shared" si="48"/>
        <v>0</v>
      </c>
    </row>
    <row r="421" spans="1:22" ht="13.5" x14ac:dyDescent="0.35">
      <c r="A421" s="18">
        <v>116412</v>
      </c>
      <c r="B421" s="19" t="s">
        <v>447</v>
      </c>
      <c r="C421" s="19">
        <v>13.8</v>
      </c>
      <c r="D421" s="19">
        <v>101</v>
      </c>
      <c r="E421" s="19">
        <v>1373</v>
      </c>
      <c r="F421" s="19">
        <v>42</v>
      </c>
      <c r="G421" s="19">
        <v>0</v>
      </c>
      <c r="H421" s="19">
        <v>292</v>
      </c>
      <c r="I421" s="20">
        <v>42</v>
      </c>
      <c r="J421" s="19">
        <f t="shared" si="42"/>
        <v>0</v>
      </c>
      <c r="K421" s="19">
        <f t="shared" si="43"/>
        <v>250</v>
      </c>
      <c r="L421" s="19">
        <v>-6.6E-4</v>
      </c>
      <c r="M421" s="19">
        <v>-1.1199999999999999E-3</v>
      </c>
      <c r="N421" s="19">
        <v>-1.1199999999999999E-3</v>
      </c>
      <c r="O421" s="19">
        <v>-1.15E-3</v>
      </c>
      <c r="P421" s="19">
        <v>-1.17E-3</v>
      </c>
      <c r="Q421" s="19"/>
      <c r="R421" s="19">
        <f t="shared" si="44"/>
        <v>0</v>
      </c>
      <c r="S421" s="19">
        <f t="shared" si="45"/>
        <v>0</v>
      </c>
      <c r="T421" s="19">
        <f t="shared" si="46"/>
        <v>0</v>
      </c>
      <c r="U421" s="19">
        <f t="shared" si="47"/>
        <v>0</v>
      </c>
      <c r="V421" s="21">
        <f t="shared" si="48"/>
        <v>0</v>
      </c>
    </row>
    <row r="422" spans="1:22" ht="13.5" x14ac:dyDescent="0.35">
      <c r="A422" s="18">
        <v>116413</v>
      </c>
      <c r="B422" s="19" t="s">
        <v>448</v>
      </c>
      <c r="C422" s="19">
        <v>13.8</v>
      </c>
      <c r="D422" s="19">
        <v>101</v>
      </c>
      <c r="E422" s="19">
        <v>1373</v>
      </c>
      <c r="F422" s="19">
        <v>0</v>
      </c>
      <c r="G422" s="19">
        <v>0</v>
      </c>
      <c r="H422" s="19">
        <v>0</v>
      </c>
      <c r="I422" s="20">
        <v>0</v>
      </c>
      <c r="J422" s="19">
        <f t="shared" si="42"/>
        <v>0</v>
      </c>
      <c r="K422" s="19">
        <f t="shared" si="43"/>
        <v>0</v>
      </c>
      <c r="L422" s="19">
        <v>-6.6E-4</v>
      </c>
      <c r="M422" s="19">
        <v>-1.1199999999999999E-3</v>
      </c>
      <c r="N422" s="19">
        <v>-1.1199999999999999E-3</v>
      </c>
      <c r="O422" s="19">
        <v>-1.15E-3</v>
      </c>
      <c r="P422" s="19">
        <v>-1.17E-3</v>
      </c>
      <c r="Q422" s="19"/>
      <c r="R422" s="19">
        <f t="shared" si="44"/>
        <v>0</v>
      </c>
      <c r="S422" s="19">
        <f t="shared" si="45"/>
        <v>0</v>
      </c>
      <c r="T422" s="19">
        <f t="shared" si="46"/>
        <v>0</v>
      </c>
      <c r="U422" s="19">
        <f t="shared" si="47"/>
        <v>0</v>
      </c>
      <c r="V422" s="21">
        <f t="shared" si="48"/>
        <v>0</v>
      </c>
    </row>
    <row r="423" spans="1:22" ht="13.5" x14ac:dyDescent="0.35">
      <c r="A423" s="18">
        <v>116414</v>
      </c>
      <c r="B423" s="19" t="s">
        <v>449</v>
      </c>
      <c r="C423" s="19">
        <v>13.8</v>
      </c>
      <c r="D423" s="19">
        <v>101</v>
      </c>
      <c r="E423" s="19">
        <v>1373</v>
      </c>
      <c r="F423" s="19">
        <v>0</v>
      </c>
      <c r="G423" s="19">
        <v>0</v>
      </c>
      <c r="H423" s="19">
        <v>0</v>
      </c>
      <c r="I423" s="20">
        <v>0</v>
      </c>
      <c r="J423" s="19">
        <f t="shared" si="42"/>
        <v>0</v>
      </c>
      <c r="K423" s="19">
        <f t="shared" si="43"/>
        <v>0</v>
      </c>
      <c r="L423" s="19">
        <v>-6.6E-4</v>
      </c>
      <c r="M423" s="19">
        <v>-1.1199999999999999E-3</v>
      </c>
      <c r="N423" s="19">
        <v>-1.1199999999999999E-3</v>
      </c>
      <c r="O423" s="19">
        <v>-1.15E-3</v>
      </c>
      <c r="P423" s="19">
        <v>-1.17E-3</v>
      </c>
      <c r="Q423" s="19"/>
      <c r="R423" s="19">
        <f t="shared" si="44"/>
        <v>0</v>
      </c>
      <c r="S423" s="19">
        <f t="shared" si="45"/>
        <v>0</v>
      </c>
      <c r="T423" s="19">
        <f t="shared" si="46"/>
        <v>0</v>
      </c>
      <c r="U423" s="19">
        <f t="shared" si="47"/>
        <v>0</v>
      </c>
      <c r="V423" s="21">
        <f t="shared" si="48"/>
        <v>0</v>
      </c>
    </row>
    <row r="424" spans="1:22" ht="13.5" x14ac:dyDescent="0.35">
      <c r="A424" s="18">
        <v>116417</v>
      </c>
      <c r="B424" s="19" t="s">
        <v>450</v>
      </c>
      <c r="C424" s="19">
        <v>13.8</v>
      </c>
      <c r="D424" s="19">
        <v>101</v>
      </c>
      <c r="E424" s="19">
        <v>1333</v>
      </c>
      <c r="F424" s="19">
        <v>103.17</v>
      </c>
      <c r="G424" s="19">
        <v>0</v>
      </c>
      <c r="H424" s="19">
        <v>103.17</v>
      </c>
      <c r="I424" s="20">
        <v>103.17</v>
      </c>
      <c r="J424" s="19">
        <f t="shared" si="42"/>
        <v>0</v>
      </c>
      <c r="K424" s="19">
        <f t="shared" si="43"/>
        <v>0</v>
      </c>
      <c r="L424" s="19">
        <v>-6.6E-4</v>
      </c>
      <c r="M424" s="19">
        <v>-1.9499999999999999E-3</v>
      </c>
      <c r="N424" s="19">
        <v>-1.9499999999999999E-3</v>
      </c>
      <c r="O424" s="19">
        <v>-1.98E-3</v>
      </c>
      <c r="P424" s="19">
        <v>-2.0100000000000001E-3</v>
      </c>
      <c r="Q424" s="19"/>
      <c r="R424" s="19">
        <f t="shared" si="44"/>
        <v>0</v>
      </c>
      <c r="S424" s="19">
        <f t="shared" si="45"/>
        <v>0</v>
      </c>
      <c r="T424" s="19">
        <f t="shared" si="46"/>
        <v>0</v>
      </c>
      <c r="U424" s="19">
        <f t="shared" si="47"/>
        <v>0</v>
      </c>
      <c r="V424" s="21">
        <f t="shared" si="48"/>
        <v>0</v>
      </c>
    </row>
    <row r="425" spans="1:22" ht="13.5" x14ac:dyDescent="0.35">
      <c r="A425" s="18">
        <v>116418</v>
      </c>
      <c r="B425" s="19" t="s">
        <v>451</v>
      </c>
      <c r="C425" s="19">
        <v>13.8</v>
      </c>
      <c r="D425" s="19">
        <v>101</v>
      </c>
      <c r="E425" s="19">
        <v>1333</v>
      </c>
      <c r="F425" s="19">
        <v>101.67</v>
      </c>
      <c r="G425" s="19">
        <v>0</v>
      </c>
      <c r="H425" s="19">
        <v>101.67</v>
      </c>
      <c r="I425" s="20">
        <v>101.67</v>
      </c>
      <c r="J425" s="19">
        <f t="shared" si="42"/>
        <v>0</v>
      </c>
      <c r="K425" s="19">
        <f t="shared" si="43"/>
        <v>0</v>
      </c>
      <c r="L425" s="19">
        <v>-6.6E-4</v>
      </c>
      <c r="M425" s="19">
        <v>-1.9499999999999999E-3</v>
      </c>
      <c r="N425" s="19">
        <v>-1.9499999999999999E-3</v>
      </c>
      <c r="O425" s="19">
        <v>-1.98E-3</v>
      </c>
      <c r="P425" s="19">
        <v>-2.0100000000000001E-3</v>
      </c>
      <c r="Q425" s="19"/>
      <c r="R425" s="19">
        <f t="shared" si="44"/>
        <v>0</v>
      </c>
      <c r="S425" s="19">
        <f t="shared" si="45"/>
        <v>0</v>
      </c>
      <c r="T425" s="19">
        <f t="shared" si="46"/>
        <v>0</v>
      </c>
      <c r="U425" s="19">
        <f t="shared" si="47"/>
        <v>0</v>
      </c>
      <c r="V425" s="21">
        <f t="shared" si="48"/>
        <v>0</v>
      </c>
    </row>
    <row r="426" spans="1:22" ht="13.5" x14ac:dyDescent="0.35">
      <c r="A426" s="18">
        <v>116419</v>
      </c>
      <c r="B426" s="19" t="s">
        <v>452</v>
      </c>
      <c r="C426" s="19">
        <v>13.8</v>
      </c>
      <c r="D426" s="19">
        <v>101</v>
      </c>
      <c r="E426" s="19">
        <v>1333</v>
      </c>
      <c r="F426" s="19">
        <v>103.17</v>
      </c>
      <c r="G426" s="19">
        <v>0</v>
      </c>
      <c r="H426" s="19">
        <v>103.17</v>
      </c>
      <c r="I426" s="20">
        <v>103.17</v>
      </c>
      <c r="J426" s="19">
        <f t="shared" si="42"/>
        <v>0</v>
      </c>
      <c r="K426" s="19">
        <f t="shared" si="43"/>
        <v>0</v>
      </c>
      <c r="L426" s="19">
        <v>-6.6E-4</v>
      </c>
      <c r="M426" s="19">
        <v>-1.9499999999999999E-3</v>
      </c>
      <c r="N426" s="19">
        <v>-1.9499999999999999E-3</v>
      </c>
      <c r="O426" s="19">
        <v>-1.98E-3</v>
      </c>
      <c r="P426" s="19">
        <v>-2.0100000000000001E-3</v>
      </c>
      <c r="Q426" s="19"/>
      <c r="R426" s="19">
        <f t="shared" si="44"/>
        <v>0</v>
      </c>
      <c r="S426" s="19">
        <f t="shared" si="45"/>
        <v>0</v>
      </c>
      <c r="T426" s="19">
        <f t="shared" si="46"/>
        <v>0</v>
      </c>
      <c r="U426" s="19">
        <f t="shared" si="47"/>
        <v>0</v>
      </c>
      <c r="V426" s="21">
        <f t="shared" si="48"/>
        <v>0</v>
      </c>
    </row>
    <row r="427" spans="1:22" ht="13.5" x14ac:dyDescent="0.35">
      <c r="A427" s="18">
        <v>116420</v>
      </c>
      <c r="B427" s="19" t="s">
        <v>453</v>
      </c>
      <c r="C427" s="19">
        <v>13.8</v>
      </c>
      <c r="D427" s="19">
        <v>101</v>
      </c>
      <c r="E427" s="19">
        <v>1333</v>
      </c>
      <c r="F427" s="19">
        <v>82.36</v>
      </c>
      <c r="G427" s="19">
        <v>0</v>
      </c>
      <c r="H427" s="19">
        <v>82.36</v>
      </c>
      <c r="I427" s="20">
        <v>82.36</v>
      </c>
      <c r="J427" s="19">
        <f t="shared" si="42"/>
        <v>0</v>
      </c>
      <c r="K427" s="19">
        <f t="shared" si="43"/>
        <v>0</v>
      </c>
      <c r="L427" s="19">
        <v>-6.6E-4</v>
      </c>
      <c r="M427" s="19">
        <v>-1.9499999999999999E-3</v>
      </c>
      <c r="N427" s="19">
        <v>-1.9499999999999999E-3</v>
      </c>
      <c r="O427" s="19">
        <v>-1.98E-3</v>
      </c>
      <c r="P427" s="19">
        <v>-2.0100000000000001E-3</v>
      </c>
      <c r="Q427" s="19"/>
      <c r="R427" s="19">
        <f t="shared" si="44"/>
        <v>0</v>
      </c>
      <c r="S427" s="19">
        <f t="shared" si="45"/>
        <v>0</v>
      </c>
      <c r="T427" s="19">
        <f t="shared" si="46"/>
        <v>0</v>
      </c>
      <c r="U427" s="19">
        <f t="shared" si="47"/>
        <v>0</v>
      </c>
      <c r="V427" s="21">
        <f t="shared" si="48"/>
        <v>0</v>
      </c>
    </row>
    <row r="428" spans="1:22" ht="13.5" x14ac:dyDescent="0.35">
      <c r="A428" s="18">
        <v>116421</v>
      </c>
      <c r="B428" s="19" t="s">
        <v>454</v>
      </c>
      <c r="C428" s="19">
        <v>13.8</v>
      </c>
      <c r="D428" s="19">
        <v>101</v>
      </c>
      <c r="E428" s="19">
        <v>1333</v>
      </c>
      <c r="F428" s="19">
        <v>0</v>
      </c>
      <c r="G428" s="19">
        <v>0</v>
      </c>
      <c r="H428" s="19">
        <v>0</v>
      </c>
      <c r="I428" s="20">
        <v>0</v>
      </c>
      <c r="J428" s="19">
        <f t="shared" si="42"/>
        <v>0</v>
      </c>
      <c r="K428" s="19">
        <f t="shared" si="43"/>
        <v>0</v>
      </c>
      <c r="L428" s="19">
        <v>-6.6E-4</v>
      </c>
      <c r="M428" s="19">
        <v>-1.9499999999999999E-3</v>
      </c>
      <c r="N428" s="19">
        <v>-1.9499999999999999E-3</v>
      </c>
      <c r="O428" s="19">
        <v>-1.98E-3</v>
      </c>
      <c r="P428" s="19">
        <v>-2.0100000000000001E-3</v>
      </c>
      <c r="Q428" s="19"/>
      <c r="R428" s="19">
        <f t="shared" si="44"/>
        <v>0</v>
      </c>
      <c r="S428" s="19">
        <f t="shared" si="45"/>
        <v>0</v>
      </c>
      <c r="T428" s="19">
        <f t="shared" si="46"/>
        <v>0</v>
      </c>
      <c r="U428" s="19">
        <f t="shared" si="47"/>
        <v>0</v>
      </c>
      <c r="V428" s="21">
        <f t="shared" si="48"/>
        <v>0</v>
      </c>
    </row>
    <row r="429" spans="1:22" ht="13.5" x14ac:dyDescent="0.35">
      <c r="A429" s="18">
        <v>116422</v>
      </c>
      <c r="B429" s="19" t="s">
        <v>455</v>
      </c>
      <c r="C429" s="19">
        <v>13.8</v>
      </c>
      <c r="D429" s="19">
        <v>101</v>
      </c>
      <c r="E429" s="19">
        <v>1333</v>
      </c>
      <c r="F429" s="19">
        <v>0</v>
      </c>
      <c r="G429" s="19">
        <v>0</v>
      </c>
      <c r="H429" s="19">
        <v>0</v>
      </c>
      <c r="I429" s="20">
        <v>0</v>
      </c>
      <c r="J429" s="19">
        <f t="shared" si="42"/>
        <v>0</v>
      </c>
      <c r="K429" s="19">
        <f t="shared" si="43"/>
        <v>0</v>
      </c>
      <c r="L429" s="19">
        <v>-6.6E-4</v>
      </c>
      <c r="M429" s="19">
        <v>-1.9499999999999999E-3</v>
      </c>
      <c r="N429" s="19">
        <v>-1.9499999999999999E-3</v>
      </c>
      <c r="O429" s="19">
        <v>-1.98E-3</v>
      </c>
      <c r="P429" s="19">
        <v>-2.0100000000000001E-3</v>
      </c>
      <c r="Q429" s="19"/>
      <c r="R429" s="19">
        <f t="shared" si="44"/>
        <v>0</v>
      </c>
      <c r="S429" s="19">
        <f t="shared" si="45"/>
        <v>0</v>
      </c>
      <c r="T429" s="19">
        <f t="shared" si="46"/>
        <v>0</v>
      </c>
      <c r="U429" s="19">
        <f t="shared" si="47"/>
        <v>0</v>
      </c>
      <c r="V429" s="21">
        <f t="shared" si="48"/>
        <v>0</v>
      </c>
    </row>
    <row r="430" spans="1:22" ht="13.5" x14ac:dyDescent="0.35">
      <c r="A430" s="18">
        <v>116433</v>
      </c>
      <c r="B430" s="19" t="s">
        <v>456</v>
      </c>
      <c r="C430" s="19">
        <v>13.8</v>
      </c>
      <c r="D430" s="19">
        <v>101</v>
      </c>
      <c r="E430" s="19">
        <v>1332</v>
      </c>
      <c r="F430" s="19">
        <v>0</v>
      </c>
      <c r="G430" s="19">
        <v>0</v>
      </c>
      <c r="H430" s="19">
        <v>0</v>
      </c>
      <c r="I430" s="20">
        <v>0</v>
      </c>
      <c r="J430" s="19">
        <f t="shared" si="42"/>
        <v>0</v>
      </c>
      <c r="K430" s="19">
        <f t="shared" si="43"/>
        <v>0</v>
      </c>
      <c r="L430" s="19">
        <v>-6.6E-4</v>
      </c>
      <c r="M430" s="19">
        <v>-2.0799999999999998E-3</v>
      </c>
      <c r="N430" s="19">
        <v>-2.0799999999999998E-3</v>
      </c>
      <c r="O430" s="19">
        <v>-2.1099999999999999E-3</v>
      </c>
      <c r="P430" s="19">
        <v>-2.14E-3</v>
      </c>
      <c r="Q430" s="19"/>
      <c r="R430" s="19">
        <f t="shared" si="44"/>
        <v>0</v>
      </c>
      <c r="S430" s="19">
        <f t="shared" si="45"/>
        <v>0</v>
      </c>
      <c r="T430" s="19">
        <f t="shared" si="46"/>
        <v>0</v>
      </c>
      <c r="U430" s="19">
        <f t="shared" si="47"/>
        <v>0</v>
      </c>
      <c r="V430" s="21">
        <f t="shared" si="48"/>
        <v>0</v>
      </c>
    </row>
    <row r="431" spans="1:22" ht="13.5" x14ac:dyDescent="0.35">
      <c r="A431" s="18">
        <v>116438</v>
      </c>
      <c r="B431" s="19" t="s">
        <v>457</v>
      </c>
      <c r="C431" s="19">
        <v>13.8</v>
      </c>
      <c r="D431" s="19">
        <v>101</v>
      </c>
      <c r="E431" s="19">
        <v>1333</v>
      </c>
      <c r="F431" s="19">
        <v>84.65</v>
      </c>
      <c r="G431" s="19">
        <v>0</v>
      </c>
      <c r="H431" s="19">
        <v>84.65</v>
      </c>
      <c r="I431" s="20">
        <v>84.65</v>
      </c>
      <c r="J431" s="19">
        <f t="shared" si="42"/>
        <v>0</v>
      </c>
      <c r="K431" s="19">
        <f t="shared" si="43"/>
        <v>0</v>
      </c>
      <c r="L431" s="19">
        <v>-6.6E-4</v>
      </c>
      <c r="M431" s="19">
        <v>-2.1199999999999999E-3</v>
      </c>
      <c r="N431" s="19">
        <v>-2.1199999999999999E-3</v>
      </c>
      <c r="O431" s="19">
        <v>-2.15E-3</v>
      </c>
      <c r="P431" s="19">
        <v>-2.1700000000000001E-3</v>
      </c>
      <c r="Q431" s="19"/>
      <c r="R431" s="19">
        <f t="shared" si="44"/>
        <v>0</v>
      </c>
      <c r="S431" s="19">
        <f t="shared" si="45"/>
        <v>0</v>
      </c>
      <c r="T431" s="19">
        <f t="shared" si="46"/>
        <v>0</v>
      </c>
      <c r="U431" s="19">
        <f t="shared" si="47"/>
        <v>0</v>
      </c>
      <c r="V431" s="21">
        <f t="shared" si="48"/>
        <v>0</v>
      </c>
    </row>
    <row r="432" spans="1:22" ht="13.5" x14ac:dyDescent="0.35">
      <c r="A432" s="18">
        <v>116439</v>
      </c>
      <c r="B432" s="19" t="s">
        <v>458</v>
      </c>
      <c r="C432" s="19">
        <v>13.8</v>
      </c>
      <c r="D432" s="19">
        <v>101</v>
      </c>
      <c r="E432" s="19">
        <v>1333</v>
      </c>
      <c r="F432" s="19">
        <v>76.010000000000005</v>
      </c>
      <c r="G432" s="19">
        <v>0</v>
      </c>
      <c r="H432" s="19">
        <v>76.010000000000005</v>
      </c>
      <c r="I432" s="20">
        <v>76.010000000000005</v>
      </c>
      <c r="J432" s="19">
        <f t="shared" si="42"/>
        <v>0</v>
      </c>
      <c r="K432" s="19">
        <f t="shared" si="43"/>
        <v>0</v>
      </c>
      <c r="L432" s="19">
        <v>-6.6E-4</v>
      </c>
      <c r="M432" s="19">
        <v>-2.1199999999999999E-3</v>
      </c>
      <c r="N432" s="19">
        <v>-2.1199999999999999E-3</v>
      </c>
      <c r="O432" s="19">
        <v>-2.15E-3</v>
      </c>
      <c r="P432" s="19">
        <v>-2.1700000000000001E-3</v>
      </c>
      <c r="Q432" s="19"/>
      <c r="R432" s="19">
        <f t="shared" si="44"/>
        <v>0</v>
      </c>
      <c r="S432" s="19">
        <f t="shared" si="45"/>
        <v>0</v>
      </c>
      <c r="T432" s="19">
        <f t="shared" si="46"/>
        <v>0</v>
      </c>
      <c r="U432" s="19">
        <f t="shared" si="47"/>
        <v>0</v>
      </c>
      <c r="V432" s="21">
        <f t="shared" si="48"/>
        <v>0</v>
      </c>
    </row>
    <row r="433" spans="1:22" ht="13.5" x14ac:dyDescent="0.35">
      <c r="A433" s="18">
        <v>116440</v>
      </c>
      <c r="B433" s="19" t="s">
        <v>459</v>
      </c>
      <c r="C433" s="19">
        <v>13.8</v>
      </c>
      <c r="D433" s="19">
        <v>101</v>
      </c>
      <c r="E433" s="19">
        <v>1333</v>
      </c>
      <c r="F433" s="19">
        <v>84.65</v>
      </c>
      <c r="G433" s="19">
        <v>0</v>
      </c>
      <c r="H433" s="19">
        <v>84.65</v>
      </c>
      <c r="I433" s="20">
        <v>84.65</v>
      </c>
      <c r="J433" s="19">
        <f t="shared" si="42"/>
        <v>0</v>
      </c>
      <c r="K433" s="19">
        <f t="shared" si="43"/>
        <v>0</v>
      </c>
      <c r="L433" s="19">
        <v>-6.6E-4</v>
      </c>
      <c r="M433" s="19">
        <v>-2.1199999999999999E-3</v>
      </c>
      <c r="N433" s="19">
        <v>-2.1199999999999999E-3</v>
      </c>
      <c r="O433" s="19">
        <v>-2.15E-3</v>
      </c>
      <c r="P433" s="19">
        <v>-2.1700000000000001E-3</v>
      </c>
      <c r="Q433" s="19"/>
      <c r="R433" s="19">
        <f t="shared" si="44"/>
        <v>0</v>
      </c>
      <c r="S433" s="19">
        <f t="shared" si="45"/>
        <v>0</v>
      </c>
      <c r="T433" s="19">
        <f t="shared" si="46"/>
        <v>0</v>
      </c>
      <c r="U433" s="19">
        <f t="shared" si="47"/>
        <v>0</v>
      </c>
      <c r="V433" s="21">
        <f t="shared" si="48"/>
        <v>0</v>
      </c>
    </row>
    <row r="434" spans="1:22" ht="13.5" x14ac:dyDescent="0.35">
      <c r="A434" s="18">
        <v>116452</v>
      </c>
      <c r="B434" s="19" t="s">
        <v>460</v>
      </c>
      <c r="C434" s="19">
        <v>6.6</v>
      </c>
      <c r="D434" s="19">
        <v>101</v>
      </c>
      <c r="E434" s="19">
        <v>1334</v>
      </c>
      <c r="F434" s="19">
        <v>14.95</v>
      </c>
      <c r="G434" s="19">
        <v>0</v>
      </c>
      <c r="H434" s="19">
        <v>14.95</v>
      </c>
      <c r="I434" s="20">
        <v>14.95</v>
      </c>
      <c r="J434" s="19">
        <f t="shared" si="42"/>
        <v>0</v>
      </c>
      <c r="K434" s="19">
        <f t="shared" si="43"/>
        <v>0</v>
      </c>
      <c r="L434" s="19">
        <v>-6.6E-4</v>
      </c>
      <c r="M434" s="19">
        <v>-2.1700000000000001E-3</v>
      </c>
      <c r="N434" s="19">
        <v>-2.1700000000000001E-3</v>
      </c>
      <c r="O434" s="19">
        <v>-2.2000000000000001E-3</v>
      </c>
      <c r="P434" s="19">
        <v>-2.2200000000000002E-3</v>
      </c>
      <c r="Q434" s="19"/>
      <c r="R434" s="19">
        <f t="shared" si="44"/>
        <v>0</v>
      </c>
      <c r="S434" s="19">
        <f t="shared" si="45"/>
        <v>0</v>
      </c>
      <c r="T434" s="19">
        <f t="shared" si="46"/>
        <v>0</v>
      </c>
      <c r="U434" s="19">
        <f t="shared" si="47"/>
        <v>0</v>
      </c>
      <c r="V434" s="21">
        <f t="shared" si="48"/>
        <v>0</v>
      </c>
    </row>
    <row r="435" spans="1:22" ht="13.5" x14ac:dyDescent="0.35">
      <c r="A435" s="18">
        <v>116458</v>
      </c>
      <c r="B435" s="19" t="s">
        <v>461</v>
      </c>
      <c r="C435" s="19">
        <v>4.16</v>
      </c>
      <c r="D435" s="19">
        <v>101</v>
      </c>
      <c r="E435" s="19">
        <v>1334</v>
      </c>
      <c r="F435" s="19">
        <v>0</v>
      </c>
      <c r="G435" s="19">
        <v>0</v>
      </c>
      <c r="H435" s="19">
        <v>0</v>
      </c>
      <c r="I435" s="20">
        <v>0</v>
      </c>
      <c r="J435" s="19">
        <f t="shared" si="42"/>
        <v>0</v>
      </c>
      <c r="K435" s="19">
        <f t="shared" si="43"/>
        <v>0</v>
      </c>
      <c r="L435" s="19">
        <v>-6.6E-4</v>
      </c>
      <c r="M435" s="19">
        <v>-2.2000000000000001E-3</v>
      </c>
      <c r="N435" s="19">
        <v>-2.2000000000000001E-3</v>
      </c>
      <c r="O435" s="19">
        <v>-2.2300000000000002E-3</v>
      </c>
      <c r="P435" s="19">
        <v>-2.2499999999999998E-3</v>
      </c>
      <c r="Q435" s="19"/>
      <c r="R435" s="19">
        <f t="shared" si="44"/>
        <v>0</v>
      </c>
      <c r="S435" s="19">
        <f t="shared" si="45"/>
        <v>0</v>
      </c>
      <c r="T435" s="19">
        <f t="shared" si="46"/>
        <v>0</v>
      </c>
      <c r="U435" s="19">
        <f t="shared" si="47"/>
        <v>0</v>
      </c>
      <c r="V435" s="21">
        <f t="shared" si="48"/>
        <v>0</v>
      </c>
    </row>
    <row r="436" spans="1:22" ht="13.5" x14ac:dyDescent="0.35">
      <c r="A436" s="18">
        <v>116492</v>
      </c>
      <c r="B436" s="19" t="s">
        <v>462</v>
      </c>
      <c r="C436" s="19">
        <v>13.8</v>
      </c>
      <c r="D436" s="19">
        <v>101</v>
      </c>
      <c r="E436" s="19">
        <v>1333</v>
      </c>
      <c r="F436" s="19">
        <v>39</v>
      </c>
      <c r="G436" s="19">
        <v>0</v>
      </c>
      <c r="H436" s="19">
        <v>39</v>
      </c>
      <c r="I436" s="20">
        <v>39</v>
      </c>
      <c r="J436" s="19">
        <f t="shared" si="42"/>
        <v>0</v>
      </c>
      <c r="K436" s="19">
        <f t="shared" si="43"/>
        <v>0</v>
      </c>
      <c r="L436" s="19">
        <v>-6.6E-4</v>
      </c>
      <c r="M436" s="19">
        <v>-2.2899999999999999E-3</v>
      </c>
      <c r="N436" s="19">
        <v>-2.2899999999999999E-3</v>
      </c>
      <c r="O436" s="19">
        <v>-2.32E-3</v>
      </c>
      <c r="P436" s="19">
        <v>-2.3500000000000001E-3</v>
      </c>
      <c r="Q436" s="19"/>
      <c r="R436" s="19">
        <f t="shared" si="44"/>
        <v>0</v>
      </c>
      <c r="S436" s="19">
        <f t="shared" si="45"/>
        <v>0</v>
      </c>
      <c r="T436" s="19">
        <f t="shared" si="46"/>
        <v>0</v>
      </c>
      <c r="U436" s="19">
        <f t="shared" si="47"/>
        <v>0</v>
      </c>
      <c r="V436" s="21">
        <f t="shared" si="48"/>
        <v>0</v>
      </c>
    </row>
    <row r="437" spans="1:22" ht="13.5" x14ac:dyDescent="0.35">
      <c r="A437" s="18">
        <v>116493</v>
      </c>
      <c r="B437" s="19" t="s">
        <v>463</v>
      </c>
      <c r="C437" s="19">
        <v>13.8</v>
      </c>
      <c r="D437" s="19">
        <v>101</v>
      </c>
      <c r="E437" s="19">
        <v>1333</v>
      </c>
      <c r="F437" s="19">
        <v>0</v>
      </c>
      <c r="G437" s="19">
        <v>0</v>
      </c>
      <c r="H437" s="19">
        <v>0</v>
      </c>
      <c r="I437" s="20">
        <v>0</v>
      </c>
      <c r="J437" s="19">
        <f t="shared" si="42"/>
        <v>0</v>
      </c>
      <c r="K437" s="19">
        <f t="shared" si="43"/>
        <v>0</v>
      </c>
      <c r="L437" s="19">
        <v>-6.6E-4</v>
      </c>
      <c r="M437" s="19">
        <v>-2.2899999999999999E-3</v>
      </c>
      <c r="N437" s="19">
        <v>-2.2899999999999999E-3</v>
      </c>
      <c r="O437" s="19">
        <v>-2.32E-3</v>
      </c>
      <c r="P437" s="19">
        <v>-2.3500000000000001E-3</v>
      </c>
      <c r="Q437" s="19"/>
      <c r="R437" s="19">
        <f t="shared" si="44"/>
        <v>0</v>
      </c>
      <c r="S437" s="19">
        <f t="shared" si="45"/>
        <v>0</v>
      </c>
      <c r="T437" s="19">
        <f t="shared" si="46"/>
        <v>0</v>
      </c>
      <c r="U437" s="19">
        <f t="shared" si="47"/>
        <v>0</v>
      </c>
      <c r="V437" s="21">
        <f t="shared" si="48"/>
        <v>0</v>
      </c>
    </row>
    <row r="438" spans="1:22" ht="13.5" x14ac:dyDescent="0.35">
      <c r="A438" s="18">
        <v>116494</v>
      </c>
      <c r="B438" s="19" t="s">
        <v>464</v>
      </c>
      <c r="C438" s="19">
        <v>13.8</v>
      </c>
      <c r="D438" s="19">
        <v>101</v>
      </c>
      <c r="E438" s="19">
        <v>1333</v>
      </c>
      <c r="F438" s="19">
        <v>0</v>
      </c>
      <c r="G438" s="19">
        <v>0</v>
      </c>
      <c r="H438" s="19">
        <v>0</v>
      </c>
      <c r="I438" s="20">
        <v>0</v>
      </c>
      <c r="J438" s="19">
        <f t="shared" si="42"/>
        <v>0</v>
      </c>
      <c r="K438" s="19">
        <f t="shared" si="43"/>
        <v>0</v>
      </c>
      <c r="L438" s="19">
        <v>-6.6E-4</v>
      </c>
      <c r="M438" s="19">
        <v>-2.2899999999999999E-3</v>
      </c>
      <c r="N438" s="19">
        <v>-2.2899999999999999E-3</v>
      </c>
      <c r="O438" s="19">
        <v>-2.32E-3</v>
      </c>
      <c r="P438" s="19">
        <v>-2.3500000000000001E-3</v>
      </c>
      <c r="Q438" s="19"/>
      <c r="R438" s="19">
        <f t="shared" si="44"/>
        <v>0</v>
      </c>
      <c r="S438" s="19">
        <f t="shared" si="45"/>
        <v>0</v>
      </c>
      <c r="T438" s="19">
        <f t="shared" si="46"/>
        <v>0</v>
      </c>
      <c r="U438" s="19">
        <f t="shared" si="47"/>
        <v>0</v>
      </c>
      <c r="V438" s="21">
        <f t="shared" si="48"/>
        <v>0</v>
      </c>
    </row>
    <row r="439" spans="1:22" ht="13.5" x14ac:dyDescent="0.35">
      <c r="A439" s="18">
        <v>116495</v>
      </c>
      <c r="B439" s="19" t="s">
        <v>465</v>
      </c>
      <c r="C439" s="19">
        <v>4.16</v>
      </c>
      <c r="D439" s="19">
        <v>101</v>
      </c>
      <c r="E439" s="19">
        <v>1334</v>
      </c>
      <c r="F439" s="19">
        <v>0</v>
      </c>
      <c r="G439" s="19">
        <v>0</v>
      </c>
      <c r="H439" s="19">
        <v>0</v>
      </c>
      <c r="I439" s="20">
        <v>0</v>
      </c>
      <c r="J439" s="19">
        <f t="shared" si="42"/>
        <v>0</v>
      </c>
      <c r="K439" s="19">
        <f t="shared" si="43"/>
        <v>0</v>
      </c>
      <c r="L439" s="19">
        <v>-6.6E-4</v>
      </c>
      <c r="M439" s="19">
        <v>-2.2899999999999999E-3</v>
      </c>
      <c r="N439" s="19">
        <v>-2.2899999999999999E-3</v>
      </c>
      <c r="O439" s="19">
        <v>-2.32E-3</v>
      </c>
      <c r="P439" s="19">
        <v>-2.3500000000000001E-3</v>
      </c>
      <c r="Q439" s="19"/>
      <c r="R439" s="19">
        <f t="shared" si="44"/>
        <v>0</v>
      </c>
      <c r="S439" s="19">
        <f t="shared" si="45"/>
        <v>0</v>
      </c>
      <c r="T439" s="19">
        <f t="shared" si="46"/>
        <v>0</v>
      </c>
      <c r="U439" s="19">
        <f t="shared" si="47"/>
        <v>0</v>
      </c>
      <c r="V439" s="21">
        <f t="shared" si="48"/>
        <v>0</v>
      </c>
    </row>
    <row r="440" spans="1:22" ht="13.5" x14ac:dyDescent="0.35">
      <c r="A440" s="18">
        <v>116505</v>
      </c>
      <c r="B440" s="19" t="s">
        <v>466</v>
      </c>
      <c r="C440" s="19">
        <v>21</v>
      </c>
      <c r="D440" s="19">
        <v>101</v>
      </c>
      <c r="E440" s="19">
        <v>1333</v>
      </c>
      <c r="F440" s="19">
        <v>270</v>
      </c>
      <c r="G440" s="19">
        <v>0</v>
      </c>
      <c r="H440" s="19">
        <v>270</v>
      </c>
      <c r="I440" s="20">
        <f>270</f>
        <v>270</v>
      </c>
      <c r="J440" s="19">
        <f t="shared" si="42"/>
        <v>0</v>
      </c>
      <c r="K440" s="19">
        <f t="shared" si="43"/>
        <v>0</v>
      </c>
      <c r="L440" s="19">
        <v>-6.6E-4</v>
      </c>
      <c r="M440" s="19">
        <v>-2.2699999999999999E-3</v>
      </c>
      <c r="N440" s="19">
        <v>-2.2699999999999999E-3</v>
      </c>
      <c r="O440" s="19">
        <v>-2.3E-3</v>
      </c>
      <c r="P440" s="19">
        <v>-2.33E-3</v>
      </c>
      <c r="Q440" s="19"/>
      <c r="R440" s="19">
        <f t="shared" si="44"/>
        <v>0</v>
      </c>
      <c r="S440" s="19">
        <f t="shared" si="45"/>
        <v>0</v>
      </c>
      <c r="T440" s="19">
        <f t="shared" si="46"/>
        <v>0</v>
      </c>
      <c r="U440" s="19">
        <f t="shared" si="47"/>
        <v>0</v>
      </c>
      <c r="V440" s="21">
        <f t="shared" si="48"/>
        <v>0</v>
      </c>
    </row>
    <row r="441" spans="1:22" ht="13.5" x14ac:dyDescent="0.35">
      <c r="A441" s="18">
        <v>116556</v>
      </c>
      <c r="B441" s="19" t="s">
        <v>467</v>
      </c>
      <c r="C441" s="19">
        <v>6.9</v>
      </c>
      <c r="D441" s="19">
        <v>101</v>
      </c>
      <c r="E441" s="19">
        <v>1333</v>
      </c>
      <c r="F441" s="19">
        <v>19.96</v>
      </c>
      <c r="G441" s="19">
        <v>0</v>
      </c>
      <c r="H441" s="19">
        <v>19.96</v>
      </c>
      <c r="I441" s="20">
        <v>19.96</v>
      </c>
      <c r="J441" s="19">
        <f t="shared" si="42"/>
        <v>0</v>
      </c>
      <c r="K441" s="19">
        <f t="shared" si="43"/>
        <v>0</v>
      </c>
      <c r="L441" s="19">
        <v>-6.6E-4</v>
      </c>
      <c r="M441" s="19">
        <v>-2.2399999999999998E-3</v>
      </c>
      <c r="N441" s="19">
        <v>-2.2399999999999998E-3</v>
      </c>
      <c r="O441" s="19">
        <v>-2.2699999999999999E-3</v>
      </c>
      <c r="P441" s="19">
        <v>-2.3E-3</v>
      </c>
      <c r="Q441" s="19"/>
      <c r="R441" s="19">
        <f t="shared" si="44"/>
        <v>0</v>
      </c>
      <c r="S441" s="19">
        <f t="shared" si="45"/>
        <v>0</v>
      </c>
      <c r="T441" s="19">
        <f t="shared" si="46"/>
        <v>0</v>
      </c>
      <c r="U441" s="19">
        <f t="shared" si="47"/>
        <v>0</v>
      </c>
      <c r="V441" s="21">
        <f t="shared" si="48"/>
        <v>0</v>
      </c>
    </row>
    <row r="442" spans="1:22" ht="13.5" x14ac:dyDescent="0.35">
      <c r="A442" s="18">
        <v>116568</v>
      </c>
      <c r="B442" s="19" t="s">
        <v>468</v>
      </c>
      <c r="C442" s="19">
        <v>13.8</v>
      </c>
      <c r="D442" s="19">
        <v>101</v>
      </c>
      <c r="E442" s="19">
        <v>1372</v>
      </c>
      <c r="F442" s="19">
        <v>0</v>
      </c>
      <c r="G442" s="19">
        <v>0</v>
      </c>
      <c r="H442" s="19">
        <v>0</v>
      </c>
      <c r="I442" s="20">
        <v>0</v>
      </c>
      <c r="J442" s="19">
        <f t="shared" si="42"/>
        <v>0</v>
      </c>
      <c r="K442" s="19">
        <f t="shared" si="43"/>
        <v>0</v>
      </c>
      <c r="L442" s="19">
        <v>-6.6E-4</v>
      </c>
      <c r="M442" s="19">
        <v>-1.6800000000000001E-3</v>
      </c>
      <c r="N442" s="19">
        <v>-1.6800000000000001E-3</v>
      </c>
      <c r="O442" s="19">
        <v>-1.7099999999999999E-3</v>
      </c>
      <c r="P442" s="19">
        <v>-1.74E-3</v>
      </c>
      <c r="Q442" s="19"/>
      <c r="R442" s="19">
        <f t="shared" si="44"/>
        <v>0</v>
      </c>
      <c r="S442" s="19">
        <f t="shared" si="45"/>
        <v>0</v>
      </c>
      <c r="T442" s="19">
        <f t="shared" si="46"/>
        <v>0</v>
      </c>
      <c r="U442" s="19">
        <f t="shared" si="47"/>
        <v>0</v>
      </c>
      <c r="V442" s="21">
        <f t="shared" si="48"/>
        <v>0</v>
      </c>
    </row>
    <row r="443" spans="1:22" ht="13.5" x14ac:dyDescent="0.35">
      <c r="A443" s="18">
        <v>116569</v>
      </c>
      <c r="B443" s="19" t="s">
        <v>469</v>
      </c>
      <c r="C443" s="19">
        <v>13.8</v>
      </c>
      <c r="D443" s="19">
        <v>101</v>
      </c>
      <c r="E443" s="19">
        <v>1372</v>
      </c>
      <c r="F443" s="19">
        <v>0</v>
      </c>
      <c r="G443" s="19">
        <v>0</v>
      </c>
      <c r="H443" s="19">
        <v>0</v>
      </c>
      <c r="I443" s="20">
        <v>0</v>
      </c>
      <c r="J443" s="19">
        <f t="shared" si="42"/>
        <v>0</v>
      </c>
      <c r="K443" s="19">
        <f t="shared" si="43"/>
        <v>0</v>
      </c>
      <c r="L443" s="19">
        <v>-6.6E-4</v>
      </c>
      <c r="M443" s="19">
        <v>-2.64E-3</v>
      </c>
      <c r="N443" s="19">
        <v>-2.64E-3</v>
      </c>
      <c r="O443" s="19">
        <v>-2.6700000000000001E-3</v>
      </c>
      <c r="P443" s="19">
        <v>-2.7000000000000001E-3</v>
      </c>
      <c r="Q443" s="19"/>
      <c r="R443" s="19">
        <f t="shared" si="44"/>
        <v>0</v>
      </c>
      <c r="S443" s="19">
        <f t="shared" si="45"/>
        <v>0</v>
      </c>
      <c r="T443" s="19">
        <f t="shared" si="46"/>
        <v>0</v>
      </c>
      <c r="U443" s="19">
        <f t="shared" si="47"/>
        <v>0</v>
      </c>
      <c r="V443" s="21">
        <f t="shared" si="48"/>
        <v>0</v>
      </c>
    </row>
    <row r="444" spans="1:22" ht="13.5" x14ac:dyDescent="0.35">
      <c r="A444" s="18">
        <v>116578</v>
      </c>
      <c r="B444" s="19" t="s">
        <v>470</v>
      </c>
      <c r="C444" s="19">
        <v>2.4</v>
      </c>
      <c r="D444" s="19">
        <v>101</v>
      </c>
      <c r="E444" s="19">
        <v>1374</v>
      </c>
      <c r="F444" s="19">
        <v>0</v>
      </c>
      <c r="G444" s="19">
        <v>0</v>
      </c>
      <c r="H444" s="19">
        <v>0</v>
      </c>
      <c r="I444" s="20">
        <v>0</v>
      </c>
      <c r="J444" s="19">
        <f t="shared" si="42"/>
        <v>0</v>
      </c>
      <c r="K444" s="19">
        <f t="shared" si="43"/>
        <v>0</v>
      </c>
      <c r="L444" s="19">
        <v>-6.6E-4</v>
      </c>
      <c r="M444" s="19">
        <v>-1.6800000000000001E-3</v>
      </c>
      <c r="N444" s="19">
        <v>-1.6800000000000001E-3</v>
      </c>
      <c r="O444" s="19">
        <v>-1.7099999999999999E-3</v>
      </c>
      <c r="P444" s="19">
        <v>-1.74E-3</v>
      </c>
      <c r="Q444" s="19"/>
      <c r="R444" s="19">
        <f t="shared" si="44"/>
        <v>0</v>
      </c>
      <c r="S444" s="19">
        <f t="shared" si="45"/>
        <v>0</v>
      </c>
      <c r="T444" s="19">
        <f t="shared" si="46"/>
        <v>0</v>
      </c>
      <c r="U444" s="19">
        <f t="shared" si="47"/>
        <v>0</v>
      </c>
      <c r="V444" s="21">
        <f t="shared" si="48"/>
        <v>0</v>
      </c>
    </row>
    <row r="445" spans="1:22" ht="13.5" x14ac:dyDescent="0.35">
      <c r="A445" s="18">
        <v>116579</v>
      </c>
      <c r="B445" s="19" t="s">
        <v>471</v>
      </c>
      <c r="C445" s="19">
        <v>13.8</v>
      </c>
      <c r="D445" s="19">
        <v>101</v>
      </c>
      <c r="E445" s="19">
        <v>1373</v>
      </c>
      <c r="F445" s="19">
        <v>64.66</v>
      </c>
      <c r="G445" s="19">
        <v>0</v>
      </c>
      <c r="H445" s="19">
        <v>64.66</v>
      </c>
      <c r="I445" s="20">
        <v>64.66</v>
      </c>
      <c r="J445" s="19">
        <f t="shared" si="42"/>
        <v>0</v>
      </c>
      <c r="K445" s="19">
        <f t="shared" si="43"/>
        <v>0</v>
      </c>
      <c r="L445" s="19">
        <v>-6.6E-4</v>
      </c>
      <c r="M445" s="19">
        <v>-1.6800000000000001E-3</v>
      </c>
      <c r="N445" s="19">
        <v>-1.6800000000000001E-3</v>
      </c>
      <c r="O445" s="19">
        <v>-1.7099999999999999E-3</v>
      </c>
      <c r="P445" s="19">
        <v>-1.74E-3</v>
      </c>
      <c r="Q445" s="19"/>
      <c r="R445" s="19">
        <f t="shared" si="44"/>
        <v>0</v>
      </c>
      <c r="S445" s="19">
        <f t="shared" si="45"/>
        <v>0</v>
      </c>
      <c r="T445" s="19">
        <f t="shared" si="46"/>
        <v>0</v>
      </c>
      <c r="U445" s="19">
        <f t="shared" si="47"/>
        <v>0</v>
      </c>
      <c r="V445" s="21">
        <f t="shared" si="48"/>
        <v>0</v>
      </c>
    </row>
    <row r="446" spans="1:22" ht="13.5" x14ac:dyDescent="0.35">
      <c r="A446" s="18">
        <v>116608</v>
      </c>
      <c r="B446" s="19" t="s">
        <v>472</v>
      </c>
      <c r="C446" s="19">
        <v>13.2</v>
      </c>
      <c r="D446" s="19">
        <v>101</v>
      </c>
      <c r="E446" s="19">
        <v>1374</v>
      </c>
      <c r="F446" s="19">
        <v>0</v>
      </c>
      <c r="G446" s="19">
        <v>0</v>
      </c>
      <c r="H446" s="19">
        <v>0</v>
      </c>
      <c r="I446" s="20">
        <v>0</v>
      </c>
      <c r="J446" s="19">
        <f t="shared" si="42"/>
        <v>0</v>
      </c>
      <c r="K446" s="19">
        <f t="shared" si="43"/>
        <v>0</v>
      </c>
      <c r="L446" s="19">
        <v>-6.6E-4</v>
      </c>
      <c r="M446" s="19">
        <v>-1.74E-3</v>
      </c>
      <c r="N446" s="19">
        <v>-1.74E-3</v>
      </c>
      <c r="O446" s="19">
        <v>-1.7799999999999999E-3</v>
      </c>
      <c r="P446" s="19">
        <v>-1.8E-3</v>
      </c>
      <c r="Q446" s="19"/>
      <c r="R446" s="19">
        <f t="shared" si="44"/>
        <v>0</v>
      </c>
      <c r="S446" s="19">
        <f t="shared" si="45"/>
        <v>0</v>
      </c>
      <c r="T446" s="19">
        <f t="shared" si="46"/>
        <v>0</v>
      </c>
      <c r="U446" s="19">
        <f t="shared" si="47"/>
        <v>0</v>
      </c>
      <c r="V446" s="21">
        <f t="shared" si="48"/>
        <v>0</v>
      </c>
    </row>
    <row r="447" spans="1:22" ht="13.5" x14ac:dyDescent="0.35">
      <c r="A447" s="18">
        <v>116618</v>
      </c>
      <c r="B447" s="19" t="s">
        <v>473</v>
      </c>
      <c r="C447" s="19">
        <v>13.8</v>
      </c>
      <c r="D447" s="19">
        <v>101</v>
      </c>
      <c r="E447" s="19">
        <v>1373</v>
      </c>
      <c r="F447" s="19">
        <v>33.65</v>
      </c>
      <c r="G447" s="19">
        <v>0</v>
      </c>
      <c r="H447" s="19">
        <v>33.65</v>
      </c>
      <c r="I447" s="20">
        <v>33.65</v>
      </c>
      <c r="J447" s="19">
        <f t="shared" si="42"/>
        <v>0</v>
      </c>
      <c r="K447" s="19">
        <f t="shared" si="43"/>
        <v>0</v>
      </c>
      <c r="L447" s="19">
        <v>-6.6E-4</v>
      </c>
      <c r="M447" s="19">
        <v>-1.74E-3</v>
      </c>
      <c r="N447" s="19">
        <v>-1.74E-3</v>
      </c>
      <c r="O447" s="19">
        <v>-1.7799999999999999E-3</v>
      </c>
      <c r="P447" s="19">
        <v>-1.8E-3</v>
      </c>
      <c r="Q447" s="19"/>
      <c r="R447" s="19">
        <f t="shared" si="44"/>
        <v>0</v>
      </c>
      <c r="S447" s="19">
        <f t="shared" si="45"/>
        <v>0</v>
      </c>
      <c r="T447" s="19">
        <f t="shared" si="46"/>
        <v>0</v>
      </c>
      <c r="U447" s="19">
        <f t="shared" si="47"/>
        <v>0</v>
      </c>
      <c r="V447" s="21">
        <f t="shared" si="48"/>
        <v>0</v>
      </c>
    </row>
    <row r="448" spans="1:22" ht="13.5" x14ac:dyDescent="0.35">
      <c r="A448" s="18">
        <v>116619</v>
      </c>
      <c r="B448" s="19" t="s">
        <v>474</v>
      </c>
      <c r="C448" s="19">
        <v>13.8</v>
      </c>
      <c r="D448" s="19">
        <v>101</v>
      </c>
      <c r="E448" s="19">
        <v>1373</v>
      </c>
      <c r="F448" s="19">
        <v>33.65</v>
      </c>
      <c r="G448" s="19">
        <v>0</v>
      </c>
      <c r="H448" s="19">
        <v>33.65</v>
      </c>
      <c r="I448" s="20">
        <v>33.65</v>
      </c>
      <c r="J448" s="19">
        <f t="shared" si="42"/>
        <v>0</v>
      </c>
      <c r="K448" s="19">
        <f t="shared" si="43"/>
        <v>0</v>
      </c>
      <c r="L448" s="19">
        <v>-6.6E-4</v>
      </c>
      <c r="M448" s="19">
        <v>-1.74E-3</v>
      </c>
      <c r="N448" s="19">
        <v>-1.74E-3</v>
      </c>
      <c r="O448" s="19">
        <v>-1.7799999999999999E-3</v>
      </c>
      <c r="P448" s="19">
        <v>-1.8E-3</v>
      </c>
      <c r="Q448" s="19"/>
      <c r="R448" s="19">
        <f t="shared" si="44"/>
        <v>0</v>
      </c>
      <c r="S448" s="19">
        <f t="shared" si="45"/>
        <v>0</v>
      </c>
      <c r="T448" s="19">
        <f t="shared" si="46"/>
        <v>0</v>
      </c>
      <c r="U448" s="19">
        <f t="shared" si="47"/>
        <v>0</v>
      </c>
      <c r="V448" s="21">
        <f t="shared" si="48"/>
        <v>0</v>
      </c>
    </row>
    <row r="449" spans="1:22" ht="13.5" x14ac:dyDescent="0.35">
      <c r="A449" s="18">
        <v>116620</v>
      </c>
      <c r="B449" s="19" t="s">
        <v>475</v>
      </c>
      <c r="C449" s="19">
        <v>13.8</v>
      </c>
      <c r="D449" s="19">
        <v>101</v>
      </c>
      <c r="E449" s="19">
        <v>1373</v>
      </c>
      <c r="F449" s="19">
        <v>31.58</v>
      </c>
      <c r="G449" s="19">
        <v>0</v>
      </c>
      <c r="H449" s="19">
        <v>33.65</v>
      </c>
      <c r="I449" s="20">
        <v>31.58</v>
      </c>
      <c r="J449" s="19">
        <f t="shared" si="42"/>
        <v>0</v>
      </c>
      <c r="K449" s="19">
        <f t="shared" si="43"/>
        <v>2.0700000000000003</v>
      </c>
      <c r="L449" s="19">
        <v>-6.6E-4</v>
      </c>
      <c r="M449" s="19">
        <v>-1.74E-3</v>
      </c>
      <c r="N449" s="19">
        <v>-1.74E-3</v>
      </c>
      <c r="O449" s="19">
        <v>-1.7799999999999999E-3</v>
      </c>
      <c r="P449" s="19">
        <v>-1.8E-3</v>
      </c>
      <c r="Q449" s="19"/>
      <c r="R449" s="19">
        <f t="shared" si="44"/>
        <v>0</v>
      </c>
      <c r="S449" s="19">
        <f t="shared" si="45"/>
        <v>0</v>
      </c>
      <c r="T449" s="19">
        <f t="shared" si="46"/>
        <v>0</v>
      </c>
      <c r="U449" s="19">
        <f t="shared" si="47"/>
        <v>0</v>
      </c>
      <c r="V449" s="21">
        <f t="shared" si="48"/>
        <v>0</v>
      </c>
    </row>
    <row r="450" spans="1:22" ht="13.5" x14ac:dyDescent="0.35">
      <c r="A450" s="18">
        <v>116621</v>
      </c>
      <c r="B450" s="19" t="s">
        <v>476</v>
      </c>
      <c r="C450" s="19">
        <v>13.8</v>
      </c>
      <c r="D450" s="19">
        <v>101</v>
      </c>
      <c r="E450" s="19">
        <v>1373</v>
      </c>
      <c r="F450" s="19">
        <v>0</v>
      </c>
      <c r="G450" s="19">
        <v>0</v>
      </c>
      <c r="H450" s="19">
        <v>0</v>
      </c>
      <c r="I450" s="20">
        <v>0</v>
      </c>
      <c r="J450" s="19">
        <f t="shared" si="42"/>
        <v>0</v>
      </c>
      <c r="K450" s="19">
        <f t="shared" si="43"/>
        <v>0</v>
      </c>
      <c r="L450" s="19">
        <v>-6.6E-4</v>
      </c>
      <c r="M450" s="19">
        <v>-1.74E-3</v>
      </c>
      <c r="N450" s="19">
        <v>-1.74E-3</v>
      </c>
      <c r="O450" s="19">
        <v>-1.7799999999999999E-3</v>
      </c>
      <c r="P450" s="19">
        <v>-1.8E-3</v>
      </c>
      <c r="Q450" s="19"/>
      <c r="R450" s="19">
        <f t="shared" si="44"/>
        <v>0</v>
      </c>
      <c r="S450" s="19">
        <f t="shared" si="45"/>
        <v>0</v>
      </c>
      <c r="T450" s="19">
        <f t="shared" si="46"/>
        <v>0</v>
      </c>
      <c r="U450" s="19">
        <f t="shared" si="47"/>
        <v>0</v>
      </c>
      <c r="V450" s="21">
        <f t="shared" si="48"/>
        <v>0</v>
      </c>
    </row>
    <row r="451" spans="1:22" ht="13.5" x14ac:dyDescent="0.35">
      <c r="A451" s="18">
        <v>116627</v>
      </c>
      <c r="B451" s="19" t="s">
        <v>477</v>
      </c>
      <c r="C451" s="19">
        <v>0.56999999999999995</v>
      </c>
      <c r="D451" s="19">
        <v>101</v>
      </c>
      <c r="E451" s="19">
        <v>1374</v>
      </c>
      <c r="F451" s="19">
        <v>0</v>
      </c>
      <c r="G451" s="19">
        <v>0</v>
      </c>
      <c r="H451" s="19">
        <v>0</v>
      </c>
      <c r="I451" s="20">
        <v>0</v>
      </c>
      <c r="J451" s="19">
        <f t="shared" si="42"/>
        <v>0</v>
      </c>
      <c r="K451" s="19">
        <f t="shared" si="43"/>
        <v>0</v>
      </c>
      <c r="L451" s="19">
        <v>-6.6E-4</v>
      </c>
      <c r="M451" s="19">
        <v>-1.73E-3</v>
      </c>
      <c r="N451" s="19">
        <v>-1.73E-3</v>
      </c>
      <c r="O451" s="19">
        <v>-1.7600000000000001E-3</v>
      </c>
      <c r="P451" s="19">
        <v>-1.7899999999999999E-3</v>
      </c>
      <c r="Q451" s="19"/>
      <c r="R451" s="19">
        <f t="shared" si="44"/>
        <v>0</v>
      </c>
      <c r="S451" s="19">
        <f t="shared" si="45"/>
        <v>0</v>
      </c>
      <c r="T451" s="19">
        <f t="shared" si="46"/>
        <v>0</v>
      </c>
      <c r="U451" s="19">
        <f t="shared" si="47"/>
        <v>0</v>
      </c>
      <c r="V451" s="21">
        <f t="shared" si="48"/>
        <v>0</v>
      </c>
    </row>
    <row r="452" spans="1:22" ht="13.5" x14ac:dyDescent="0.35">
      <c r="A452" s="18">
        <v>116638</v>
      </c>
      <c r="B452" s="19" t="s">
        <v>478</v>
      </c>
      <c r="C452" s="19">
        <v>13.2</v>
      </c>
      <c r="D452" s="19">
        <v>101</v>
      </c>
      <c r="E452" s="19">
        <v>1374</v>
      </c>
      <c r="F452" s="19">
        <v>0</v>
      </c>
      <c r="G452" s="19">
        <v>0</v>
      </c>
      <c r="H452" s="19">
        <v>0</v>
      </c>
      <c r="I452" s="20">
        <v>0</v>
      </c>
      <c r="J452" s="19">
        <f t="shared" si="42"/>
        <v>0</v>
      </c>
      <c r="K452" s="19">
        <f t="shared" si="43"/>
        <v>0</v>
      </c>
      <c r="L452" s="19">
        <v>-6.6E-4</v>
      </c>
      <c r="M452" s="19">
        <v>-1.83E-3</v>
      </c>
      <c r="N452" s="19">
        <v>-1.83E-3</v>
      </c>
      <c r="O452" s="19">
        <v>-1.8600000000000001E-3</v>
      </c>
      <c r="P452" s="19">
        <v>-1.8799999999999999E-3</v>
      </c>
      <c r="Q452" s="19"/>
      <c r="R452" s="19">
        <f t="shared" si="44"/>
        <v>0</v>
      </c>
      <c r="S452" s="19">
        <f t="shared" si="45"/>
        <v>0</v>
      </c>
      <c r="T452" s="19">
        <f t="shared" si="46"/>
        <v>0</v>
      </c>
      <c r="U452" s="19">
        <f t="shared" si="47"/>
        <v>0</v>
      </c>
      <c r="V452" s="21">
        <f t="shared" si="48"/>
        <v>0</v>
      </c>
    </row>
    <row r="453" spans="1:22" ht="13.5" x14ac:dyDescent="0.35">
      <c r="A453" s="18">
        <v>116651</v>
      </c>
      <c r="B453" s="19" t="s">
        <v>479</v>
      </c>
      <c r="C453" s="19">
        <v>2.2999999999999998</v>
      </c>
      <c r="D453" s="19">
        <v>101</v>
      </c>
      <c r="E453" s="19">
        <v>1334</v>
      </c>
      <c r="F453" s="19">
        <v>0</v>
      </c>
      <c r="G453" s="19">
        <v>0</v>
      </c>
      <c r="H453" s="19">
        <v>0</v>
      </c>
      <c r="I453" s="20">
        <v>0</v>
      </c>
      <c r="J453" s="19">
        <f t="shared" si="42"/>
        <v>0</v>
      </c>
      <c r="K453" s="19">
        <f t="shared" si="43"/>
        <v>0</v>
      </c>
      <c r="L453" s="19">
        <v>-6.6E-4</v>
      </c>
      <c r="M453" s="19">
        <v>-2.0799999999999998E-3</v>
      </c>
      <c r="N453" s="19">
        <v>-2.0799999999999998E-3</v>
      </c>
      <c r="O453" s="19">
        <v>-2.1099999999999999E-3</v>
      </c>
      <c r="P453" s="19">
        <v>-2.14E-3</v>
      </c>
      <c r="Q453" s="19"/>
      <c r="R453" s="19">
        <f t="shared" si="44"/>
        <v>0</v>
      </c>
      <c r="S453" s="19">
        <f t="shared" si="45"/>
        <v>0</v>
      </c>
      <c r="T453" s="19">
        <f t="shared" si="46"/>
        <v>0</v>
      </c>
      <c r="U453" s="19">
        <f t="shared" si="47"/>
        <v>0</v>
      </c>
      <c r="V453" s="21">
        <f t="shared" si="48"/>
        <v>0</v>
      </c>
    </row>
    <row r="454" spans="1:22" ht="13.5" x14ac:dyDescent="0.35">
      <c r="A454" s="18">
        <v>117029</v>
      </c>
      <c r="B454" s="19" t="s">
        <v>480</v>
      </c>
      <c r="C454" s="19">
        <v>13.8</v>
      </c>
      <c r="D454" s="19">
        <v>101</v>
      </c>
      <c r="E454" s="19">
        <v>1400</v>
      </c>
      <c r="F454" s="19">
        <v>77.459999999999994</v>
      </c>
      <c r="G454" s="19">
        <v>0</v>
      </c>
      <c r="H454" s="19">
        <v>77.459999999999994</v>
      </c>
      <c r="I454" s="20">
        <v>77.459999999999994</v>
      </c>
      <c r="J454" s="19">
        <f t="shared" si="42"/>
        <v>0</v>
      </c>
      <c r="K454" s="19">
        <f t="shared" si="43"/>
        <v>0</v>
      </c>
      <c r="L454" s="19">
        <v>-6.6E-4</v>
      </c>
      <c r="M454" s="19">
        <v>-5.1200000000000004E-3</v>
      </c>
      <c r="N454" s="19">
        <v>-5.1200000000000004E-3</v>
      </c>
      <c r="O454" s="19">
        <v>-5.1500000000000001E-3</v>
      </c>
      <c r="P454" s="19">
        <v>-5.1799999999999997E-3</v>
      </c>
      <c r="Q454" s="19"/>
      <c r="R454" s="19">
        <f t="shared" si="44"/>
        <v>0</v>
      </c>
      <c r="S454" s="19">
        <f t="shared" si="45"/>
        <v>0</v>
      </c>
      <c r="T454" s="19">
        <f t="shared" si="46"/>
        <v>0</v>
      </c>
      <c r="U454" s="19">
        <f t="shared" si="47"/>
        <v>0</v>
      </c>
      <c r="V454" s="21">
        <f t="shared" si="48"/>
        <v>0</v>
      </c>
    </row>
    <row r="455" spans="1:22" ht="13.5" x14ac:dyDescent="0.35">
      <c r="A455" s="18">
        <v>117030</v>
      </c>
      <c r="B455" s="19" t="s">
        <v>481</v>
      </c>
      <c r="C455" s="19">
        <v>13.8</v>
      </c>
      <c r="D455" s="19">
        <v>101</v>
      </c>
      <c r="E455" s="19">
        <v>1400</v>
      </c>
      <c r="F455" s="19">
        <v>77.459999999999994</v>
      </c>
      <c r="G455" s="19">
        <v>0</v>
      </c>
      <c r="H455" s="19">
        <v>77.459999999999994</v>
      </c>
      <c r="I455" s="20">
        <v>77.459999999999994</v>
      </c>
      <c r="J455" s="19">
        <f t="shared" si="42"/>
        <v>0</v>
      </c>
      <c r="K455" s="19">
        <f t="shared" si="43"/>
        <v>0</v>
      </c>
      <c r="L455" s="19">
        <v>-6.6E-4</v>
      </c>
      <c r="M455" s="19">
        <v>-5.1200000000000004E-3</v>
      </c>
      <c r="N455" s="19">
        <v>-5.1200000000000004E-3</v>
      </c>
      <c r="O455" s="19">
        <v>-5.1500000000000001E-3</v>
      </c>
      <c r="P455" s="19">
        <v>-5.1799999999999997E-3</v>
      </c>
      <c r="Q455" s="19"/>
      <c r="R455" s="19">
        <f t="shared" si="44"/>
        <v>0</v>
      </c>
      <c r="S455" s="19">
        <f t="shared" si="45"/>
        <v>0</v>
      </c>
      <c r="T455" s="19">
        <f t="shared" si="46"/>
        <v>0</v>
      </c>
      <c r="U455" s="19">
        <f t="shared" si="47"/>
        <v>0</v>
      </c>
      <c r="V455" s="21">
        <f t="shared" si="48"/>
        <v>0</v>
      </c>
    </row>
    <row r="456" spans="1:22" ht="13.5" x14ac:dyDescent="0.35">
      <c r="A456" s="18">
        <v>117031</v>
      </c>
      <c r="B456" s="19" t="s">
        <v>482</v>
      </c>
      <c r="C456" s="19">
        <v>13.8</v>
      </c>
      <c r="D456" s="19">
        <v>101</v>
      </c>
      <c r="E456" s="19">
        <v>1400</v>
      </c>
      <c r="F456" s="19">
        <v>117.42</v>
      </c>
      <c r="G456" s="19">
        <v>0</v>
      </c>
      <c r="H456" s="19">
        <v>117.42</v>
      </c>
      <c r="I456" s="20">
        <f>117.42</f>
        <v>117.42</v>
      </c>
      <c r="J456" s="19">
        <f t="shared" si="42"/>
        <v>0</v>
      </c>
      <c r="K456" s="19">
        <f t="shared" si="43"/>
        <v>0</v>
      </c>
      <c r="L456" s="19">
        <v>-6.6E-4</v>
      </c>
      <c r="M456" s="19">
        <v>-5.1200000000000004E-3</v>
      </c>
      <c r="N456" s="19">
        <v>-5.1200000000000004E-3</v>
      </c>
      <c r="O456" s="19">
        <v>-5.1500000000000001E-3</v>
      </c>
      <c r="P456" s="19">
        <v>-5.1799999999999997E-3</v>
      </c>
      <c r="Q456" s="19"/>
      <c r="R456" s="19">
        <f t="shared" si="44"/>
        <v>0</v>
      </c>
      <c r="S456" s="19">
        <f t="shared" si="45"/>
        <v>0</v>
      </c>
      <c r="T456" s="19">
        <f t="shared" si="46"/>
        <v>0</v>
      </c>
      <c r="U456" s="19">
        <f t="shared" si="47"/>
        <v>0</v>
      </c>
      <c r="V456" s="21">
        <f t="shared" si="48"/>
        <v>0</v>
      </c>
    </row>
    <row r="457" spans="1:22" ht="13.5" x14ac:dyDescent="0.35">
      <c r="A457" s="18">
        <v>117032</v>
      </c>
      <c r="B457" s="19" t="s">
        <v>483</v>
      </c>
      <c r="C457" s="19">
        <v>13.8</v>
      </c>
      <c r="D457" s="19">
        <v>101</v>
      </c>
      <c r="E457" s="19">
        <v>1400</v>
      </c>
      <c r="F457" s="19">
        <v>78.17</v>
      </c>
      <c r="G457" s="19">
        <v>0</v>
      </c>
      <c r="H457" s="19">
        <v>78.17</v>
      </c>
      <c r="I457" s="20">
        <v>78.17</v>
      </c>
      <c r="J457" s="19">
        <f t="shared" si="42"/>
        <v>0</v>
      </c>
      <c r="K457" s="19">
        <f t="shared" si="43"/>
        <v>0</v>
      </c>
      <c r="L457" s="19">
        <v>-6.6E-4</v>
      </c>
      <c r="M457" s="19">
        <v>-5.1200000000000004E-3</v>
      </c>
      <c r="N457" s="19">
        <v>-5.1200000000000004E-3</v>
      </c>
      <c r="O457" s="19">
        <v>-5.1500000000000001E-3</v>
      </c>
      <c r="P457" s="19">
        <v>-5.1799999999999997E-3</v>
      </c>
      <c r="Q457" s="19"/>
      <c r="R457" s="19">
        <f t="shared" si="44"/>
        <v>0</v>
      </c>
      <c r="S457" s="19">
        <f t="shared" si="45"/>
        <v>0</v>
      </c>
      <c r="T457" s="19">
        <f t="shared" si="46"/>
        <v>0</v>
      </c>
      <c r="U457" s="19">
        <f t="shared" si="47"/>
        <v>0</v>
      </c>
      <c r="V457" s="21">
        <f t="shared" si="48"/>
        <v>0</v>
      </c>
    </row>
    <row r="458" spans="1:22" ht="13.5" x14ac:dyDescent="0.35">
      <c r="A458" s="18">
        <v>117033</v>
      </c>
      <c r="B458" s="19" t="s">
        <v>484</v>
      </c>
      <c r="C458" s="19">
        <v>13.8</v>
      </c>
      <c r="D458" s="19">
        <v>101</v>
      </c>
      <c r="E458" s="19">
        <v>1400</v>
      </c>
      <c r="F458" s="19">
        <v>78.17</v>
      </c>
      <c r="G458" s="19">
        <v>0</v>
      </c>
      <c r="H458" s="19">
        <v>78.17</v>
      </c>
      <c r="I458" s="20">
        <v>78.17</v>
      </c>
      <c r="J458" s="19">
        <f t="shared" si="42"/>
        <v>0</v>
      </c>
      <c r="K458" s="19">
        <f t="shared" si="43"/>
        <v>0</v>
      </c>
      <c r="L458" s="19">
        <v>-6.6E-4</v>
      </c>
      <c r="M458" s="19">
        <v>-5.1200000000000004E-3</v>
      </c>
      <c r="N458" s="19">
        <v>-5.1200000000000004E-3</v>
      </c>
      <c r="O458" s="19">
        <v>-5.1500000000000001E-3</v>
      </c>
      <c r="P458" s="19">
        <v>-5.1799999999999997E-3</v>
      </c>
      <c r="Q458" s="19"/>
      <c r="R458" s="19">
        <f t="shared" si="44"/>
        <v>0</v>
      </c>
      <c r="S458" s="19">
        <f t="shared" si="45"/>
        <v>0</v>
      </c>
      <c r="T458" s="19">
        <f t="shared" si="46"/>
        <v>0</v>
      </c>
      <c r="U458" s="19">
        <f t="shared" si="47"/>
        <v>0</v>
      </c>
      <c r="V458" s="21">
        <f t="shared" si="48"/>
        <v>0</v>
      </c>
    </row>
    <row r="459" spans="1:22" ht="13.5" x14ac:dyDescent="0.35">
      <c r="A459" s="18">
        <v>117034</v>
      </c>
      <c r="B459" s="19" t="s">
        <v>485</v>
      </c>
      <c r="C459" s="19">
        <v>13.8</v>
      </c>
      <c r="D459" s="19">
        <v>101</v>
      </c>
      <c r="E459" s="19">
        <v>1400</v>
      </c>
      <c r="F459" s="19">
        <v>118.49</v>
      </c>
      <c r="G459" s="19">
        <v>0</v>
      </c>
      <c r="H459" s="19">
        <v>118.49</v>
      </c>
      <c r="I459" s="20">
        <v>118.49</v>
      </c>
      <c r="J459" s="19">
        <f t="shared" si="42"/>
        <v>0</v>
      </c>
      <c r="K459" s="19">
        <f t="shared" si="43"/>
        <v>0</v>
      </c>
      <c r="L459" s="19">
        <v>-6.6E-4</v>
      </c>
      <c r="M459" s="19">
        <v>-5.1200000000000004E-3</v>
      </c>
      <c r="N459" s="19">
        <v>-5.1200000000000004E-3</v>
      </c>
      <c r="O459" s="19">
        <v>-5.1500000000000001E-3</v>
      </c>
      <c r="P459" s="19">
        <v>-5.1799999999999997E-3</v>
      </c>
      <c r="Q459" s="19"/>
      <c r="R459" s="19">
        <f t="shared" si="44"/>
        <v>0</v>
      </c>
      <c r="S459" s="19">
        <f t="shared" si="45"/>
        <v>0</v>
      </c>
      <c r="T459" s="19">
        <f t="shared" si="46"/>
        <v>0</v>
      </c>
      <c r="U459" s="19">
        <f t="shared" si="47"/>
        <v>0</v>
      </c>
      <c r="V459" s="21">
        <f t="shared" si="48"/>
        <v>0</v>
      </c>
    </row>
    <row r="460" spans="1:22" ht="13.5" x14ac:dyDescent="0.35">
      <c r="A460" s="18">
        <v>117426</v>
      </c>
      <c r="B460" s="19" t="s">
        <v>486</v>
      </c>
      <c r="C460" s="19">
        <v>13.8</v>
      </c>
      <c r="D460" s="19">
        <v>101</v>
      </c>
      <c r="E460" s="19">
        <v>1410</v>
      </c>
      <c r="F460" s="19">
        <v>106.94</v>
      </c>
      <c r="G460" s="19">
        <v>0</v>
      </c>
      <c r="H460" s="19">
        <v>106.94</v>
      </c>
      <c r="I460" s="20">
        <v>106.94</v>
      </c>
      <c r="J460" s="19">
        <f t="shared" si="42"/>
        <v>0</v>
      </c>
      <c r="K460" s="19">
        <f t="shared" si="43"/>
        <v>0</v>
      </c>
      <c r="L460" s="19">
        <v>-6.6E-4</v>
      </c>
      <c r="M460" s="19">
        <v>-3.1029999999999999E-2</v>
      </c>
      <c r="N460" s="19">
        <v>-3.1029999999999999E-2</v>
      </c>
      <c r="O460" s="19">
        <v>-3.1060000000000001E-2</v>
      </c>
      <c r="P460" s="19">
        <v>-3.108E-2</v>
      </c>
      <c r="Q460" s="19"/>
      <c r="R460" s="19">
        <f t="shared" si="44"/>
        <v>0</v>
      </c>
      <c r="S460" s="19">
        <f t="shared" si="45"/>
        <v>0</v>
      </c>
      <c r="T460" s="19">
        <f t="shared" si="46"/>
        <v>0</v>
      </c>
      <c r="U460" s="19">
        <f t="shared" si="47"/>
        <v>0</v>
      </c>
      <c r="V460" s="21">
        <f t="shared" si="48"/>
        <v>0</v>
      </c>
    </row>
    <row r="461" spans="1:22" ht="13.5" x14ac:dyDescent="0.35">
      <c r="A461" s="18">
        <v>117427</v>
      </c>
      <c r="B461" s="19" t="s">
        <v>487</v>
      </c>
      <c r="C461" s="19">
        <v>13.8</v>
      </c>
      <c r="D461" s="19">
        <v>101</v>
      </c>
      <c r="E461" s="19">
        <v>1410</v>
      </c>
      <c r="F461" s="19">
        <v>109.03</v>
      </c>
      <c r="G461" s="19">
        <v>0</v>
      </c>
      <c r="H461" s="19">
        <v>109.03</v>
      </c>
      <c r="I461" s="20">
        <v>109.03</v>
      </c>
      <c r="J461" s="19">
        <f t="shared" si="42"/>
        <v>0</v>
      </c>
      <c r="K461" s="19">
        <f t="shared" si="43"/>
        <v>0</v>
      </c>
      <c r="L461" s="19">
        <v>-6.6E-4</v>
      </c>
      <c r="M461" s="19">
        <v>-3.1029999999999999E-2</v>
      </c>
      <c r="N461" s="19">
        <v>-3.1029999999999999E-2</v>
      </c>
      <c r="O461" s="19">
        <v>-3.1060000000000001E-2</v>
      </c>
      <c r="P461" s="19">
        <v>-3.108E-2</v>
      </c>
      <c r="Q461" s="19"/>
      <c r="R461" s="19">
        <f t="shared" si="44"/>
        <v>0</v>
      </c>
      <c r="S461" s="19">
        <f t="shared" si="45"/>
        <v>0</v>
      </c>
      <c r="T461" s="19">
        <f t="shared" si="46"/>
        <v>0</v>
      </c>
      <c r="U461" s="19">
        <f t="shared" si="47"/>
        <v>0</v>
      </c>
      <c r="V461" s="21">
        <f t="shared" si="48"/>
        <v>0</v>
      </c>
    </row>
    <row r="462" spans="1:22" ht="13.5" x14ac:dyDescent="0.35">
      <c r="A462" s="18">
        <v>117428</v>
      </c>
      <c r="B462" s="19" t="s">
        <v>488</v>
      </c>
      <c r="C462" s="19">
        <v>13.8</v>
      </c>
      <c r="D462" s="19">
        <v>101</v>
      </c>
      <c r="E462" s="19">
        <v>1410</v>
      </c>
      <c r="F462" s="19">
        <v>107.53</v>
      </c>
      <c r="G462" s="19">
        <v>0</v>
      </c>
      <c r="H462" s="19">
        <v>107.53</v>
      </c>
      <c r="I462" s="20">
        <v>107.53</v>
      </c>
      <c r="J462" s="19">
        <f t="shared" ref="J462:J525" si="49">I462-F462</f>
        <v>0</v>
      </c>
      <c r="K462" s="19">
        <f t="shared" ref="K462:K525" si="50">H462-I462</f>
        <v>0</v>
      </c>
      <c r="L462" s="19">
        <v>-6.6E-4</v>
      </c>
      <c r="M462" s="19">
        <v>-3.1029999999999999E-2</v>
      </c>
      <c r="N462" s="19">
        <v>-3.1029999999999999E-2</v>
      </c>
      <c r="O462" s="19">
        <v>-3.1060000000000001E-2</v>
      </c>
      <c r="P462" s="19">
        <v>-3.108E-2</v>
      </c>
      <c r="Q462" s="19"/>
      <c r="R462" s="19">
        <f t="shared" ref="R462:R525" si="51">L462*J462</f>
        <v>0</v>
      </c>
      <c r="S462" s="19">
        <f t="shared" ref="S462:S525" si="52">M462*J462</f>
        <v>0</v>
      </c>
      <c r="T462" s="19">
        <f t="shared" ref="T462:T525" si="53">N462*J462</f>
        <v>0</v>
      </c>
      <c r="U462" s="19">
        <f t="shared" ref="U462:U525" si="54">O462*J462</f>
        <v>0</v>
      </c>
      <c r="V462" s="21">
        <f t="shared" ref="V462:V525" si="55">P462*J462</f>
        <v>0</v>
      </c>
    </row>
    <row r="463" spans="1:22" ht="13.5" x14ac:dyDescent="0.35">
      <c r="A463" s="18">
        <v>117431</v>
      </c>
      <c r="B463" s="19" t="s">
        <v>489</v>
      </c>
      <c r="C463" s="19">
        <v>11.5</v>
      </c>
      <c r="D463" s="19">
        <v>101</v>
      </c>
      <c r="E463" s="19">
        <v>1410</v>
      </c>
      <c r="F463" s="19">
        <v>47.06</v>
      </c>
      <c r="G463" s="19">
        <v>0</v>
      </c>
      <c r="H463" s="19">
        <v>47.06</v>
      </c>
      <c r="I463" s="20">
        <v>47.06</v>
      </c>
      <c r="J463" s="19">
        <f t="shared" si="49"/>
        <v>0</v>
      </c>
      <c r="K463" s="19">
        <f t="shared" si="50"/>
        <v>0</v>
      </c>
      <c r="L463" s="19">
        <v>-6.6E-4</v>
      </c>
      <c r="M463" s="19">
        <v>-3.1029999999999999E-2</v>
      </c>
      <c r="N463" s="19">
        <v>-3.1029999999999999E-2</v>
      </c>
      <c r="O463" s="19">
        <v>-3.1060000000000001E-2</v>
      </c>
      <c r="P463" s="19">
        <v>-3.108E-2</v>
      </c>
      <c r="Q463" s="19"/>
      <c r="R463" s="19">
        <f t="shared" si="51"/>
        <v>0</v>
      </c>
      <c r="S463" s="19">
        <f t="shared" si="52"/>
        <v>0</v>
      </c>
      <c r="T463" s="19">
        <f t="shared" si="53"/>
        <v>0</v>
      </c>
      <c r="U463" s="19">
        <f t="shared" si="54"/>
        <v>0</v>
      </c>
      <c r="V463" s="21">
        <f t="shared" si="55"/>
        <v>0</v>
      </c>
    </row>
    <row r="464" spans="1:22" ht="13.5" x14ac:dyDescent="0.35">
      <c r="A464" s="18">
        <v>117432</v>
      </c>
      <c r="B464" s="19" t="s">
        <v>490</v>
      </c>
      <c r="C464" s="19">
        <v>11.5</v>
      </c>
      <c r="D464" s="19">
        <v>101</v>
      </c>
      <c r="E464" s="19">
        <v>1410</v>
      </c>
      <c r="F464" s="19">
        <v>47.97</v>
      </c>
      <c r="G464" s="19">
        <v>0</v>
      </c>
      <c r="H464" s="19">
        <v>47.97</v>
      </c>
      <c r="I464" s="20">
        <v>47.97</v>
      </c>
      <c r="J464" s="19">
        <f t="shared" si="49"/>
        <v>0</v>
      </c>
      <c r="K464" s="19">
        <f t="shared" si="50"/>
        <v>0</v>
      </c>
      <c r="L464" s="19">
        <v>-6.6E-4</v>
      </c>
      <c r="M464" s="19">
        <v>-3.1029999999999999E-2</v>
      </c>
      <c r="N464" s="19">
        <v>-3.1029999999999999E-2</v>
      </c>
      <c r="O464" s="19">
        <v>-3.1060000000000001E-2</v>
      </c>
      <c r="P464" s="19">
        <v>-3.108E-2</v>
      </c>
      <c r="Q464" s="19"/>
      <c r="R464" s="19">
        <f t="shared" si="51"/>
        <v>0</v>
      </c>
      <c r="S464" s="19">
        <f t="shared" si="52"/>
        <v>0</v>
      </c>
      <c r="T464" s="19">
        <f t="shared" si="53"/>
        <v>0</v>
      </c>
      <c r="U464" s="19">
        <f t="shared" si="54"/>
        <v>0</v>
      </c>
      <c r="V464" s="21">
        <f t="shared" si="55"/>
        <v>0</v>
      </c>
    </row>
    <row r="465" spans="1:22" ht="13.5" x14ac:dyDescent="0.35">
      <c r="A465" s="18">
        <v>117433</v>
      </c>
      <c r="B465" s="19" t="s">
        <v>491</v>
      </c>
      <c r="C465" s="19">
        <v>11.5</v>
      </c>
      <c r="D465" s="19">
        <v>101</v>
      </c>
      <c r="E465" s="19">
        <v>1410</v>
      </c>
      <c r="F465" s="19">
        <v>49.47</v>
      </c>
      <c r="G465" s="19">
        <v>0</v>
      </c>
      <c r="H465" s="19">
        <v>49.47</v>
      </c>
      <c r="I465" s="20">
        <v>49.47</v>
      </c>
      <c r="J465" s="19">
        <f t="shared" si="49"/>
        <v>0</v>
      </c>
      <c r="K465" s="19">
        <f t="shared" si="50"/>
        <v>0</v>
      </c>
      <c r="L465" s="19">
        <v>-6.6E-4</v>
      </c>
      <c r="M465" s="19">
        <v>-3.1029999999999999E-2</v>
      </c>
      <c r="N465" s="19">
        <v>-3.1029999999999999E-2</v>
      </c>
      <c r="O465" s="19">
        <v>-3.1060000000000001E-2</v>
      </c>
      <c r="P465" s="19">
        <v>-3.108E-2</v>
      </c>
      <c r="Q465" s="19"/>
      <c r="R465" s="19">
        <f t="shared" si="51"/>
        <v>0</v>
      </c>
      <c r="S465" s="19">
        <f t="shared" si="52"/>
        <v>0</v>
      </c>
      <c r="T465" s="19">
        <f t="shared" si="53"/>
        <v>0</v>
      </c>
      <c r="U465" s="19">
        <f t="shared" si="54"/>
        <v>0</v>
      </c>
      <c r="V465" s="21">
        <f t="shared" si="55"/>
        <v>0</v>
      </c>
    </row>
    <row r="466" spans="1:22" ht="13.5" x14ac:dyDescent="0.35">
      <c r="A466" s="18">
        <v>117434</v>
      </c>
      <c r="B466" s="19" t="s">
        <v>492</v>
      </c>
      <c r="C466" s="19">
        <v>18</v>
      </c>
      <c r="D466" s="19">
        <v>101</v>
      </c>
      <c r="E466" s="19">
        <v>1410</v>
      </c>
      <c r="F466" s="19">
        <v>173.41</v>
      </c>
      <c r="G466" s="19">
        <v>0</v>
      </c>
      <c r="H466" s="19">
        <v>173.41</v>
      </c>
      <c r="I466" s="20">
        <v>173.41</v>
      </c>
      <c r="J466" s="19">
        <f t="shared" si="49"/>
        <v>0</v>
      </c>
      <c r="K466" s="19">
        <f t="shared" si="50"/>
        <v>0</v>
      </c>
      <c r="L466" s="19">
        <v>-6.6E-4</v>
      </c>
      <c r="M466" s="19">
        <v>-8.6129999999999998E-2</v>
      </c>
      <c r="N466" s="19">
        <v>-8.6129999999999998E-2</v>
      </c>
      <c r="O466" s="19">
        <v>-8.616E-2</v>
      </c>
      <c r="P466" s="19">
        <v>-8.6190000000000003E-2</v>
      </c>
      <c r="Q466" s="19"/>
      <c r="R466" s="19">
        <f t="shared" si="51"/>
        <v>0</v>
      </c>
      <c r="S466" s="19">
        <f t="shared" si="52"/>
        <v>0</v>
      </c>
      <c r="T466" s="19">
        <f t="shared" si="53"/>
        <v>0</v>
      </c>
      <c r="U466" s="19">
        <f t="shared" si="54"/>
        <v>0</v>
      </c>
      <c r="V466" s="21">
        <f t="shared" si="55"/>
        <v>0</v>
      </c>
    </row>
    <row r="467" spans="1:22" ht="13.5" x14ac:dyDescent="0.35">
      <c r="A467" s="18">
        <v>117435</v>
      </c>
      <c r="B467" s="19" t="s">
        <v>493</v>
      </c>
      <c r="C467" s="19">
        <v>13.8</v>
      </c>
      <c r="D467" s="19">
        <v>101</v>
      </c>
      <c r="E467" s="19">
        <v>1410</v>
      </c>
      <c r="F467" s="19">
        <v>91.97</v>
      </c>
      <c r="G467" s="19">
        <v>0</v>
      </c>
      <c r="H467" s="19">
        <v>91.97</v>
      </c>
      <c r="I467" s="20">
        <v>91.97</v>
      </c>
      <c r="J467" s="19">
        <f t="shared" si="49"/>
        <v>0</v>
      </c>
      <c r="K467" s="19">
        <f t="shared" si="50"/>
        <v>0</v>
      </c>
      <c r="L467" s="19">
        <v>-6.6E-4</v>
      </c>
      <c r="M467" s="19">
        <v>-8.6129999999999998E-2</v>
      </c>
      <c r="N467" s="19">
        <v>-8.6129999999999998E-2</v>
      </c>
      <c r="O467" s="19">
        <v>-8.616E-2</v>
      </c>
      <c r="P467" s="19">
        <v>-8.6190000000000003E-2</v>
      </c>
      <c r="Q467" s="19"/>
      <c r="R467" s="19">
        <f t="shared" si="51"/>
        <v>0</v>
      </c>
      <c r="S467" s="19">
        <f t="shared" si="52"/>
        <v>0</v>
      </c>
      <c r="T467" s="19">
        <f t="shared" si="53"/>
        <v>0</v>
      </c>
      <c r="U467" s="19">
        <f t="shared" si="54"/>
        <v>0</v>
      </c>
      <c r="V467" s="21">
        <f t="shared" si="55"/>
        <v>0</v>
      </c>
    </row>
    <row r="468" spans="1:22" ht="13.5" x14ac:dyDescent="0.35">
      <c r="A468" s="18">
        <v>117436</v>
      </c>
      <c r="B468" s="19" t="s">
        <v>494</v>
      </c>
      <c r="C468" s="19">
        <v>18</v>
      </c>
      <c r="D468" s="19">
        <v>101</v>
      </c>
      <c r="E468" s="19">
        <v>1410</v>
      </c>
      <c r="F468" s="19">
        <v>183.1</v>
      </c>
      <c r="G468" s="19">
        <v>0</v>
      </c>
      <c r="H468" s="19">
        <v>183.1</v>
      </c>
      <c r="I468" s="20">
        <v>183.1</v>
      </c>
      <c r="J468" s="19">
        <f t="shared" si="49"/>
        <v>0</v>
      </c>
      <c r="K468" s="19">
        <f t="shared" si="50"/>
        <v>0</v>
      </c>
      <c r="L468" s="19">
        <v>-6.6E-4</v>
      </c>
      <c r="M468" s="19">
        <v>-2.5610000000000001E-2</v>
      </c>
      <c r="N468" s="19">
        <v>-2.5610000000000001E-2</v>
      </c>
      <c r="O468" s="19">
        <v>-2.564E-2</v>
      </c>
      <c r="P468" s="19">
        <v>-2.5659999999999999E-2</v>
      </c>
      <c r="Q468" s="19"/>
      <c r="R468" s="19">
        <f t="shared" si="51"/>
        <v>0</v>
      </c>
      <c r="S468" s="19">
        <f t="shared" si="52"/>
        <v>0</v>
      </c>
      <c r="T468" s="19">
        <f t="shared" si="53"/>
        <v>0</v>
      </c>
      <c r="U468" s="19">
        <f t="shared" si="54"/>
        <v>0</v>
      </c>
      <c r="V468" s="21">
        <f t="shared" si="55"/>
        <v>0</v>
      </c>
    </row>
    <row r="469" spans="1:22" ht="13.5" x14ac:dyDescent="0.35">
      <c r="A469" s="18">
        <v>117437</v>
      </c>
      <c r="B469" s="19" t="s">
        <v>495</v>
      </c>
      <c r="C469" s="19">
        <v>18</v>
      </c>
      <c r="D469" s="19">
        <v>101</v>
      </c>
      <c r="E469" s="19">
        <v>1410</v>
      </c>
      <c r="F469" s="19">
        <v>185.48</v>
      </c>
      <c r="G469" s="19">
        <v>0</v>
      </c>
      <c r="H469" s="19">
        <v>185.48</v>
      </c>
      <c r="I469" s="20">
        <f>185.48</f>
        <v>185.48</v>
      </c>
      <c r="J469" s="19">
        <f t="shared" si="49"/>
        <v>0</v>
      </c>
      <c r="K469" s="19">
        <f t="shared" si="50"/>
        <v>0</v>
      </c>
      <c r="L469" s="19">
        <v>-6.6E-4</v>
      </c>
      <c r="M469" s="19">
        <v>-2.5610000000000001E-2</v>
      </c>
      <c r="N469" s="19">
        <v>-2.5610000000000001E-2</v>
      </c>
      <c r="O469" s="19">
        <v>-2.564E-2</v>
      </c>
      <c r="P469" s="19">
        <v>-2.5659999999999999E-2</v>
      </c>
      <c r="Q469" s="19"/>
      <c r="R469" s="19">
        <f t="shared" si="51"/>
        <v>0</v>
      </c>
      <c r="S469" s="19">
        <f t="shared" si="52"/>
        <v>0</v>
      </c>
      <c r="T469" s="19">
        <f t="shared" si="53"/>
        <v>0</v>
      </c>
      <c r="U469" s="19">
        <f t="shared" si="54"/>
        <v>0</v>
      </c>
      <c r="V469" s="21">
        <f t="shared" si="55"/>
        <v>0</v>
      </c>
    </row>
    <row r="470" spans="1:22" ht="13.5" x14ac:dyDescent="0.35">
      <c r="A470" s="18">
        <v>117438</v>
      </c>
      <c r="B470" s="19" t="s">
        <v>496</v>
      </c>
      <c r="C470" s="19">
        <v>18</v>
      </c>
      <c r="D470" s="19">
        <v>101</v>
      </c>
      <c r="E470" s="19">
        <v>1410</v>
      </c>
      <c r="F470" s="19">
        <v>183.1</v>
      </c>
      <c r="G470" s="19">
        <v>0</v>
      </c>
      <c r="H470" s="19">
        <v>183.1</v>
      </c>
      <c r="I470" s="20">
        <v>183.1</v>
      </c>
      <c r="J470" s="19">
        <f t="shared" si="49"/>
        <v>0</v>
      </c>
      <c r="K470" s="19">
        <f t="shared" si="50"/>
        <v>0</v>
      </c>
      <c r="L470" s="19">
        <v>-6.6E-4</v>
      </c>
      <c r="M470" s="19">
        <v>-2.5610000000000001E-2</v>
      </c>
      <c r="N470" s="19">
        <v>-2.5610000000000001E-2</v>
      </c>
      <c r="O470" s="19">
        <v>-2.564E-2</v>
      </c>
      <c r="P470" s="19">
        <v>-2.5659999999999999E-2</v>
      </c>
      <c r="Q470" s="19"/>
      <c r="R470" s="19">
        <f t="shared" si="51"/>
        <v>0</v>
      </c>
      <c r="S470" s="19">
        <f t="shared" si="52"/>
        <v>0</v>
      </c>
      <c r="T470" s="19">
        <f t="shared" si="53"/>
        <v>0</v>
      </c>
      <c r="U470" s="19">
        <f t="shared" si="54"/>
        <v>0</v>
      </c>
      <c r="V470" s="21">
        <f t="shared" si="55"/>
        <v>0</v>
      </c>
    </row>
    <row r="471" spans="1:22" ht="13.5" x14ac:dyDescent="0.35">
      <c r="A471" s="18">
        <v>117446</v>
      </c>
      <c r="B471" s="19" t="s">
        <v>497</v>
      </c>
      <c r="C471" s="19">
        <v>4.2</v>
      </c>
      <c r="D471" s="19">
        <v>101</v>
      </c>
      <c r="E471" s="19">
        <v>1410</v>
      </c>
      <c r="F471" s="19">
        <v>0</v>
      </c>
      <c r="G471" s="19">
        <v>0</v>
      </c>
      <c r="H471" s="19">
        <v>0</v>
      </c>
      <c r="I471" s="20">
        <v>0</v>
      </c>
      <c r="J471" s="19">
        <f t="shared" si="49"/>
        <v>0</v>
      </c>
      <c r="K471" s="19">
        <f t="shared" si="50"/>
        <v>0</v>
      </c>
      <c r="L471" s="19">
        <v>-6.6E-4</v>
      </c>
      <c r="M471" s="19">
        <v>-2.5260000000000001E-2</v>
      </c>
      <c r="N471" s="19">
        <v>-2.5260000000000001E-2</v>
      </c>
      <c r="O471" s="19">
        <v>-2.53E-2</v>
      </c>
      <c r="P471" s="19">
        <v>-2.5319999999999999E-2</v>
      </c>
      <c r="Q471" s="19"/>
      <c r="R471" s="19">
        <f t="shared" si="51"/>
        <v>0</v>
      </c>
      <c r="S471" s="19">
        <f t="shared" si="52"/>
        <v>0</v>
      </c>
      <c r="T471" s="19">
        <f t="shared" si="53"/>
        <v>0</v>
      </c>
      <c r="U471" s="19">
        <f t="shared" si="54"/>
        <v>0</v>
      </c>
      <c r="V471" s="21">
        <f t="shared" si="55"/>
        <v>0</v>
      </c>
    </row>
    <row r="472" spans="1:22" ht="13.5" x14ac:dyDescent="0.35">
      <c r="A472" s="18">
        <v>117455</v>
      </c>
      <c r="B472" s="19" t="s">
        <v>498</v>
      </c>
      <c r="C472" s="19">
        <v>13.8</v>
      </c>
      <c r="D472" s="19">
        <v>101</v>
      </c>
      <c r="E472" s="19">
        <v>1410</v>
      </c>
      <c r="F472" s="19">
        <v>0</v>
      </c>
      <c r="G472" s="19">
        <v>0</v>
      </c>
      <c r="H472" s="19">
        <v>0</v>
      </c>
      <c r="I472" s="20">
        <v>0</v>
      </c>
      <c r="J472" s="19">
        <f t="shared" si="49"/>
        <v>0</v>
      </c>
      <c r="K472" s="19">
        <f t="shared" si="50"/>
        <v>0</v>
      </c>
      <c r="L472" s="19">
        <v>-6.6E-4</v>
      </c>
      <c r="M472" s="19">
        <v>-2.4840000000000001E-2</v>
      </c>
      <c r="N472" s="19">
        <v>-2.4840000000000001E-2</v>
      </c>
      <c r="O472" s="19">
        <v>-2.487E-2</v>
      </c>
      <c r="P472" s="19">
        <v>-2.4899999999999999E-2</v>
      </c>
      <c r="Q472" s="19"/>
      <c r="R472" s="19">
        <f t="shared" si="51"/>
        <v>0</v>
      </c>
      <c r="S472" s="19">
        <f t="shared" si="52"/>
        <v>0</v>
      </c>
      <c r="T472" s="19">
        <f t="shared" si="53"/>
        <v>0</v>
      </c>
      <c r="U472" s="19">
        <f t="shared" si="54"/>
        <v>0</v>
      </c>
      <c r="V472" s="21">
        <f t="shared" si="55"/>
        <v>0</v>
      </c>
    </row>
    <row r="473" spans="1:22" ht="13.5" x14ac:dyDescent="0.35">
      <c r="A473" s="18">
        <v>117485</v>
      </c>
      <c r="B473" s="19" t="s">
        <v>499</v>
      </c>
      <c r="C473" s="19">
        <v>0.6</v>
      </c>
      <c r="D473" s="19">
        <v>101</v>
      </c>
      <c r="E473" s="19">
        <v>1410</v>
      </c>
      <c r="F473" s="19">
        <v>0</v>
      </c>
      <c r="G473" s="19">
        <v>0</v>
      </c>
      <c r="H473" s="19">
        <v>0</v>
      </c>
      <c r="I473" s="20">
        <v>0</v>
      </c>
      <c r="J473" s="19">
        <f t="shared" si="49"/>
        <v>0</v>
      </c>
      <c r="K473" s="19">
        <f t="shared" si="50"/>
        <v>0</v>
      </c>
      <c r="L473" s="19">
        <v>-6.6E-4</v>
      </c>
      <c r="M473" s="19">
        <v>-1.6250000000000001E-2</v>
      </c>
      <c r="N473" s="19">
        <v>-1.6250000000000001E-2</v>
      </c>
      <c r="O473" s="19">
        <v>-1.6279999999999999E-2</v>
      </c>
      <c r="P473" s="19">
        <v>-1.6310000000000002E-2</v>
      </c>
      <c r="Q473" s="19"/>
      <c r="R473" s="19">
        <f t="shared" si="51"/>
        <v>0</v>
      </c>
      <c r="S473" s="19">
        <f t="shared" si="52"/>
        <v>0</v>
      </c>
      <c r="T473" s="19">
        <f t="shared" si="53"/>
        <v>0</v>
      </c>
      <c r="U473" s="19">
        <f t="shared" si="54"/>
        <v>0</v>
      </c>
      <c r="V473" s="21">
        <f t="shared" si="55"/>
        <v>0</v>
      </c>
    </row>
    <row r="474" spans="1:22" ht="13.5" x14ac:dyDescent="0.35">
      <c r="A474" s="18">
        <v>117486</v>
      </c>
      <c r="B474" s="19" t="s">
        <v>500</v>
      </c>
      <c r="C474" s="19">
        <v>0.6</v>
      </c>
      <c r="D474" s="19">
        <v>101</v>
      </c>
      <c r="E474" s="19">
        <v>1410</v>
      </c>
      <c r="F474" s="19">
        <v>0</v>
      </c>
      <c r="G474" s="19">
        <v>0</v>
      </c>
      <c r="H474" s="19">
        <v>0</v>
      </c>
      <c r="I474" s="20">
        <v>0</v>
      </c>
      <c r="J474" s="19">
        <f t="shared" si="49"/>
        <v>0</v>
      </c>
      <c r="K474" s="19">
        <f t="shared" si="50"/>
        <v>0</v>
      </c>
      <c r="L474" s="19">
        <v>-6.6E-4</v>
      </c>
      <c r="M474" s="19">
        <v>-1.6250000000000001E-2</v>
      </c>
      <c r="N474" s="19">
        <v>-1.6250000000000001E-2</v>
      </c>
      <c r="O474" s="19">
        <v>-1.6279999999999999E-2</v>
      </c>
      <c r="P474" s="19">
        <v>-1.6310000000000002E-2</v>
      </c>
      <c r="Q474" s="19"/>
      <c r="R474" s="19">
        <f t="shared" si="51"/>
        <v>0</v>
      </c>
      <c r="S474" s="19">
        <f t="shared" si="52"/>
        <v>0</v>
      </c>
      <c r="T474" s="19">
        <f t="shared" si="53"/>
        <v>0</v>
      </c>
      <c r="U474" s="19">
        <f t="shared" si="54"/>
        <v>0</v>
      </c>
      <c r="V474" s="21">
        <f t="shared" si="55"/>
        <v>0</v>
      </c>
    </row>
    <row r="475" spans="1:22" ht="13.5" x14ac:dyDescent="0.35">
      <c r="A475" s="18">
        <v>117495</v>
      </c>
      <c r="B475" s="19" t="s">
        <v>501</v>
      </c>
      <c r="C475" s="19">
        <v>0.9</v>
      </c>
      <c r="D475" s="19">
        <v>101</v>
      </c>
      <c r="E475" s="19">
        <v>1410</v>
      </c>
      <c r="F475" s="19">
        <v>0</v>
      </c>
      <c r="G475" s="19">
        <v>0</v>
      </c>
      <c r="H475" s="19">
        <v>0</v>
      </c>
      <c r="I475" s="20">
        <v>0</v>
      </c>
      <c r="J475" s="19">
        <f t="shared" si="49"/>
        <v>0</v>
      </c>
      <c r="K475" s="19">
        <f t="shared" si="50"/>
        <v>0</v>
      </c>
      <c r="L475" s="19">
        <v>-6.6E-4</v>
      </c>
      <c r="M475" s="19">
        <v>-1.2970000000000001E-2</v>
      </c>
      <c r="N475" s="19">
        <v>-1.2970000000000001E-2</v>
      </c>
      <c r="O475" s="19">
        <v>-1.2999999999999999E-2</v>
      </c>
      <c r="P475" s="19">
        <v>-1.302E-2</v>
      </c>
      <c r="Q475" s="19"/>
      <c r="R475" s="19">
        <f t="shared" si="51"/>
        <v>0</v>
      </c>
      <c r="S475" s="19">
        <f t="shared" si="52"/>
        <v>0</v>
      </c>
      <c r="T475" s="19">
        <f t="shared" si="53"/>
        <v>0</v>
      </c>
      <c r="U475" s="19">
        <f t="shared" si="54"/>
        <v>0</v>
      </c>
      <c r="V475" s="21">
        <f t="shared" si="55"/>
        <v>0</v>
      </c>
    </row>
    <row r="476" spans="1:22" ht="13.5" x14ac:dyDescent="0.35">
      <c r="A476" s="18">
        <v>117501</v>
      </c>
      <c r="B476" s="19" t="s">
        <v>502</v>
      </c>
      <c r="C476" s="19">
        <v>0.6</v>
      </c>
      <c r="D476" s="19">
        <v>101</v>
      </c>
      <c r="E476" s="19">
        <v>1410</v>
      </c>
      <c r="F476" s="19">
        <v>0</v>
      </c>
      <c r="G476" s="19">
        <v>0</v>
      </c>
      <c r="H476" s="19">
        <v>0</v>
      </c>
      <c r="I476" s="20">
        <v>0</v>
      </c>
      <c r="J476" s="19">
        <f t="shared" si="49"/>
        <v>0</v>
      </c>
      <c r="K476" s="19">
        <f t="shared" si="50"/>
        <v>0</v>
      </c>
      <c r="L476" s="19">
        <v>-6.6E-4</v>
      </c>
      <c r="M476" s="19">
        <v>-2.5260000000000001E-2</v>
      </c>
      <c r="N476" s="19">
        <v>-2.5260000000000001E-2</v>
      </c>
      <c r="O476" s="19">
        <v>-2.53E-2</v>
      </c>
      <c r="P476" s="19">
        <v>-2.5319999999999999E-2</v>
      </c>
      <c r="Q476" s="19"/>
      <c r="R476" s="19">
        <f t="shared" si="51"/>
        <v>0</v>
      </c>
      <c r="S476" s="19">
        <f t="shared" si="52"/>
        <v>0</v>
      </c>
      <c r="T476" s="19">
        <f t="shared" si="53"/>
        <v>0</v>
      </c>
      <c r="U476" s="19">
        <f t="shared" si="54"/>
        <v>0</v>
      </c>
      <c r="V476" s="21">
        <f t="shared" si="55"/>
        <v>0</v>
      </c>
    </row>
    <row r="477" spans="1:22" ht="13.5" x14ac:dyDescent="0.35">
      <c r="A477" s="18">
        <v>117503</v>
      </c>
      <c r="B477" s="19" t="s">
        <v>503</v>
      </c>
      <c r="C477" s="19">
        <v>0.48</v>
      </c>
      <c r="D477" s="19">
        <v>101</v>
      </c>
      <c r="E477" s="19">
        <v>1410</v>
      </c>
      <c r="F477" s="19">
        <v>0</v>
      </c>
      <c r="G477" s="19">
        <v>0</v>
      </c>
      <c r="H477" s="19">
        <v>0</v>
      </c>
      <c r="I477" s="20">
        <v>0</v>
      </c>
      <c r="J477" s="19">
        <f t="shared" si="49"/>
        <v>0</v>
      </c>
      <c r="K477" s="19">
        <f t="shared" si="50"/>
        <v>0</v>
      </c>
      <c r="L477" s="19">
        <v>-6.6E-4</v>
      </c>
      <c r="M477" s="19">
        <v>-1.9959999999999999E-2</v>
      </c>
      <c r="N477" s="19">
        <v>-1.9959999999999999E-2</v>
      </c>
      <c r="O477" s="19">
        <v>-1.9990000000000001E-2</v>
      </c>
      <c r="P477" s="19">
        <v>-2.001E-2</v>
      </c>
      <c r="Q477" s="19"/>
      <c r="R477" s="19">
        <f t="shared" si="51"/>
        <v>0</v>
      </c>
      <c r="S477" s="19">
        <f t="shared" si="52"/>
        <v>0</v>
      </c>
      <c r="T477" s="19">
        <f t="shared" si="53"/>
        <v>0</v>
      </c>
      <c r="U477" s="19">
        <f t="shared" si="54"/>
        <v>0</v>
      </c>
      <c r="V477" s="21">
        <f t="shared" si="55"/>
        <v>0</v>
      </c>
    </row>
    <row r="478" spans="1:22" ht="13.5" x14ac:dyDescent="0.35">
      <c r="A478" s="18">
        <v>117505</v>
      </c>
      <c r="B478" s="19" t="s">
        <v>504</v>
      </c>
      <c r="C478" s="19">
        <v>0.48</v>
      </c>
      <c r="D478" s="19">
        <v>101</v>
      </c>
      <c r="E478" s="19">
        <v>1410</v>
      </c>
      <c r="F478" s="19">
        <v>0</v>
      </c>
      <c r="G478" s="19">
        <v>0</v>
      </c>
      <c r="H478" s="19">
        <v>0</v>
      </c>
      <c r="I478" s="20">
        <v>0</v>
      </c>
      <c r="J478" s="19">
        <f t="shared" si="49"/>
        <v>0</v>
      </c>
      <c r="K478" s="19">
        <f t="shared" si="50"/>
        <v>0</v>
      </c>
      <c r="L478" s="19">
        <v>-6.6E-4</v>
      </c>
      <c r="M478" s="19">
        <v>-2.1499999999999998E-2</v>
      </c>
      <c r="N478" s="19">
        <v>-2.1499999999999998E-2</v>
      </c>
      <c r="O478" s="19">
        <v>-2.1530000000000001E-2</v>
      </c>
      <c r="P478" s="19">
        <v>-2.155E-2</v>
      </c>
      <c r="Q478" s="19"/>
      <c r="R478" s="19">
        <f t="shared" si="51"/>
        <v>0</v>
      </c>
      <c r="S478" s="19">
        <f t="shared" si="52"/>
        <v>0</v>
      </c>
      <c r="T478" s="19">
        <f t="shared" si="53"/>
        <v>0</v>
      </c>
      <c r="U478" s="19">
        <f t="shared" si="54"/>
        <v>0</v>
      </c>
      <c r="V478" s="21">
        <f t="shared" si="55"/>
        <v>0</v>
      </c>
    </row>
    <row r="479" spans="1:22" ht="13.5" x14ac:dyDescent="0.35">
      <c r="A479" s="18">
        <v>117507</v>
      </c>
      <c r="B479" s="19" t="s">
        <v>505</v>
      </c>
      <c r="C479" s="19">
        <v>0.55000000000000004</v>
      </c>
      <c r="D479" s="19">
        <v>101</v>
      </c>
      <c r="E479" s="19">
        <v>1410</v>
      </c>
      <c r="F479" s="19">
        <v>0</v>
      </c>
      <c r="G479" s="19">
        <v>0</v>
      </c>
      <c r="H479" s="19">
        <v>0</v>
      </c>
      <c r="I479" s="20">
        <v>0</v>
      </c>
      <c r="J479" s="19">
        <f t="shared" si="49"/>
        <v>0</v>
      </c>
      <c r="K479" s="19">
        <f t="shared" si="50"/>
        <v>0</v>
      </c>
      <c r="L479" s="19">
        <v>-6.6E-4</v>
      </c>
      <c r="M479" s="19">
        <v>-1.1259999999999999E-2</v>
      </c>
      <c r="N479" s="19">
        <v>-1.1259999999999999E-2</v>
      </c>
      <c r="O479" s="19">
        <v>-1.1299999999999999E-2</v>
      </c>
      <c r="P479" s="19">
        <v>-1.132E-2</v>
      </c>
      <c r="Q479" s="19"/>
      <c r="R479" s="19">
        <f t="shared" si="51"/>
        <v>0</v>
      </c>
      <c r="S479" s="19">
        <f t="shared" si="52"/>
        <v>0</v>
      </c>
      <c r="T479" s="19">
        <f t="shared" si="53"/>
        <v>0</v>
      </c>
      <c r="U479" s="19">
        <f t="shared" si="54"/>
        <v>0</v>
      </c>
      <c r="V479" s="21">
        <f t="shared" si="55"/>
        <v>0</v>
      </c>
    </row>
    <row r="480" spans="1:22" ht="13.5" x14ac:dyDescent="0.35">
      <c r="A480" s="18">
        <v>117514</v>
      </c>
      <c r="B480" s="19" t="s">
        <v>506</v>
      </c>
      <c r="C480" s="19">
        <v>0.38</v>
      </c>
      <c r="D480" s="19">
        <v>101</v>
      </c>
      <c r="E480" s="19">
        <v>1410</v>
      </c>
      <c r="F480" s="19">
        <v>0</v>
      </c>
      <c r="G480" s="19">
        <v>0</v>
      </c>
      <c r="H480" s="19">
        <v>0</v>
      </c>
      <c r="I480" s="20">
        <v>0</v>
      </c>
      <c r="J480" s="19">
        <f t="shared" si="49"/>
        <v>0</v>
      </c>
      <c r="K480" s="19">
        <f t="shared" si="50"/>
        <v>0</v>
      </c>
      <c r="L480" s="19">
        <v>-6.6E-4</v>
      </c>
      <c r="M480" s="19">
        <v>-1.9959999999999999E-2</v>
      </c>
      <c r="N480" s="19">
        <v>-1.9959999999999999E-2</v>
      </c>
      <c r="O480" s="19">
        <v>-1.9990000000000001E-2</v>
      </c>
      <c r="P480" s="19">
        <v>-2.001E-2</v>
      </c>
      <c r="Q480" s="19"/>
      <c r="R480" s="19">
        <f t="shared" si="51"/>
        <v>0</v>
      </c>
      <c r="S480" s="19">
        <f t="shared" si="52"/>
        <v>0</v>
      </c>
      <c r="T480" s="19">
        <f t="shared" si="53"/>
        <v>0</v>
      </c>
      <c r="U480" s="19">
        <f t="shared" si="54"/>
        <v>0</v>
      </c>
      <c r="V480" s="21">
        <f t="shared" si="55"/>
        <v>0</v>
      </c>
    </row>
    <row r="481" spans="1:22" ht="13.5" x14ac:dyDescent="0.35">
      <c r="A481" s="18">
        <v>121513</v>
      </c>
      <c r="B481" s="19" t="s">
        <v>507</v>
      </c>
      <c r="C481" s="19">
        <v>21</v>
      </c>
      <c r="D481" s="19">
        <v>101</v>
      </c>
      <c r="E481" s="19">
        <v>1633</v>
      </c>
      <c r="F481" s="19">
        <v>0</v>
      </c>
      <c r="G481" s="19">
        <v>0</v>
      </c>
      <c r="H481" s="19">
        <v>0</v>
      </c>
      <c r="I481" s="20">
        <v>0</v>
      </c>
      <c r="J481" s="19">
        <f t="shared" si="49"/>
        <v>0</v>
      </c>
      <c r="K481" s="19">
        <f t="shared" si="50"/>
        <v>0</v>
      </c>
      <c r="L481" s="19">
        <v>-6.6E-4</v>
      </c>
      <c r="M481" s="19">
        <v>-5.94E-3</v>
      </c>
      <c r="N481" s="19">
        <v>-5.94E-3</v>
      </c>
      <c r="O481" s="19">
        <v>-5.9699999999999996E-3</v>
      </c>
      <c r="P481" s="19">
        <v>-6.0000000000000001E-3</v>
      </c>
      <c r="Q481" s="19"/>
      <c r="R481" s="19">
        <f t="shared" si="51"/>
        <v>0</v>
      </c>
      <c r="S481" s="19">
        <f t="shared" si="52"/>
        <v>0</v>
      </c>
      <c r="T481" s="19">
        <f t="shared" si="53"/>
        <v>0</v>
      </c>
      <c r="U481" s="19">
        <f t="shared" si="54"/>
        <v>0</v>
      </c>
      <c r="V481" s="21">
        <f t="shared" si="55"/>
        <v>0</v>
      </c>
    </row>
    <row r="482" spans="1:22" ht="13.5" x14ac:dyDescent="0.35">
      <c r="A482" s="18">
        <v>121514</v>
      </c>
      <c r="B482" s="19" t="s">
        <v>508</v>
      </c>
      <c r="C482" s="19">
        <v>21</v>
      </c>
      <c r="D482" s="19">
        <v>101</v>
      </c>
      <c r="E482" s="19">
        <v>1633</v>
      </c>
      <c r="F482" s="19">
        <v>0</v>
      </c>
      <c r="G482" s="19">
        <v>0</v>
      </c>
      <c r="H482" s="19">
        <v>0</v>
      </c>
      <c r="I482" s="20">
        <v>0</v>
      </c>
      <c r="J482" s="19">
        <f t="shared" si="49"/>
        <v>0</v>
      </c>
      <c r="K482" s="19">
        <f t="shared" si="50"/>
        <v>0</v>
      </c>
      <c r="L482" s="19">
        <v>-6.6E-4</v>
      </c>
      <c r="M482" s="19">
        <v>-5.94E-3</v>
      </c>
      <c r="N482" s="19">
        <v>-5.94E-3</v>
      </c>
      <c r="O482" s="19">
        <v>-5.9699999999999996E-3</v>
      </c>
      <c r="P482" s="19">
        <v>-6.0000000000000001E-3</v>
      </c>
      <c r="Q482" s="19"/>
      <c r="R482" s="19">
        <f t="shared" si="51"/>
        <v>0</v>
      </c>
      <c r="S482" s="19">
        <f t="shared" si="52"/>
        <v>0</v>
      </c>
      <c r="T482" s="19">
        <f t="shared" si="53"/>
        <v>0</v>
      </c>
      <c r="U482" s="19">
        <f t="shared" si="54"/>
        <v>0</v>
      </c>
      <c r="V482" s="21">
        <f t="shared" si="55"/>
        <v>0</v>
      </c>
    </row>
    <row r="483" spans="1:22" ht="13.5" x14ac:dyDescent="0.35">
      <c r="A483" s="18">
        <v>121515</v>
      </c>
      <c r="B483" s="19" t="s">
        <v>509</v>
      </c>
      <c r="C483" s="19">
        <v>21</v>
      </c>
      <c r="D483" s="19">
        <v>101</v>
      </c>
      <c r="E483" s="19">
        <v>1633</v>
      </c>
      <c r="F483" s="19">
        <v>0</v>
      </c>
      <c r="G483" s="19">
        <v>0</v>
      </c>
      <c r="H483" s="19">
        <v>0</v>
      </c>
      <c r="I483" s="20">
        <v>0</v>
      </c>
      <c r="J483" s="19">
        <f t="shared" si="49"/>
        <v>0</v>
      </c>
      <c r="K483" s="19">
        <f t="shared" si="50"/>
        <v>0</v>
      </c>
      <c r="L483" s="19">
        <v>-6.6E-4</v>
      </c>
      <c r="M483" s="19">
        <v>-5.94E-3</v>
      </c>
      <c r="N483" s="19">
        <v>-5.94E-3</v>
      </c>
      <c r="O483" s="19">
        <v>-5.9699999999999996E-3</v>
      </c>
      <c r="P483" s="19">
        <v>-6.0000000000000001E-3</v>
      </c>
      <c r="Q483" s="19"/>
      <c r="R483" s="19">
        <f t="shared" si="51"/>
        <v>0</v>
      </c>
      <c r="S483" s="19">
        <f t="shared" si="52"/>
        <v>0</v>
      </c>
      <c r="T483" s="19">
        <f t="shared" si="53"/>
        <v>0</v>
      </c>
      <c r="U483" s="19">
        <f t="shared" si="54"/>
        <v>0</v>
      </c>
      <c r="V483" s="21">
        <f t="shared" si="55"/>
        <v>0</v>
      </c>
    </row>
    <row r="484" spans="1:22" ht="13.5" x14ac:dyDescent="0.35">
      <c r="A484" s="18">
        <v>121517</v>
      </c>
      <c r="B484" s="19" t="s">
        <v>510</v>
      </c>
      <c r="C484" s="19">
        <v>23.5</v>
      </c>
      <c r="D484" s="19">
        <v>101</v>
      </c>
      <c r="E484" s="19">
        <v>1633</v>
      </c>
      <c r="F484" s="19">
        <v>0</v>
      </c>
      <c r="G484" s="19">
        <v>0</v>
      </c>
      <c r="H484" s="19">
        <v>0</v>
      </c>
      <c r="I484" s="20">
        <v>0</v>
      </c>
      <c r="J484" s="19">
        <f t="shared" si="49"/>
        <v>0</v>
      </c>
      <c r="K484" s="19">
        <f t="shared" si="50"/>
        <v>0</v>
      </c>
      <c r="L484" s="19">
        <v>-6.6E-4</v>
      </c>
      <c r="M484" s="19">
        <v>-5.8700000000000002E-3</v>
      </c>
      <c r="N484" s="19">
        <v>-5.8700000000000002E-3</v>
      </c>
      <c r="O484" s="19">
        <v>-5.8999999999999999E-3</v>
      </c>
      <c r="P484" s="19">
        <v>-5.9300000000000004E-3</v>
      </c>
      <c r="Q484" s="19"/>
      <c r="R484" s="19">
        <f t="shared" si="51"/>
        <v>0</v>
      </c>
      <c r="S484" s="19">
        <f t="shared" si="52"/>
        <v>0</v>
      </c>
      <c r="T484" s="19">
        <f t="shared" si="53"/>
        <v>0</v>
      </c>
      <c r="U484" s="19">
        <f t="shared" si="54"/>
        <v>0</v>
      </c>
      <c r="V484" s="21">
        <f t="shared" si="55"/>
        <v>0</v>
      </c>
    </row>
    <row r="485" spans="1:22" ht="13.5" x14ac:dyDescent="0.35">
      <c r="A485" s="18">
        <v>121518</v>
      </c>
      <c r="B485" s="19" t="s">
        <v>511</v>
      </c>
      <c r="C485" s="19">
        <v>16</v>
      </c>
      <c r="D485" s="19">
        <v>101</v>
      </c>
      <c r="E485" s="19">
        <v>1633</v>
      </c>
      <c r="F485" s="19">
        <v>0</v>
      </c>
      <c r="G485" s="19">
        <v>0</v>
      </c>
      <c r="H485" s="19">
        <v>0</v>
      </c>
      <c r="I485" s="20">
        <v>0</v>
      </c>
      <c r="J485" s="19">
        <f t="shared" si="49"/>
        <v>0</v>
      </c>
      <c r="K485" s="19">
        <f t="shared" si="50"/>
        <v>0</v>
      </c>
      <c r="L485" s="19">
        <v>-6.6E-4</v>
      </c>
      <c r="M485" s="19">
        <v>-5.8700000000000002E-3</v>
      </c>
      <c r="N485" s="19">
        <v>-5.8700000000000002E-3</v>
      </c>
      <c r="O485" s="19">
        <v>-5.8999999999999999E-3</v>
      </c>
      <c r="P485" s="19">
        <v>-5.9300000000000004E-3</v>
      </c>
      <c r="Q485" s="19"/>
      <c r="R485" s="19">
        <f t="shared" si="51"/>
        <v>0</v>
      </c>
      <c r="S485" s="19">
        <f t="shared" si="52"/>
        <v>0</v>
      </c>
      <c r="T485" s="19">
        <f t="shared" si="53"/>
        <v>0</v>
      </c>
      <c r="U485" s="19">
        <f t="shared" si="54"/>
        <v>0</v>
      </c>
      <c r="V485" s="21">
        <f t="shared" si="55"/>
        <v>0</v>
      </c>
    </row>
    <row r="486" spans="1:22" ht="13.5" x14ac:dyDescent="0.35">
      <c r="A486" s="18">
        <v>121526</v>
      </c>
      <c r="B486" s="19" t="s">
        <v>512</v>
      </c>
      <c r="C486" s="19">
        <v>0.38</v>
      </c>
      <c r="D486" s="19">
        <v>101</v>
      </c>
      <c r="E486" s="19">
        <v>1634</v>
      </c>
      <c r="F486" s="19">
        <v>0</v>
      </c>
      <c r="G486" s="19">
        <v>0</v>
      </c>
      <c r="H486" s="19">
        <v>0</v>
      </c>
      <c r="I486" s="20">
        <v>0</v>
      </c>
      <c r="J486" s="19">
        <f t="shared" si="49"/>
        <v>0</v>
      </c>
      <c r="K486" s="19">
        <f t="shared" si="50"/>
        <v>0</v>
      </c>
      <c r="L486" s="19">
        <v>-6.6E-4</v>
      </c>
      <c r="M486" s="19">
        <v>-5.6499999999999996E-3</v>
      </c>
      <c r="N486" s="19">
        <v>-5.6499999999999996E-3</v>
      </c>
      <c r="O486" s="19">
        <v>-5.6800000000000002E-3</v>
      </c>
      <c r="P486" s="19">
        <v>-5.7099999999999998E-3</v>
      </c>
      <c r="Q486" s="19"/>
      <c r="R486" s="19">
        <f t="shared" si="51"/>
        <v>0</v>
      </c>
      <c r="S486" s="19">
        <f t="shared" si="52"/>
        <v>0</v>
      </c>
      <c r="T486" s="19">
        <f t="shared" si="53"/>
        <v>0</v>
      </c>
      <c r="U486" s="19">
        <f t="shared" si="54"/>
        <v>0</v>
      </c>
      <c r="V486" s="21">
        <f t="shared" si="55"/>
        <v>0</v>
      </c>
    </row>
    <row r="487" spans="1:22" ht="13.5" x14ac:dyDescent="0.35">
      <c r="A487" s="18">
        <v>121536</v>
      </c>
      <c r="B487" s="19" t="s">
        <v>513</v>
      </c>
      <c r="C487" s="19">
        <v>0.42</v>
      </c>
      <c r="D487" s="19">
        <v>101</v>
      </c>
      <c r="E487" s="19">
        <v>1633</v>
      </c>
      <c r="F487" s="19">
        <v>0</v>
      </c>
      <c r="G487" s="19">
        <v>0</v>
      </c>
      <c r="H487" s="19">
        <v>0</v>
      </c>
      <c r="I487" s="20">
        <v>0</v>
      </c>
      <c r="J487" s="19">
        <f t="shared" si="49"/>
        <v>0</v>
      </c>
      <c r="K487" s="19">
        <f t="shared" si="50"/>
        <v>0</v>
      </c>
      <c r="L487" s="19">
        <v>-6.6E-4</v>
      </c>
      <c r="M487" s="19">
        <v>-5.6499999999999996E-3</v>
      </c>
      <c r="N487" s="19">
        <v>-5.6499999999999996E-3</v>
      </c>
      <c r="O487" s="19">
        <v>-5.6800000000000002E-3</v>
      </c>
      <c r="P487" s="19">
        <v>-5.7000000000000002E-3</v>
      </c>
      <c r="Q487" s="19"/>
      <c r="R487" s="19">
        <f t="shared" si="51"/>
        <v>0</v>
      </c>
      <c r="S487" s="19">
        <f t="shared" si="52"/>
        <v>0</v>
      </c>
      <c r="T487" s="19">
        <f t="shared" si="53"/>
        <v>0</v>
      </c>
      <c r="U487" s="19">
        <f t="shared" si="54"/>
        <v>0</v>
      </c>
      <c r="V487" s="21">
        <f t="shared" si="55"/>
        <v>0</v>
      </c>
    </row>
    <row r="488" spans="1:22" ht="13.5" x14ac:dyDescent="0.35">
      <c r="A488" s="18">
        <v>121559</v>
      </c>
      <c r="B488" s="19" t="s">
        <v>514</v>
      </c>
      <c r="C488" s="19">
        <v>0.6</v>
      </c>
      <c r="D488" s="19">
        <v>101</v>
      </c>
      <c r="E488" s="19">
        <v>1634</v>
      </c>
      <c r="F488" s="19">
        <v>0</v>
      </c>
      <c r="G488" s="19">
        <v>0</v>
      </c>
      <c r="H488" s="19">
        <v>0</v>
      </c>
      <c r="I488" s="20">
        <v>0</v>
      </c>
      <c r="J488" s="19">
        <f t="shared" si="49"/>
        <v>0</v>
      </c>
      <c r="K488" s="19">
        <f t="shared" si="50"/>
        <v>0</v>
      </c>
      <c r="L488" s="19">
        <v>-6.6E-4</v>
      </c>
      <c r="M488" s="19">
        <v>-5.3699999999999998E-3</v>
      </c>
      <c r="N488" s="19">
        <v>-5.3699999999999998E-3</v>
      </c>
      <c r="O488" s="19">
        <v>-5.4099999999999999E-3</v>
      </c>
      <c r="P488" s="19">
        <v>-5.4299999999999999E-3</v>
      </c>
      <c r="Q488" s="19"/>
      <c r="R488" s="19">
        <f t="shared" si="51"/>
        <v>0</v>
      </c>
      <c r="S488" s="19">
        <f t="shared" si="52"/>
        <v>0</v>
      </c>
      <c r="T488" s="19">
        <f t="shared" si="53"/>
        <v>0</v>
      </c>
      <c r="U488" s="19">
        <f t="shared" si="54"/>
        <v>0</v>
      </c>
      <c r="V488" s="21">
        <f t="shared" si="55"/>
        <v>0</v>
      </c>
    </row>
    <row r="489" spans="1:22" ht="13.5" x14ac:dyDescent="0.35">
      <c r="A489" s="18">
        <v>121560</v>
      </c>
      <c r="B489" s="19" t="s">
        <v>515</v>
      </c>
      <c r="C489" s="19">
        <v>13.8</v>
      </c>
      <c r="D489" s="19">
        <v>101</v>
      </c>
      <c r="E489" s="19">
        <v>1633</v>
      </c>
      <c r="F489" s="19">
        <v>0</v>
      </c>
      <c r="G489" s="19">
        <v>0</v>
      </c>
      <c r="H489" s="19">
        <v>0</v>
      </c>
      <c r="I489" s="20">
        <v>0</v>
      </c>
      <c r="J489" s="19">
        <f t="shared" si="49"/>
        <v>0</v>
      </c>
      <c r="K489" s="19">
        <f t="shared" si="50"/>
        <v>0</v>
      </c>
      <c r="L489" s="19">
        <v>-6.6E-4</v>
      </c>
      <c r="M489" s="19">
        <v>-5.3699999999999998E-3</v>
      </c>
      <c r="N489" s="19">
        <v>-5.3699999999999998E-3</v>
      </c>
      <c r="O489" s="19">
        <v>-5.4000000000000003E-3</v>
      </c>
      <c r="P489" s="19">
        <v>-5.4299999999999999E-3</v>
      </c>
      <c r="Q489" s="19"/>
      <c r="R489" s="19">
        <f t="shared" si="51"/>
        <v>0</v>
      </c>
      <c r="S489" s="19">
        <f t="shared" si="52"/>
        <v>0</v>
      </c>
      <c r="T489" s="19">
        <f t="shared" si="53"/>
        <v>0</v>
      </c>
      <c r="U489" s="19">
        <f t="shared" si="54"/>
        <v>0</v>
      </c>
      <c r="V489" s="21">
        <f t="shared" si="55"/>
        <v>0</v>
      </c>
    </row>
    <row r="490" spans="1:22" ht="13.5" x14ac:dyDescent="0.35">
      <c r="A490" s="18">
        <v>121570</v>
      </c>
      <c r="B490" s="19" t="s">
        <v>516</v>
      </c>
      <c r="C490" s="19">
        <v>13.2</v>
      </c>
      <c r="D490" s="19">
        <v>101</v>
      </c>
      <c r="E490" s="19">
        <v>1634</v>
      </c>
      <c r="F490" s="19">
        <v>0</v>
      </c>
      <c r="G490" s="19">
        <v>0</v>
      </c>
      <c r="H490" s="19">
        <v>0</v>
      </c>
      <c r="I490" s="20">
        <v>0</v>
      </c>
      <c r="J490" s="19">
        <f t="shared" si="49"/>
        <v>0</v>
      </c>
      <c r="K490" s="19">
        <f t="shared" si="50"/>
        <v>0</v>
      </c>
      <c r="L490" s="19">
        <v>-6.6E-4</v>
      </c>
      <c r="M490" s="19">
        <v>-5.1799999999999997E-3</v>
      </c>
      <c r="N490" s="19">
        <v>-5.1799999999999997E-3</v>
      </c>
      <c r="O490" s="19">
        <v>-5.2100000000000002E-3</v>
      </c>
      <c r="P490" s="19">
        <v>-5.2300000000000003E-3</v>
      </c>
      <c r="Q490" s="19"/>
      <c r="R490" s="19">
        <f t="shared" si="51"/>
        <v>0</v>
      </c>
      <c r="S490" s="19">
        <f t="shared" si="52"/>
        <v>0</v>
      </c>
      <c r="T490" s="19">
        <f t="shared" si="53"/>
        <v>0</v>
      </c>
      <c r="U490" s="19">
        <f t="shared" si="54"/>
        <v>0</v>
      </c>
      <c r="V490" s="21">
        <f t="shared" si="55"/>
        <v>0</v>
      </c>
    </row>
    <row r="491" spans="1:22" ht="13.5" x14ac:dyDescent="0.35">
      <c r="A491" s="18">
        <v>121571</v>
      </c>
      <c r="B491" s="19" t="s">
        <v>517</v>
      </c>
      <c r="C491" s="19">
        <v>0.38</v>
      </c>
      <c r="D491" s="19">
        <v>101</v>
      </c>
      <c r="E491" s="19">
        <v>1634</v>
      </c>
      <c r="F491" s="19">
        <v>0</v>
      </c>
      <c r="G491" s="19">
        <v>0</v>
      </c>
      <c r="H491" s="19">
        <v>0</v>
      </c>
      <c r="I491" s="20">
        <v>0</v>
      </c>
      <c r="J491" s="19">
        <f t="shared" si="49"/>
        <v>0</v>
      </c>
      <c r="K491" s="19">
        <f t="shared" si="50"/>
        <v>0</v>
      </c>
      <c r="L491" s="19">
        <v>-6.6E-4</v>
      </c>
      <c r="M491" s="19">
        <v>-5.1799999999999997E-3</v>
      </c>
      <c r="N491" s="19">
        <v>-5.1799999999999997E-3</v>
      </c>
      <c r="O491" s="19">
        <v>-5.2100000000000002E-3</v>
      </c>
      <c r="P491" s="19">
        <v>-5.2300000000000003E-3</v>
      </c>
      <c r="Q491" s="19"/>
      <c r="R491" s="19">
        <f t="shared" si="51"/>
        <v>0</v>
      </c>
      <c r="S491" s="19">
        <f t="shared" si="52"/>
        <v>0</v>
      </c>
      <c r="T491" s="19">
        <f t="shared" si="53"/>
        <v>0</v>
      </c>
      <c r="U491" s="19">
        <f t="shared" si="54"/>
        <v>0</v>
      </c>
      <c r="V491" s="21">
        <f t="shared" si="55"/>
        <v>0</v>
      </c>
    </row>
    <row r="492" spans="1:22" ht="13.5" x14ac:dyDescent="0.35">
      <c r="A492" s="18">
        <v>121579</v>
      </c>
      <c r="B492" s="19" t="s">
        <v>518</v>
      </c>
      <c r="C492" s="19">
        <v>13.8</v>
      </c>
      <c r="D492" s="19">
        <v>101</v>
      </c>
      <c r="E492" s="19">
        <v>1633</v>
      </c>
      <c r="F492" s="19">
        <v>0</v>
      </c>
      <c r="G492" s="19">
        <v>0</v>
      </c>
      <c r="H492" s="19">
        <v>0</v>
      </c>
      <c r="I492" s="20">
        <v>0</v>
      </c>
      <c r="J492" s="19">
        <f t="shared" si="49"/>
        <v>0</v>
      </c>
      <c r="K492" s="19">
        <f t="shared" si="50"/>
        <v>0</v>
      </c>
      <c r="L492" s="19">
        <v>-6.6E-4</v>
      </c>
      <c r="M492" s="19">
        <v>-5.13E-3</v>
      </c>
      <c r="N492" s="19">
        <v>-5.13E-3</v>
      </c>
      <c r="O492" s="19">
        <v>-5.1599999999999997E-3</v>
      </c>
      <c r="P492" s="19">
        <v>-5.1900000000000002E-3</v>
      </c>
      <c r="Q492" s="19"/>
      <c r="R492" s="19">
        <f t="shared" si="51"/>
        <v>0</v>
      </c>
      <c r="S492" s="19">
        <f t="shared" si="52"/>
        <v>0</v>
      </c>
      <c r="T492" s="19">
        <f t="shared" si="53"/>
        <v>0</v>
      </c>
      <c r="U492" s="19">
        <f t="shared" si="54"/>
        <v>0</v>
      </c>
      <c r="V492" s="21">
        <f t="shared" si="55"/>
        <v>0</v>
      </c>
    </row>
    <row r="493" spans="1:22" ht="13.5" x14ac:dyDescent="0.35">
      <c r="A493" s="18">
        <v>121586</v>
      </c>
      <c r="B493" s="19" t="s">
        <v>519</v>
      </c>
      <c r="C493" s="19">
        <v>4.16</v>
      </c>
      <c r="D493" s="19">
        <v>101</v>
      </c>
      <c r="E493" s="19">
        <v>1634</v>
      </c>
      <c r="F493" s="19">
        <v>0</v>
      </c>
      <c r="G493" s="19">
        <v>0</v>
      </c>
      <c r="H493" s="19">
        <v>0</v>
      </c>
      <c r="I493" s="20">
        <v>0</v>
      </c>
      <c r="J493" s="19">
        <f t="shared" si="49"/>
        <v>0</v>
      </c>
      <c r="K493" s="19">
        <f t="shared" si="50"/>
        <v>0</v>
      </c>
      <c r="L493" s="19">
        <v>-6.6E-4</v>
      </c>
      <c r="M493" s="19">
        <v>-5.1799999999999997E-3</v>
      </c>
      <c r="N493" s="19">
        <v>-5.1799999999999997E-3</v>
      </c>
      <c r="O493" s="19">
        <v>-5.2100000000000002E-3</v>
      </c>
      <c r="P493" s="19">
        <v>-5.2300000000000003E-3</v>
      </c>
      <c r="Q493" s="19"/>
      <c r="R493" s="19">
        <f t="shared" si="51"/>
        <v>0</v>
      </c>
      <c r="S493" s="19">
        <f t="shared" si="52"/>
        <v>0</v>
      </c>
      <c r="T493" s="19">
        <f t="shared" si="53"/>
        <v>0</v>
      </c>
      <c r="U493" s="19">
        <f t="shared" si="54"/>
        <v>0</v>
      </c>
      <c r="V493" s="21">
        <f t="shared" si="55"/>
        <v>0</v>
      </c>
    </row>
    <row r="494" spans="1:22" ht="13.5" x14ac:dyDescent="0.35">
      <c r="A494" s="18">
        <v>121587</v>
      </c>
      <c r="B494" s="19" t="s">
        <v>520</v>
      </c>
      <c r="C494" s="19">
        <v>4.16</v>
      </c>
      <c r="D494" s="19">
        <v>101</v>
      </c>
      <c r="E494" s="19">
        <v>1634</v>
      </c>
      <c r="F494" s="19">
        <v>0</v>
      </c>
      <c r="G494" s="19">
        <v>0</v>
      </c>
      <c r="H494" s="19">
        <v>0</v>
      </c>
      <c r="I494" s="20">
        <v>0</v>
      </c>
      <c r="J494" s="19">
        <f t="shared" si="49"/>
        <v>0</v>
      </c>
      <c r="K494" s="19">
        <f t="shared" si="50"/>
        <v>0</v>
      </c>
      <c r="L494" s="19">
        <v>-6.6E-4</v>
      </c>
      <c r="M494" s="19">
        <v>-7.7099999999999998E-3</v>
      </c>
      <c r="N494" s="19">
        <v>-7.7099999999999998E-3</v>
      </c>
      <c r="O494" s="19">
        <v>-7.7400000000000004E-3</v>
      </c>
      <c r="P494" s="19">
        <v>-7.7600000000000004E-3</v>
      </c>
      <c r="Q494" s="19"/>
      <c r="R494" s="19">
        <f t="shared" si="51"/>
        <v>0</v>
      </c>
      <c r="S494" s="19">
        <f t="shared" si="52"/>
        <v>0</v>
      </c>
      <c r="T494" s="19">
        <f t="shared" si="53"/>
        <v>0</v>
      </c>
      <c r="U494" s="19">
        <f t="shared" si="54"/>
        <v>0</v>
      </c>
      <c r="V494" s="21">
        <f t="shared" si="55"/>
        <v>0</v>
      </c>
    </row>
    <row r="495" spans="1:22" ht="13.5" x14ac:dyDescent="0.35">
      <c r="A495" s="18">
        <v>121590</v>
      </c>
      <c r="B495" s="19" t="s">
        <v>521</v>
      </c>
      <c r="C495" s="19">
        <v>13.2</v>
      </c>
      <c r="D495" s="19">
        <v>101</v>
      </c>
      <c r="E495" s="19">
        <v>1633</v>
      </c>
      <c r="F495" s="19">
        <v>0</v>
      </c>
      <c r="G495" s="19">
        <v>0</v>
      </c>
      <c r="H495" s="19">
        <v>0</v>
      </c>
      <c r="I495" s="20">
        <v>0</v>
      </c>
      <c r="J495" s="19">
        <f t="shared" si="49"/>
        <v>0</v>
      </c>
      <c r="K495" s="19">
        <f t="shared" si="50"/>
        <v>0</v>
      </c>
      <c r="L495" s="19">
        <v>-6.6E-4</v>
      </c>
      <c r="M495" s="19">
        <v>-5.13E-3</v>
      </c>
      <c r="N495" s="19">
        <v>-5.13E-3</v>
      </c>
      <c r="O495" s="19">
        <v>-5.1599999999999997E-3</v>
      </c>
      <c r="P495" s="19">
        <v>-5.1900000000000002E-3</v>
      </c>
      <c r="Q495" s="19"/>
      <c r="R495" s="19">
        <f t="shared" si="51"/>
        <v>0</v>
      </c>
      <c r="S495" s="19">
        <f t="shared" si="52"/>
        <v>0</v>
      </c>
      <c r="T495" s="19">
        <f t="shared" si="53"/>
        <v>0</v>
      </c>
      <c r="U495" s="19">
        <f t="shared" si="54"/>
        <v>0</v>
      </c>
      <c r="V495" s="21">
        <f t="shared" si="55"/>
        <v>0</v>
      </c>
    </row>
    <row r="496" spans="1:22" ht="13.5" x14ac:dyDescent="0.35">
      <c r="A496" s="18">
        <v>121638</v>
      </c>
      <c r="B496" s="19" t="s">
        <v>522</v>
      </c>
      <c r="C496" s="19">
        <v>0.6</v>
      </c>
      <c r="D496" s="19">
        <v>101</v>
      </c>
      <c r="E496" s="19">
        <v>1634</v>
      </c>
      <c r="F496" s="19">
        <v>0</v>
      </c>
      <c r="G496" s="19">
        <v>0</v>
      </c>
      <c r="H496" s="19">
        <v>0</v>
      </c>
      <c r="I496" s="20">
        <v>0</v>
      </c>
      <c r="J496" s="19">
        <f t="shared" si="49"/>
        <v>0</v>
      </c>
      <c r="K496" s="19">
        <f t="shared" si="50"/>
        <v>0</v>
      </c>
      <c r="L496" s="19">
        <v>-6.6E-4</v>
      </c>
      <c r="M496" s="19">
        <v>-9.4699999999999993E-3</v>
      </c>
      <c r="N496" s="19">
        <v>-9.4699999999999993E-3</v>
      </c>
      <c r="O496" s="19">
        <v>-9.4999999999999998E-3</v>
      </c>
      <c r="P496" s="19">
        <v>-9.5300000000000003E-3</v>
      </c>
      <c r="Q496" s="19"/>
      <c r="R496" s="19">
        <f t="shared" si="51"/>
        <v>0</v>
      </c>
      <c r="S496" s="19">
        <f t="shared" si="52"/>
        <v>0</v>
      </c>
      <c r="T496" s="19">
        <f t="shared" si="53"/>
        <v>0</v>
      </c>
      <c r="U496" s="19">
        <f t="shared" si="54"/>
        <v>0</v>
      </c>
      <c r="V496" s="21">
        <f t="shared" si="55"/>
        <v>0</v>
      </c>
    </row>
    <row r="497" spans="1:22" ht="13.5" x14ac:dyDescent="0.35">
      <c r="A497" s="18">
        <v>121645</v>
      </c>
      <c r="B497" s="19" t="s">
        <v>523</v>
      </c>
      <c r="C497" s="19">
        <v>13.8</v>
      </c>
      <c r="D497" s="19">
        <v>101</v>
      </c>
      <c r="E497" s="19">
        <v>1633</v>
      </c>
      <c r="F497" s="19">
        <v>0</v>
      </c>
      <c r="G497" s="19">
        <v>0</v>
      </c>
      <c r="H497" s="19">
        <v>0</v>
      </c>
      <c r="I497" s="20">
        <v>0</v>
      </c>
      <c r="J497" s="19">
        <f t="shared" si="49"/>
        <v>0</v>
      </c>
      <c r="K497" s="19">
        <f t="shared" si="50"/>
        <v>0</v>
      </c>
      <c r="L497" s="19">
        <v>-6.6E-4</v>
      </c>
      <c r="M497" s="19">
        <v>-4.9199999999999999E-3</v>
      </c>
      <c r="N497" s="19">
        <v>-4.9199999999999999E-3</v>
      </c>
      <c r="O497" s="19">
        <v>-4.96E-3</v>
      </c>
      <c r="P497" s="19">
        <v>-4.9800000000000001E-3</v>
      </c>
      <c r="Q497" s="19"/>
      <c r="R497" s="19">
        <f t="shared" si="51"/>
        <v>0</v>
      </c>
      <c r="S497" s="19">
        <f t="shared" si="52"/>
        <v>0</v>
      </c>
      <c r="T497" s="19">
        <f t="shared" si="53"/>
        <v>0</v>
      </c>
      <c r="U497" s="19">
        <f t="shared" si="54"/>
        <v>0</v>
      </c>
      <c r="V497" s="21">
        <f t="shared" si="55"/>
        <v>0</v>
      </c>
    </row>
    <row r="498" spans="1:22" ht="13.5" x14ac:dyDescent="0.35">
      <c r="A498" s="18">
        <v>121646</v>
      </c>
      <c r="B498" s="19" t="s">
        <v>524</v>
      </c>
      <c r="C498" s="19">
        <v>22</v>
      </c>
      <c r="D498" s="19">
        <v>101</v>
      </c>
      <c r="E498" s="19">
        <v>1633</v>
      </c>
      <c r="F498" s="19">
        <v>0</v>
      </c>
      <c r="G498" s="19">
        <v>0</v>
      </c>
      <c r="H498" s="19">
        <v>0</v>
      </c>
      <c r="I498" s="20">
        <v>0</v>
      </c>
      <c r="J498" s="19">
        <f t="shared" si="49"/>
        <v>0</v>
      </c>
      <c r="K498" s="19">
        <f t="shared" si="50"/>
        <v>0</v>
      </c>
      <c r="L498" s="19">
        <v>-6.6E-4</v>
      </c>
      <c r="M498" s="19">
        <v>-4.9199999999999999E-3</v>
      </c>
      <c r="N498" s="19">
        <v>-4.9199999999999999E-3</v>
      </c>
      <c r="O498" s="19">
        <v>-4.96E-3</v>
      </c>
      <c r="P498" s="19">
        <v>-4.9800000000000001E-3</v>
      </c>
      <c r="Q498" s="19"/>
      <c r="R498" s="19">
        <f t="shared" si="51"/>
        <v>0</v>
      </c>
      <c r="S498" s="19">
        <f t="shared" si="52"/>
        <v>0</v>
      </c>
      <c r="T498" s="19">
        <f t="shared" si="53"/>
        <v>0</v>
      </c>
      <c r="U498" s="19">
        <f t="shared" si="54"/>
        <v>0</v>
      </c>
      <c r="V498" s="21">
        <f t="shared" si="55"/>
        <v>0</v>
      </c>
    </row>
    <row r="499" spans="1:22" ht="13.5" x14ac:dyDescent="0.35">
      <c r="A499" s="18">
        <v>121647</v>
      </c>
      <c r="B499" s="19" t="s">
        <v>525</v>
      </c>
      <c r="C499" s="19">
        <v>2.4</v>
      </c>
      <c r="D499" s="19">
        <v>101</v>
      </c>
      <c r="E499" s="19">
        <v>1633</v>
      </c>
      <c r="F499" s="19">
        <v>0</v>
      </c>
      <c r="G499" s="19">
        <v>0</v>
      </c>
      <c r="H499" s="19">
        <v>0</v>
      </c>
      <c r="I499" s="20">
        <v>0</v>
      </c>
      <c r="J499" s="19">
        <f t="shared" si="49"/>
        <v>0</v>
      </c>
      <c r="K499" s="19">
        <f t="shared" si="50"/>
        <v>0</v>
      </c>
      <c r="L499" s="19">
        <v>-6.6E-4</v>
      </c>
      <c r="M499" s="19">
        <v>-4.9800000000000001E-3</v>
      </c>
      <c r="N499" s="19">
        <v>-4.9800000000000001E-3</v>
      </c>
      <c r="O499" s="19">
        <v>-5.0099999999999997E-3</v>
      </c>
      <c r="P499" s="19">
        <v>-5.0400000000000002E-3</v>
      </c>
      <c r="Q499" s="19"/>
      <c r="R499" s="19">
        <f t="shared" si="51"/>
        <v>0</v>
      </c>
      <c r="S499" s="19">
        <f t="shared" si="52"/>
        <v>0</v>
      </c>
      <c r="T499" s="19">
        <f t="shared" si="53"/>
        <v>0</v>
      </c>
      <c r="U499" s="19">
        <f t="shared" si="54"/>
        <v>0</v>
      </c>
      <c r="V499" s="21">
        <f t="shared" si="55"/>
        <v>0</v>
      </c>
    </row>
    <row r="500" spans="1:22" ht="13.5" x14ac:dyDescent="0.35">
      <c r="A500" s="18">
        <v>121656</v>
      </c>
      <c r="B500" s="19" t="s">
        <v>526</v>
      </c>
      <c r="C500" s="19">
        <v>24</v>
      </c>
      <c r="D500" s="19">
        <v>101</v>
      </c>
      <c r="E500" s="19">
        <v>1633</v>
      </c>
      <c r="F500" s="19">
        <v>0</v>
      </c>
      <c r="G500" s="19">
        <v>0</v>
      </c>
      <c r="H500" s="19">
        <v>0</v>
      </c>
      <c r="I500" s="20">
        <v>0</v>
      </c>
      <c r="J500" s="19">
        <f t="shared" si="49"/>
        <v>0</v>
      </c>
      <c r="K500" s="19">
        <f t="shared" si="50"/>
        <v>0</v>
      </c>
      <c r="L500" s="19">
        <v>-6.6E-4</v>
      </c>
      <c r="M500" s="19">
        <v>-4.2199999999999998E-3</v>
      </c>
      <c r="N500" s="19">
        <v>-4.2199999999999998E-3</v>
      </c>
      <c r="O500" s="19">
        <v>-4.2599999999999999E-3</v>
      </c>
      <c r="P500" s="19">
        <v>-4.28E-3</v>
      </c>
      <c r="Q500" s="19"/>
      <c r="R500" s="19">
        <f t="shared" si="51"/>
        <v>0</v>
      </c>
      <c r="S500" s="19">
        <f t="shared" si="52"/>
        <v>0</v>
      </c>
      <c r="T500" s="19">
        <f t="shared" si="53"/>
        <v>0</v>
      </c>
      <c r="U500" s="19">
        <f t="shared" si="54"/>
        <v>0</v>
      </c>
      <c r="V500" s="21">
        <f t="shared" si="55"/>
        <v>0</v>
      </c>
    </row>
    <row r="501" spans="1:22" ht="13.5" x14ac:dyDescent="0.35">
      <c r="A501" s="18">
        <v>121657</v>
      </c>
      <c r="B501" s="19" t="s">
        <v>527</v>
      </c>
      <c r="C501" s="19">
        <v>24</v>
      </c>
      <c r="D501" s="19">
        <v>101</v>
      </c>
      <c r="E501" s="19">
        <v>1633</v>
      </c>
      <c r="F501" s="19">
        <v>0</v>
      </c>
      <c r="G501" s="19">
        <v>0</v>
      </c>
      <c r="H501" s="19">
        <v>0</v>
      </c>
      <c r="I501" s="20">
        <v>0</v>
      </c>
      <c r="J501" s="19">
        <f t="shared" si="49"/>
        <v>0</v>
      </c>
      <c r="K501" s="19">
        <f t="shared" si="50"/>
        <v>0</v>
      </c>
      <c r="L501" s="19">
        <v>-6.6E-4</v>
      </c>
      <c r="M501" s="19">
        <v>-4.2199999999999998E-3</v>
      </c>
      <c r="N501" s="19">
        <v>-4.2199999999999998E-3</v>
      </c>
      <c r="O501" s="19">
        <v>-4.2599999999999999E-3</v>
      </c>
      <c r="P501" s="19">
        <v>-4.28E-3</v>
      </c>
      <c r="Q501" s="19"/>
      <c r="R501" s="19">
        <f t="shared" si="51"/>
        <v>0</v>
      </c>
      <c r="S501" s="19">
        <f t="shared" si="52"/>
        <v>0</v>
      </c>
      <c r="T501" s="19">
        <f t="shared" si="53"/>
        <v>0</v>
      </c>
      <c r="U501" s="19">
        <f t="shared" si="54"/>
        <v>0</v>
      </c>
      <c r="V501" s="21">
        <f t="shared" si="55"/>
        <v>0</v>
      </c>
    </row>
    <row r="502" spans="1:22" ht="13.5" x14ac:dyDescent="0.35">
      <c r="A502" s="18">
        <v>121744</v>
      </c>
      <c r="B502" s="19" t="s">
        <v>528</v>
      </c>
      <c r="C502" s="19">
        <v>13.8</v>
      </c>
      <c r="D502" s="19">
        <v>101</v>
      </c>
      <c r="E502" s="19">
        <v>1634</v>
      </c>
      <c r="F502" s="19">
        <v>0</v>
      </c>
      <c r="G502" s="19">
        <v>0</v>
      </c>
      <c r="H502" s="19">
        <v>0</v>
      </c>
      <c r="I502" s="20">
        <v>0</v>
      </c>
      <c r="J502" s="19">
        <f t="shared" si="49"/>
        <v>0</v>
      </c>
      <c r="K502" s="19">
        <f t="shared" si="50"/>
        <v>0</v>
      </c>
      <c r="L502" s="19">
        <v>-6.6E-4</v>
      </c>
      <c r="M502" s="19">
        <v>-2.64E-3</v>
      </c>
      <c r="N502" s="19">
        <v>-2.64E-3</v>
      </c>
      <c r="O502" s="19">
        <v>-2.6700000000000001E-3</v>
      </c>
      <c r="P502" s="19">
        <v>-2.7000000000000001E-3</v>
      </c>
      <c r="Q502" s="19"/>
      <c r="R502" s="19">
        <f t="shared" si="51"/>
        <v>0</v>
      </c>
      <c r="S502" s="19">
        <f t="shared" si="52"/>
        <v>0</v>
      </c>
      <c r="T502" s="19">
        <f t="shared" si="53"/>
        <v>0</v>
      </c>
      <c r="U502" s="19">
        <f t="shared" si="54"/>
        <v>0</v>
      </c>
      <c r="V502" s="21">
        <f t="shared" si="55"/>
        <v>0</v>
      </c>
    </row>
    <row r="503" spans="1:22" ht="13.5" x14ac:dyDescent="0.35">
      <c r="A503" s="18">
        <v>121788</v>
      </c>
      <c r="B503" s="19" t="s">
        <v>529</v>
      </c>
      <c r="C503" s="19">
        <v>4.16</v>
      </c>
      <c r="D503" s="19">
        <v>101</v>
      </c>
      <c r="E503" s="19">
        <v>1633</v>
      </c>
      <c r="F503" s="19">
        <v>0</v>
      </c>
      <c r="G503" s="19">
        <v>0</v>
      </c>
      <c r="H503" s="19">
        <v>0</v>
      </c>
      <c r="I503" s="20">
        <v>0</v>
      </c>
      <c r="J503" s="19">
        <f t="shared" si="49"/>
        <v>0</v>
      </c>
      <c r="K503" s="19">
        <f t="shared" si="50"/>
        <v>0</v>
      </c>
      <c r="L503" s="19">
        <v>-6.6E-4</v>
      </c>
      <c r="M503" s="19">
        <v>-5.1399999999999996E-3</v>
      </c>
      <c r="N503" s="19">
        <v>-5.1399999999999996E-3</v>
      </c>
      <c r="O503" s="19">
        <v>-5.1799999999999997E-3</v>
      </c>
      <c r="P503" s="19">
        <v>-5.1999999999999998E-3</v>
      </c>
      <c r="Q503" s="19"/>
      <c r="R503" s="19">
        <f t="shared" si="51"/>
        <v>0</v>
      </c>
      <c r="S503" s="19">
        <f t="shared" si="52"/>
        <v>0</v>
      </c>
      <c r="T503" s="19">
        <f t="shared" si="53"/>
        <v>0</v>
      </c>
      <c r="U503" s="19">
        <f t="shared" si="54"/>
        <v>0</v>
      </c>
      <c r="V503" s="21">
        <f t="shared" si="55"/>
        <v>0</v>
      </c>
    </row>
    <row r="504" spans="1:22" ht="13.5" x14ac:dyDescent="0.35">
      <c r="A504" s="18">
        <v>121835</v>
      </c>
      <c r="B504" s="19" t="s">
        <v>530</v>
      </c>
      <c r="C504" s="19">
        <v>13.8</v>
      </c>
      <c r="D504" s="19">
        <v>101</v>
      </c>
      <c r="E504" s="19">
        <v>1634</v>
      </c>
      <c r="F504" s="19">
        <v>0</v>
      </c>
      <c r="G504" s="19">
        <v>0</v>
      </c>
      <c r="H504" s="19">
        <v>0</v>
      </c>
      <c r="I504" s="20">
        <v>0</v>
      </c>
      <c r="J504" s="19">
        <f t="shared" si="49"/>
        <v>0</v>
      </c>
      <c r="K504" s="19">
        <f t="shared" si="50"/>
        <v>0</v>
      </c>
      <c r="L504" s="19">
        <v>-6.6E-4</v>
      </c>
      <c r="M504" s="19">
        <v>-4.9199999999999999E-3</v>
      </c>
      <c r="N504" s="19">
        <v>-4.9199999999999999E-3</v>
      </c>
      <c r="O504" s="19">
        <v>-4.96E-3</v>
      </c>
      <c r="P504" s="19">
        <v>-4.9800000000000001E-3</v>
      </c>
      <c r="Q504" s="19"/>
      <c r="R504" s="19">
        <f t="shared" si="51"/>
        <v>0</v>
      </c>
      <c r="S504" s="19">
        <f t="shared" si="52"/>
        <v>0</v>
      </c>
      <c r="T504" s="19">
        <f t="shared" si="53"/>
        <v>0</v>
      </c>
      <c r="U504" s="19">
        <f t="shared" si="54"/>
        <v>0</v>
      </c>
      <c r="V504" s="21">
        <f t="shared" si="55"/>
        <v>0</v>
      </c>
    </row>
    <row r="505" spans="1:22" ht="13.5" x14ac:dyDescent="0.35">
      <c r="A505" s="18">
        <v>121841</v>
      </c>
      <c r="B505" s="19" t="s">
        <v>531</v>
      </c>
      <c r="C505" s="19">
        <v>0.42</v>
      </c>
      <c r="D505" s="19">
        <v>101</v>
      </c>
      <c r="E505" s="19">
        <v>1653</v>
      </c>
      <c r="F505" s="19">
        <v>0</v>
      </c>
      <c r="G505" s="19">
        <v>0</v>
      </c>
      <c r="H505" s="19">
        <v>0</v>
      </c>
      <c r="I505" s="20">
        <v>0</v>
      </c>
      <c r="J505" s="19">
        <f t="shared" si="49"/>
        <v>0</v>
      </c>
      <c r="K505" s="19">
        <f t="shared" si="50"/>
        <v>0</v>
      </c>
      <c r="L505" s="19">
        <v>-6.6E-4</v>
      </c>
      <c r="M505" s="19">
        <v>-2.1199999999999999E-3</v>
      </c>
      <c r="N505" s="19">
        <v>-2.1199999999999999E-3</v>
      </c>
      <c r="O505" s="19">
        <v>-2.15E-3</v>
      </c>
      <c r="P505" s="19">
        <v>-2.1700000000000001E-3</v>
      </c>
      <c r="Q505" s="19"/>
      <c r="R505" s="19">
        <f t="shared" si="51"/>
        <v>0</v>
      </c>
      <c r="S505" s="19">
        <f t="shared" si="52"/>
        <v>0</v>
      </c>
      <c r="T505" s="19">
        <f t="shared" si="53"/>
        <v>0</v>
      </c>
      <c r="U505" s="19">
        <f t="shared" si="54"/>
        <v>0</v>
      </c>
      <c r="V505" s="21">
        <f t="shared" si="55"/>
        <v>0</v>
      </c>
    </row>
    <row r="506" spans="1:22" ht="13.5" x14ac:dyDescent="0.35">
      <c r="A506" s="18">
        <v>121852</v>
      </c>
      <c r="B506" s="19" t="s">
        <v>532</v>
      </c>
      <c r="C506" s="19">
        <v>2.4</v>
      </c>
      <c r="D506" s="19">
        <v>101</v>
      </c>
      <c r="E506" s="19">
        <v>1654</v>
      </c>
      <c r="F506" s="19">
        <v>0</v>
      </c>
      <c r="G506" s="19">
        <v>0</v>
      </c>
      <c r="H506" s="19">
        <v>0</v>
      </c>
      <c r="I506" s="20">
        <v>0</v>
      </c>
      <c r="J506" s="19">
        <f t="shared" si="49"/>
        <v>0</v>
      </c>
      <c r="K506" s="19">
        <f t="shared" si="50"/>
        <v>0</v>
      </c>
      <c r="L506" s="19">
        <v>-6.6E-4</v>
      </c>
      <c r="M506" s="19">
        <v>-3.3400000000000001E-3</v>
      </c>
      <c r="N506" s="19">
        <v>-3.3400000000000001E-3</v>
      </c>
      <c r="O506" s="19">
        <v>-3.3700000000000002E-3</v>
      </c>
      <c r="P506" s="19">
        <v>-3.3999999999999998E-3</v>
      </c>
      <c r="Q506" s="19"/>
      <c r="R506" s="19">
        <f t="shared" si="51"/>
        <v>0</v>
      </c>
      <c r="S506" s="19">
        <f t="shared" si="52"/>
        <v>0</v>
      </c>
      <c r="T506" s="19">
        <f t="shared" si="53"/>
        <v>0</v>
      </c>
      <c r="U506" s="19">
        <f t="shared" si="54"/>
        <v>0</v>
      </c>
      <c r="V506" s="21">
        <f t="shared" si="55"/>
        <v>0</v>
      </c>
    </row>
    <row r="507" spans="1:22" ht="13.5" x14ac:dyDescent="0.35">
      <c r="A507" s="18">
        <v>121860</v>
      </c>
      <c r="B507" s="19" t="s">
        <v>533</v>
      </c>
      <c r="C507" s="19">
        <v>13.8</v>
      </c>
      <c r="D507" s="19">
        <v>101</v>
      </c>
      <c r="E507" s="19">
        <v>1654</v>
      </c>
      <c r="F507" s="19">
        <v>0</v>
      </c>
      <c r="G507" s="19">
        <v>0</v>
      </c>
      <c r="H507" s="19">
        <v>0</v>
      </c>
      <c r="I507" s="20">
        <v>0</v>
      </c>
      <c r="J507" s="19">
        <f t="shared" si="49"/>
        <v>0</v>
      </c>
      <c r="K507" s="19">
        <f t="shared" si="50"/>
        <v>0</v>
      </c>
      <c r="L507" s="19">
        <v>-6.6E-4</v>
      </c>
      <c r="M507" s="19">
        <v>-3.3400000000000001E-3</v>
      </c>
      <c r="N507" s="19">
        <v>-3.3400000000000001E-3</v>
      </c>
      <c r="O507" s="19">
        <v>-3.3700000000000002E-3</v>
      </c>
      <c r="P507" s="19">
        <v>-3.3999999999999998E-3</v>
      </c>
      <c r="Q507" s="19"/>
      <c r="R507" s="19">
        <f t="shared" si="51"/>
        <v>0</v>
      </c>
      <c r="S507" s="19">
        <f t="shared" si="52"/>
        <v>0</v>
      </c>
      <c r="T507" s="19">
        <f t="shared" si="53"/>
        <v>0</v>
      </c>
      <c r="U507" s="19">
        <f t="shared" si="54"/>
        <v>0</v>
      </c>
      <c r="V507" s="21">
        <f t="shared" si="55"/>
        <v>0</v>
      </c>
    </row>
    <row r="508" spans="1:22" ht="13.5" x14ac:dyDescent="0.35">
      <c r="A508" s="18">
        <v>121865</v>
      </c>
      <c r="B508" s="19" t="s">
        <v>534</v>
      </c>
      <c r="C508" s="19">
        <v>13.8</v>
      </c>
      <c r="D508" s="19">
        <v>101</v>
      </c>
      <c r="E508" s="19">
        <v>1653</v>
      </c>
      <c r="F508" s="19">
        <v>36.06</v>
      </c>
      <c r="G508" s="19">
        <v>0</v>
      </c>
      <c r="H508" s="19">
        <v>36.06</v>
      </c>
      <c r="I508" s="20">
        <v>36.06</v>
      </c>
      <c r="J508" s="19">
        <f t="shared" si="49"/>
        <v>0</v>
      </c>
      <c r="K508" s="19">
        <f t="shared" si="50"/>
        <v>0</v>
      </c>
      <c r="L508" s="19">
        <v>-6.6E-4</v>
      </c>
      <c r="M508" s="19">
        <v>-3.3400000000000001E-3</v>
      </c>
      <c r="N508" s="19">
        <v>-3.3400000000000001E-3</v>
      </c>
      <c r="O508" s="19">
        <v>-3.3700000000000002E-3</v>
      </c>
      <c r="P508" s="19">
        <v>-3.3999999999999998E-3</v>
      </c>
      <c r="Q508" s="19"/>
      <c r="R508" s="19">
        <f t="shared" si="51"/>
        <v>0</v>
      </c>
      <c r="S508" s="19">
        <f t="shared" si="52"/>
        <v>0</v>
      </c>
      <c r="T508" s="19">
        <f t="shared" si="53"/>
        <v>0</v>
      </c>
      <c r="U508" s="19">
        <f t="shared" si="54"/>
        <v>0</v>
      </c>
      <c r="V508" s="21">
        <f t="shared" si="55"/>
        <v>0</v>
      </c>
    </row>
    <row r="509" spans="1:22" ht="13.5" x14ac:dyDescent="0.35">
      <c r="A509" s="18">
        <v>121931</v>
      </c>
      <c r="B509" s="19" t="s">
        <v>535</v>
      </c>
      <c r="C509" s="19">
        <v>23</v>
      </c>
      <c r="D509" s="19">
        <v>101</v>
      </c>
      <c r="E509" s="19">
        <v>1672</v>
      </c>
      <c r="F509" s="19">
        <v>0</v>
      </c>
      <c r="G509" s="19">
        <v>0</v>
      </c>
      <c r="H509" s="19">
        <v>0</v>
      </c>
      <c r="I509" s="20">
        <v>0</v>
      </c>
      <c r="J509" s="19">
        <f t="shared" si="49"/>
        <v>0</v>
      </c>
      <c r="K509" s="19">
        <f t="shared" si="50"/>
        <v>0</v>
      </c>
      <c r="L509" s="19">
        <v>-6.6E-4</v>
      </c>
      <c r="M509" s="19">
        <v>-3.46E-3</v>
      </c>
      <c r="N509" s="19">
        <v>-3.46E-3</v>
      </c>
      <c r="O509" s="19">
        <v>-3.49E-3</v>
      </c>
      <c r="P509" s="19">
        <v>-3.5200000000000001E-3</v>
      </c>
      <c r="Q509" s="19"/>
      <c r="R509" s="19">
        <f t="shared" si="51"/>
        <v>0</v>
      </c>
      <c r="S509" s="19">
        <f t="shared" si="52"/>
        <v>0</v>
      </c>
      <c r="T509" s="19">
        <f t="shared" si="53"/>
        <v>0</v>
      </c>
      <c r="U509" s="19">
        <f t="shared" si="54"/>
        <v>0</v>
      </c>
      <c r="V509" s="21">
        <f t="shared" si="55"/>
        <v>0</v>
      </c>
    </row>
    <row r="510" spans="1:22" ht="13.5" x14ac:dyDescent="0.35">
      <c r="A510" s="18">
        <v>121943</v>
      </c>
      <c r="B510" s="19" t="s">
        <v>536</v>
      </c>
      <c r="C510" s="19">
        <v>11.5</v>
      </c>
      <c r="D510" s="19">
        <v>101</v>
      </c>
      <c r="E510" s="19">
        <v>1673</v>
      </c>
      <c r="F510" s="19">
        <v>0</v>
      </c>
      <c r="G510" s="19">
        <v>0</v>
      </c>
      <c r="H510" s="19">
        <v>0</v>
      </c>
      <c r="I510" s="20">
        <v>0</v>
      </c>
      <c r="J510" s="19">
        <f t="shared" si="49"/>
        <v>0</v>
      </c>
      <c r="K510" s="19">
        <f t="shared" si="50"/>
        <v>0</v>
      </c>
      <c r="L510" s="19">
        <v>-6.6E-4</v>
      </c>
      <c r="M510" s="19">
        <v>-3.46E-3</v>
      </c>
      <c r="N510" s="19">
        <v>-3.46E-3</v>
      </c>
      <c r="O510" s="19">
        <v>-3.49E-3</v>
      </c>
      <c r="P510" s="19">
        <v>-3.5100000000000001E-3</v>
      </c>
      <c r="Q510" s="19"/>
      <c r="R510" s="19">
        <f t="shared" si="51"/>
        <v>0</v>
      </c>
      <c r="S510" s="19">
        <f t="shared" si="52"/>
        <v>0</v>
      </c>
      <c r="T510" s="19">
        <f t="shared" si="53"/>
        <v>0</v>
      </c>
      <c r="U510" s="19">
        <f t="shared" si="54"/>
        <v>0</v>
      </c>
      <c r="V510" s="21">
        <f t="shared" si="55"/>
        <v>0</v>
      </c>
    </row>
    <row r="511" spans="1:22" ht="13.5" x14ac:dyDescent="0.35">
      <c r="A511" s="18">
        <v>121944</v>
      </c>
      <c r="B511" s="19" t="s">
        <v>537</v>
      </c>
      <c r="C511" s="19">
        <v>11.5</v>
      </c>
      <c r="D511" s="19">
        <v>101</v>
      </c>
      <c r="E511" s="19">
        <v>1673</v>
      </c>
      <c r="F511" s="19">
        <v>29.7</v>
      </c>
      <c r="G511" s="19">
        <v>0</v>
      </c>
      <c r="H511" s="19">
        <v>29.7</v>
      </c>
      <c r="I511" s="20">
        <v>29.7</v>
      </c>
      <c r="J511" s="19">
        <f t="shared" si="49"/>
        <v>0</v>
      </c>
      <c r="K511" s="19">
        <f t="shared" si="50"/>
        <v>0</v>
      </c>
      <c r="L511" s="19">
        <v>-6.6E-4</v>
      </c>
      <c r="M511" s="19">
        <v>-3.46E-3</v>
      </c>
      <c r="N511" s="19">
        <v>-3.46E-3</v>
      </c>
      <c r="O511" s="19">
        <v>-3.49E-3</v>
      </c>
      <c r="P511" s="19">
        <v>-3.5100000000000001E-3</v>
      </c>
      <c r="Q511" s="19"/>
      <c r="R511" s="19">
        <f t="shared" si="51"/>
        <v>0</v>
      </c>
      <c r="S511" s="19">
        <f t="shared" si="52"/>
        <v>0</v>
      </c>
      <c r="T511" s="19">
        <f t="shared" si="53"/>
        <v>0</v>
      </c>
      <c r="U511" s="19">
        <f t="shared" si="54"/>
        <v>0</v>
      </c>
      <c r="V511" s="21">
        <f t="shared" si="55"/>
        <v>0</v>
      </c>
    </row>
    <row r="512" spans="1:22" ht="13.5" x14ac:dyDescent="0.35">
      <c r="A512" s="18">
        <v>121964</v>
      </c>
      <c r="B512" s="19" t="s">
        <v>538</v>
      </c>
      <c r="C512" s="19">
        <v>13.8</v>
      </c>
      <c r="D512" s="19">
        <v>101</v>
      </c>
      <c r="E512" s="19">
        <v>1673</v>
      </c>
      <c r="F512" s="19">
        <v>0</v>
      </c>
      <c r="G512" s="19">
        <v>0</v>
      </c>
      <c r="H512" s="19">
        <v>0</v>
      </c>
      <c r="I512" s="20">
        <v>0</v>
      </c>
      <c r="J512" s="19">
        <f t="shared" si="49"/>
        <v>0</v>
      </c>
      <c r="K512" s="19">
        <f t="shared" si="50"/>
        <v>0</v>
      </c>
      <c r="L512" s="19">
        <v>-6.6E-4</v>
      </c>
      <c r="M512" s="19">
        <v>-3.4099999999999998E-3</v>
      </c>
      <c r="N512" s="19">
        <v>-3.4099999999999998E-3</v>
      </c>
      <c r="O512" s="19">
        <v>-3.4399999999999999E-3</v>
      </c>
      <c r="P512" s="19">
        <v>-3.46E-3</v>
      </c>
      <c r="Q512" s="19"/>
      <c r="R512" s="19">
        <f t="shared" si="51"/>
        <v>0</v>
      </c>
      <c r="S512" s="19">
        <f t="shared" si="52"/>
        <v>0</v>
      </c>
      <c r="T512" s="19">
        <f t="shared" si="53"/>
        <v>0</v>
      </c>
      <c r="U512" s="19">
        <f t="shared" si="54"/>
        <v>0</v>
      </c>
      <c r="V512" s="21">
        <f t="shared" si="55"/>
        <v>0</v>
      </c>
    </row>
    <row r="513" spans="1:22" ht="13.5" x14ac:dyDescent="0.35">
      <c r="A513" s="18">
        <v>121965</v>
      </c>
      <c r="B513" s="19" t="s">
        <v>539</v>
      </c>
      <c r="C513" s="19">
        <v>13.2</v>
      </c>
      <c r="D513" s="19">
        <v>101</v>
      </c>
      <c r="E513" s="19">
        <v>1673</v>
      </c>
      <c r="F513" s="19">
        <v>0</v>
      </c>
      <c r="G513" s="19">
        <v>0</v>
      </c>
      <c r="H513" s="19">
        <v>0</v>
      </c>
      <c r="I513" s="20">
        <v>0</v>
      </c>
      <c r="J513" s="19">
        <f t="shared" si="49"/>
        <v>0</v>
      </c>
      <c r="K513" s="19">
        <f t="shared" si="50"/>
        <v>0</v>
      </c>
      <c r="L513" s="19">
        <v>-6.6E-4</v>
      </c>
      <c r="M513" s="19">
        <v>-3.4099999999999998E-3</v>
      </c>
      <c r="N513" s="19">
        <v>-3.4099999999999998E-3</v>
      </c>
      <c r="O513" s="19">
        <v>-3.4399999999999999E-3</v>
      </c>
      <c r="P513" s="19">
        <v>-3.46E-3</v>
      </c>
      <c r="Q513" s="19"/>
      <c r="R513" s="19">
        <f t="shared" si="51"/>
        <v>0</v>
      </c>
      <c r="S513" s="19">
        <f t="shared" si="52"/>
        <v>0</v>
      </c>
      <c r="T513" s="19">
        <f t="shared" si="53"/>
        <v>0</v>
      </c>
      <c r="U513" s="19">
        <f t="shared" si="54"/>
        <v>0</v>
      </c>
      <c r="V513" s="21">
        <f t="shared" si="55"/>
        <v>0</v>
      </c>
    </row>
    <row r="514" spans="1:22" ht="13.5" x14ac:dyDescent="0.35">
      <c r="A514" s="18">
        <v>122030</v>
      </c>
      <c r="B514" s="19" t="s">
        <v>540</v>
      </c>
      <c r="C514" s="19">
        <v>16.5</v>
      </c>
      <c r="D514" s="19">
        <v>101</v>
      </c>
      <c r="E514" s="19">
        <v>1713</v>
      </c>
      <c r="F514" s="19">
        <v>180.65</v>
      </c>
      <c r="G514" s="19">
        <v>0</v>
      </c>
      <c r="H514" s="19">
        <v>180.65</v>
      </c>
      <c r="I514" s="20">
        <f>180.65</f>
        <v>180.65</v>
      </c>
      <c r="J514" s="19">
        <f t="shared" si="49"/>
        <v>0</v>
      </c>
      <c r="K514" s="19">
        <f t="shared" si="50"/>
        <v>0</v>
      </c>
      <c r="L514" s="19">
        <v>-6.6E-4</v>
      </c>
      <c r="M514" s="19">
        <v>-3.7399999999999998E-3</v>
      </c>
      <c r="N514" s="19">
        <v>-3.7399999999999998E-3</v>
      </c>
      <c r="O514" s="19">
        <v>-3.7699999999999999E-3</v>
      </c>
      <c r="P514" s="19">
        <v>-3.79E-3</v>
      </c>
      <c r="Q514" s="19"/>
      <c r="R514" s="19">
        <f t="shared" si="51"/>
        <v>0</v>
      </c>
      <c r="S514" s="19">
        <f t="shared" si="52"/>
        <v>0</v>
      </c>
      <c r="T514" s="19">
        <f t="shared" si="53"/>
        <v>0</v>
      </c>
      <c r="U514" s="19">
        <f t="shared" si="54"/>
        <v>0</v>
      </c>
      <c r="V514" s="21">
        <f t="shared" si="55"/>
        <v>0</v>
      </c>
    </row>
    <row r="515" spans="1:22" ht="13.5" x14ac:dyDescent="0.35">
      <c r="A515" s="18">
        <v>122031</v>
      </c>
      <c r="B515" s="19" t="s">
        <v>541</v>
      </c>
      <c r="C515" s="19">
        <v>16.5</v>
      </c>
      <c r="D515" s="19">
        <v>101</v>
      </c>
      <c r="E515" s="19">
        <v>1713</v>
      </c>
      <c r="F515" s="19">
        <v>0</v>
      </c>
      <c r="G515" s="19">
        <v>0</v>
      </c>
      <c r="H515" s="19">
        <v>0</v>
      </c>
      <c r="I515" s="20">
        <v>0</v>
      </c>
      <c r="J515" s="19">
        <f t="shared" si="49"/>
        <v>0</v>
      </c>
      <c r="K515" s="19">
        <f t="shared" si="50"/>
        <v>0</v>
      </c>
      <c r="L515" s="19">
        <v>-6.6E-4</v>
      </c>
      <c r="M515" s="19">
        <v>-3.7399999999999998E-3</v>
      </c>
      <c r="N515" s="19">
        <v>-3.7399999999999998E-3</v>
      </c>
      <c r="O515" s="19">
        <v>-3.7699999999999999E-3</v>
      </c>
      <c r="P515" s="19">
        <v>-3.79E-3</v>
      </c>
      <c r="Q515" s="19"/>
      <c r="R515" s="19">
        <f t="shared" si="51"/>
        <v>0</v>
      </c>
      <c r="S515" s="19">
        <f t="shared" si="52"/>
        <v>0</v>
      </c>
      <c r="T515" s="19">
        <f t="shared" si="53"/>
        <v>0</v>
      </c>
      <c r="U515" s="19">
        <f t="shared" si="54"/>
        <v>0</v>
      </c>
      <c r="V515" s="21">
        <f t="shared" si="55"/>
        <v>0</v>
      </c>
    </row>
    <row r="516" spans="1:22" ht="13.5" x14ac:dyDescent="0.35">
      <c r="A516" s="18">
        <v>122032</v>
      </c>
      <c r="B516" s="19" t="s">
        <v>542</v>
      </c>
      <c r="C516" s="19">
        <v>18</v>
      </c>
      <c r="D516" s="19">
        <v>101</v>
      </c>
      <c r="E516" s="19">
        <v>1713</v>
      </c>
      <c r="F516" s="19">
        <v>121.65</v>
      </c>
      <c r="G516" s="19">
        <v>0</v>
      </c>
      <c r="H516" s="19">
        <v>258.7</v>
      </c>
      <c r="I516" s="20">
        <v>121.65</v>
      </c>
      <c r="J516" s="19">
        <f t="shared" si="49"/>
        <v>0</v>
      </c>
      <c r="K516" s="19">
        <f t="shared" si="50"/>
        <v>137.04999999999998</v>
      </c>
      <c r="L516" s="19">
        <v>-6.6E-4</v>
      </c>
      <c r="M516" s="19">
        <v>-3.7399999999999998E-3</v>
      </c>
      <c r="N516" s="19">
        <v>-3.7399999999999998E-3</v>
      </c>
      <c r="O516" s="19">
        <v>-3.7699999999999999E-3</v>
      </c>
      <c r="P516" s="19">
        <v>-3.79E-3</v>
      </c>
      <c r="Q516" s="19"/>
      <c r="R516" s="19">
        <f t="shared" si="51"/>
        <v>0</v>
      </c>
      <c r="S516" s="19">
        <f t="shared" si="52"/>
        <v>0</v>
      </c>
      <c r="T516" s="19">
        <f t="shared" si="53"/>
        <v>0</v>
      </c>
      <c r="U516" s="19">
        <f t="shared" si="54"/>
        <v>0</v>
      </c>
      <c r="V516" s="21">
        <f t="shared" si="55"/>
        <v>0</v>
      </c>
    </row>
    <row r="517" spans="1:22" ht="13.5" x14ac:dyDescent="0.35">
      <c r="A517" s="18">
        <v>122041</v>
      </c>
      <c r="B517" s="19" t="s">
        <v>543</v>
      </c>
      <c r="C517" s="19">
        <v>13.8</v>
      </c>
      <c r="D517" s="19">
        <v>101</v>
      </c>
      <c r="E517" s="19">
        <v>1713</v>
      </c>
      <c r="F517" s="19">
        <v>0</v>
      </c>
      <c r="G517" s="19">
        <v>0</v>
      </c>
      <c r="H517" s="19">
        <v>0</v>
      </c>
      <c r="I517" s="20">
        <v>0</v>
      </c>
      <c r="J517" s="19">
        <f t="shared" si="49"/>
        <v>0</v>
      </c>
      <c r="K517" s="19">
        <f t="shared" si="50"/>
        <v>0</v>
      </c>
      <c r="L517" s="19">
        <v>-6.6E-4</v>
      </c>
      <c r="M517" s="19">
        <v>-3.6800000000000001E-3</v>
      </c>
      <c r="N517" s="19">
        <v>-3.6800000000000001E-3</v>
      </c>
      <c r="O517" s="19">
        <v>-3.7100000000000002E-3</v>
      </c>
      <c r="P517" s="19">
        <v>-3.7399999999999998E-3</v>
      </c>
      <c r="Q517" s="19"/>
      <c r="R517" s="19">
        <f t="shared" si="51"/>
        <v>0</v>
      </c>
      <c r="S517" s="19">
        <f t="shared" si="52"/>
        <v>0</v>
      </c>
      <c r="T517" s="19">
        <f t="shared" si="53"/>
        <v>0</v>
      </c>
      <c r="U517" s="19">
        <f t="shared" si="54"/>
        <v>0</v>
      </c>
      <c r="V517" s="21">
        <f t="shared" si="55"/>
        <v>0</v>
      </c>
    </row>
    <row r="518" spans="1:22" ht="13.5" x14ac:dyDescent="0.35">
      <c r="A518" s="18">
        <v>122042</v>
      </c>
      <c r="B518" s="19" t="s">
        <v>544</v>
      </c>
      <c r="C518" s="19">
        <v>22</v>
      </c>
      <c r="D518" s="19">
        <v>101</v>
      </c>
      <c r="E518" s="19">
        <v>1713</v>
      </c>
      <c r="F518" s="19">
        <v>231</v>
      </c>
      <c r="G518" s="19">
        <v>0</v>
      </c>
      <c r="H518" s="19">
        <v>231.71</v>
      </c>
      <c r="I518" s="20">
        <f>231</f>
        <v>231</v>
      </c>
      <c r="J518" s="19">
        <f t="shared" si="49"/>
        <v>0</v>
      </c>
      <c r="K518" s="19">
        <f t="shared" si="50"/>
        <v>0.71000000000000796</v>
      </c>
      <c r="L518" s="19">
        <v>-6.6E-4</v>
      </c>
      <c r="M518" s="19">
        <v>-3.6800000000000001E-3</v>
      </c>
      <c r="N518" s="19">
        <v>-3.6800000000000001E-3</v>
      </c>
      <c r="O518" s="19">
        <v>-3.7100000000000002E-3</v>
      </c>
      <c r="P518" s="19">
        <v>-3.7399999999999998E-3</v>
      </c>
      <c r="Q518" s="19"/>
      <c r="R518" s="19">
        <f t="shared" si="51"/>
        <v>0</v>
      </c>
      <c r="S518" s="19">
        <f t="shared" si="52"/>
        <v>0</v>
      </c>
      <c r="T518" s="19">
        <f t="shared" si="53"/>
        <v>0</v>
      </c>
      <c r="U518" s="19">
        <f t="shared" si="54"/>
        <v>0</v>
      </c>
      <c r="V518" s="21">
        <f t="shared" si="55"/>
        <v>0</v>
      </c>
    </row>
    <row r="519" spans="1:22" ht="13.5" x14ac:dyDescent="0.35">
      <c r="A519" s="18">
        <v>122043</v>
      </c>
      <c r="B519" s="19" t="s">
        <v>545</v>
      </c>
      <c r="C519" s="19">
        <v>22</v>
      </c>
      <c r="D519" s="19">
        <v>101</v>
      </c>
      <c r="E519" s="19">
        <v>1713</v>
      </c>
      <c r="F519" s="19">
        <v>402</v>
      </c>
      <c r="G519" s="19">
        <v>0</v>
      </c>
      <c r="H519" s="19">
        <v>402</v>
      </c>
      <c r="I519" s="20">
        <v>402</v>
      </c>
      <c r="J519" s="19">
        <f t="shared" si="49"/>
        <v>0</v>
      </c>
      <c r="K519" s="19">
        <f t="shared" si="50"/>
        <v>0</v>
      </c>
      <c r="L519" s="19">
        <v>-6.6E-4</v>
      </c>
      <c r="M519" s="19">
        <v>-3.7599999999999999E-3</v>
      </c>
      <c r="N519" s="19">
        <v>-3.7599999999999999E-3</v>
      </c>
      <c r="O519" s="19">
        <v>-3.79E-3</v>
      </c>
      <c r="P519" s="19">
        <v>-3.82E-3</v>
      </c>
      <c r="Q519" s="19"/>
      <c r="R519" s="19">
        <f t="shared" si="51"/>
        <v>0</v>
      </c>
      <c r="S519" s="19">
        <f t="shared" si="52"/>
        <v>0</v>
      </c>
      <c r="T519" s="19">
        <f t="shared" si="53"/>
        <v>0</v>
      </c>
      <c r="U519" s="19">
        <f t="shared" si="54"/>
        <v>0</v>
      </c>
      <c r="V519" s="21">
        <f t="shared" si="55"/>
        <v>0</v>
      </c>
    </row>
    <row r="520" spans="1:22" ht="13.5" x14ac:dyDescent="0.35">
      <c r="A520" s="18">
        <v>122044</v>
      </c>
      <c r="B520" s="19" t="s">
        <v>546</v>
      </c>
      <c r="C520" s="19">
        <v>13.2</v>
      </c>
      <c r="D520" s="19">
        <v>101</v>
      </c>
      <c r="E520" s="19">
        <v>1713</v>
      </c>
      <c r="F520" s="19">
        <v>0</v>
      </c>
      <c r="G520" s="19">
        <v>0</v>
      </c>
      <c r="H520" s="19">
        <v>0</v>
      </c>
      <c r="I520" s="20">
        <v>0</v>
      </c>
      <c r="J520" s="19">
        <f t="shared" si="49"/>
        <v>0</v>
      </c>
      <c r="K520" s="19">
        <f t="shared" si="50"/>
        <v>0</v>
      </c>
      <c r="L520" s="19">
        <v>-6.6E-4</v>
      </c>
      <c r="M520" s="19">
        <v>-3.6800000000000001E-3</v>
      </c>
      <c r="N520" s="19">
        <v>-3.6800000000000001E-3</v>
      </c>
      <c r="O520" s="19">
        <v>-3.7100000000000002E-3</v>
      </c>
      <c r="P520" s="19">
        <v>-3.7399999999999998E-3</v>
      </c>
      <c r="Q520" s="19"/>
      <c r="R520" s="19">
        <f t="shared" si="51"/>
        <v>0</v>
      </c>
      <c r="S520" s="19">
        <f t="shared" si="52"/>
        <v>0</v>
      </c>
      <c r="T520" s="19">
        <f t="shared" si="53"/>
        <v>0</v>
      </c>
      <c r="U520" s="19">
        <f t="shared" si="54"/>
        <v>0</v>
      </c>
      <c r="V520" s="21">
        <f t="shared" si="55"/>
        <v>0</v>
      </c>
    </row>
    <row r="521" spans="1:22" ht="13.5" x14ac:dyDescent="0.35">
      <c r="A521" s="18">
        <v>122046</v>
      </c>
      <c r="B521" s="19" t="s">
        <v>547</v>
      </c>
      <c r="C521" s="19">
        <v>13.8</v>
      </c>
      <c r="D521" s="19">
        <v>101</v>
      </c>
      <c r="E521" s="19">
        <v>1713</v>
      </c>
      <c r="F521" s="19">
        <v>46.9</v>
      </c>
      <c r="G521" s="19">
        <v>0</v>
      </c>
      <c r="H521" s="19">
        <v>46.9</v>
      </c>
      <c r="I521" s="20">
        <v>46.9</v>
      </c>
      <c r="J521" s="19">
        <f t="shared" si="49"/>
        <v>0</v>
      </c>
      <c r="K521" s="19">
        <f t="shared" si="50"/>
        <v>0</v>
      </c>
      <c r="L521" s="19">
        <v>-6.6E-4</v>
      </c>
      <c r="M521" s="19">
        <v>-3.7599999999999999E-3</v>
      </c>
      <c r="N521" s="19">
        <v>-3.7599999999999999E-3</v>
      </c>
      <c r="O521" s="19">
        <v>-3.79E-3</v>
      </c>
      <c r="P521" s="19">
        <v>-3.82E-3</v>
      </c>
      <c r="Q521" s="19"/>
      <c r="R521" s="19">
        <f t="shared" si="51"/>
        <v>0</v>
      </c>
      <c r="S521" s="19">
        <f t="shared" si="52"/>
        <v>0</v>
      </c>
      <c r="T521" s="19">
        <f t="shared" si="53"/>
        <v>0</v>
      </c>
      <c r="U521" s="19">
        <f t="shared" si="54"/>
        <v>0</v>
      </c>
      <c r="V521" s="21">
        <f t="shared" si="55"/>
        <v>0</v>
      </c>
    </row>
    <row r="522" spans="1:22" ht="13.5" x14ac:dyDescent="0.35">
      <c r="A522" s="18">
        <v>122047</v>
      </c>
      <c r="B522" s="19" t="s">
        <v>548</v>
      </c>
      <c r="C522" s="19">
        <v>13.8</v>
      </c>
      <c r="D522" s="19">
        <v>101</v>
      </c>
      <c r="E522" s="19">
        <v>1713</v>
      </c>
      <c r="F522" s="19">
        <v>46.9</v>
      </c>
      <c r="G522" s="19">
        <v>0</v>
      </c>
      <c r="H522" s="19">
        <v>46.9</v>
      </c>
      <c r="I522" s="20">
        <v>46.9</v>
      </c>
      <c r="J522" s="19">
        <f t="shared" si="49"/>
        <v>0</v>
      </c>
      <c r="K522" s="19">
        <f t="shared" si="50"/>
        <v>0</v>
      </c>
      <c r="L522" s="19">
        <v>-6.6E-4</v>
      </c>
      <c r="M522" s="19">
        <v>-3.7599999999999999E-3</v>
      </c>
      <c r="N522" s="19">
        <v>-3.7599999999999999E-3</v>
      </c>
      <c r="O522" s="19">
        <v>-3.79E-3</v>
      </c>
      <c r="P522" s="19">
        <v>-3.82E-3</v>
      </c>
      <c r="Q522" s="19"/>
      <c r="R522" s="19">
        <f t="shared" si="51"/>
        <v>0</v>
      </c>
      <c r="S522" s="19">
        <f t="shared" si="52"/>
        <v>0</v>
      </c>
      <c r="T522" s="19">
        <f t="shared" si="53"/>
        <v>0</v>
      </c>
      <c r="U522" s="19">
        <f t="shared" si="54"/>
        <v>0</v>
      </c>
      <c r="V522" s="21">
        <f t="shared" si="55"/>
        <v>0</v>
      </c>
    </row>
    <row r="523" spans="1:22" ht="13.5" x14ac:dyDescent="0.35">
      <c r="A523" s="18">
        <v>122048</v>
      </c>
      <c r="B523" s="19" t="s">
        <v>549</v>
      </c>
      <c r="C523" s="19">
        <v>13.8</v>
      </c>
      <c r="D523" s="19">
        <v>101</v>
      </c>
      <c r="E523" s="19">
        <v>1713</v>
      </c>
      <c r="F523" s="19">
        <v>46.9</v>
      </c>
      <c r="G523" s="19">
        <v>0</v>
      </c>
      <c r="H523" s="19">
        <v>46.9</v>
      </c>
      <c r="I523" s="20">
        <v>46.9</v>
      </c>
      <c r="J523" s="19">
        <f t="shared" si="49"/>
        <v>0</v>
      </c>
      <c r="K523" s="19">
        <f t="shared" si="50"/>
        <v>0</v>
      </c>
      <c r="L523" s="19">
        <v>-6.6E-4</v>
      </c>
      <c r="M523" s="19">
        <v>-3.7599999999999999E-3</v>
      </c>
      <c r="N523" s="19">
        <v>-3.7599999999999999E-3</v>
      </c>
      <c r="O523" s="19">
        <v>-3.79E-3</v>
      </c>
      <c r="P523" s="19">
        <v>-3.82E-3</v>
      </c>
      <c r="Q523" s="19"/>
      <c r="R523" s="19">
        <f t="shared" si="51"/>
        <v>0</v>
      </c>
      <c r="S523" s="19">
        <f t="shared" si="52"/>
        <v>0</v>
      </c>
      <c r="T523" s="19">
        <f t="shared" si="53"/>
        <v>0</v>
      </c>
      <c r="U523" s="19">
        <f t="shared" si="54"/>
        <v>0</v>
      </c>
      <c r="V523" s="21">
        <f t="shared" si="55"/>
        <v>0</v>
      </c>
    </row>
    <row r="524" spans="1:22" ht="13.5" x14ac:dyDescent="0.35">
      <c r="A524" s="18">
        <v>122049</v>
      </c>
      <c r="B524" s="19" t="s">
        <v>550</v>
      </c>
      <c r="C524" s="19">
        <v>13.8</v>
      </c>
      <c r="D524" s="19">
        <v>101</v>
      </c>
      <c r="E524" s="19">
        <v>1713</v>
      </c>
      <c r="F524" s="19">
        <v>46.9</v>
      </c>
      <c r="G524" s="19">
        <v>0</v>
      </c>
      <c r="H524" s="19">
        <v>46.9</v>
      </c>
      <c r="I524" s="20">
        <v>46.9</v>
      </c>
      <c r="J524" s="19">
        <f t="shared" si="49"/>
        <v>0</v>
      </c>
      <c r="K524" s="19">
        <f t="shared" si="50"/>
        <v>0</v>
      </c>
      <c r="L524" s="19">
        <v>-6.6E-4</v>
      </c>
      <c r="M524" s="19">
        <v>-3.7599999999999999E-3</v>
      </c>
      <c r="N524" s="19">
        <v>-3.7599999999999999E-3</v>
      </c>
      <c r="O524" s="19">
        <v>-3.79E-3</v>
      </c>
      <c r="P524" s="19">
        <v>-3.82E-3</v>
      </c>
      <c r="Q524" s="19"/>
      <c r="R524" s="19">
        <f t="shared" si="51"/>
        <v>0</v>
      </c>
      <c r="S524" s="19">
        <f t="shared" si="52"/>
        <v>0</v>
      </c>
      <c r="T524" s="19">
        <f t="shared" si="53"/>
        <v>0</v>
      </c>
      <c r="U524" s="19">
        <f t="shared" si="54"/>
        <v>0</v>
      </c>
      <c r="V524" s="21">
        <f t="shared" si="55"/>
        <v>0</v>
      </c>
    </row>
    <row r="525" spans="1:22" ht="13.5" x14ac:dyDescent="0.35">
      <c r="A525" s="18">
        <v>122154</v>
      </c>
      <c r="B525" s="19" t="s">
        <v>551</v>
      </c>
      <c r="C525" s="19">
        <v>0.38</v>
      </c>
      <c r="D525" s="19">
        <v>101</v>
      </c>
      <c r="E525" s="19">
        <v>1694</v>
      </c>
      <c r="F525" s="19">
        <v>0</v>
      </c>
      <c r="G525" s="19">
        <v>0</v>
      </c>
      <c r="H525" s="19">
        <v>0</v>
      </c>
      <c r="I525" s="20">
        <v>0</v>
      </c>
      <c r="J525" s="19">
        <f t="shared" si="49"/>
        <v>0</v>
      </c>
      <c r="K525" s="19">
        <f t="shared" si="50"/>
        <v>0</v>
      </c>
      <c r="L525" s="19">
        <v>-6.6E-4</v>
      </c>
      <c r="M525" s="19">
        <v>-3.31E-3</v>
      </c>
      <c r="N525" s="19">
        <v>-3.31E-3</v>
      </c>
      <c r="O525" s="19">
        <v>-3.3400000000000001E-3</v>
      </c>
      <c r="P525" s="19">
        <v>-3.3700000000000002E-3</v>
      </c>
      <c r="Q525" s="19"/>
      <c r="R525" s="19">
        <f t="shared" si="51"/>
        <v>0</v>
      </c>
      <c r="S525" s="19">
        <f t="shared" si="52"/>
        <v>0</v>
      </c>
      <c r="T525" s="19">
        <f t="shared" si="53"/>
        <v>0</v>
      </c>
      <c r="U525" s="19">
        <f t="shared" si="54"/>
        <v>0</v>
      </c>
      <c r="V525" s="21">
        <f t="shared" si="55"/>
        <v>0</v>
      </c>
    </row>
    <row r="526" spans="1:22" ht="13.5" x14ac:dyDescent="0.35">
      <c r="A526" s="18">
        <v>122173</v>
      </c>
      <c r="B526" s="19" t="s">
        <v>552</v>
      </c>
      <c r="C526" s="19">
        <v>13.2</v>
      </c>
      <c r="D526" s="19">
        <v>101</v>
      </c>
      <c r="E526" s="19">
        <v>1692</v>
      </c>
      <c r="F526" s="19">
        <v>0</v>
      </c>
      <c r="G526" s="19">
        <v>0</v>
      </c>
      <c r="H526" s="19">
        <v>0</v>
      </c>
      <c r="I526" s="20">
        <v>0</v>
      </c>
      <c r="J526" s="19">
        <f t="shared" ref="J526:J589" si="56">I526-F526</f>
        <v>0</v>
      </c>
      <c r="K526" s="19">
        <f t="shared" ref="K526:K589" si="57">H526-I526</f>
        <v>0</v>
      </c>
      <c r="L526" s="19">
        <v>-6.6E-4</v>
      </c>
      <c r="M526" s="19">
        <v>-3.46E-3</v>
      </c>
      <c r="N526" s="19">
        <v>-3.46E-3</v>
      </c>
      <c r="O526" s="19">
        <v>-3.49E-3</v>
      </c>
      <c r="P526" s="19">
        <v>-3.5200000000000001E-3</v>
      </c>
      <c r="Q526" s="19"/>
      <c r="R526" s="19">
        <f t="shared" ref="R526:R589" si="58">L526*J526</f>
        <v>0</v>
      </c>
      <c r="S526" s="19">
        <f t="shared" ref="S526:S589" si="59">M526*J526</f>
        <v>0</v>
      </c>
      <c r="T526" s="19">
        <f t="shared" ref="T526:T589" si="60">N526*J526</f>
        <v>0</v>
      </c>
      <c r="U526" s="19">
        <f t="shared" ref="U526:U589" si="61">O526*J526</f>
        <v>0</v>
      </c>
      <c r="V526" s="21">
        <f t="shared" ref="V526:V589" si="62">P526*J526</f>
        <v>0</v>
      </c>
    </row>
    <row r="527" spans="1:22" ht="13.5" x14ac:dyDescent="0.35">
      <c r="A527" s="18">
        <v>122184</v>
      </c>
      <c r="B527" s="19" t="s">
        <v>553</v>
      </c>
      <c r="C527" s="19">
        <v>13.8</v>
      </c>
      <c r="D527" s="19">
        <v>101</v>
      </c>
      <c r="E527" s="19">
        <v>1693</v>
      </c>
      <c r="F527" s="19">
        <v>0</v>
      </c>
      <c r="G527" s="19">
        <v>0</v>
      </c>
      <c r="H527" s="19">
        <v>0</v>
      </c>
      <c r="I527" s="20">
        <v>0</v>
      </c>
      <c r="J527" s="19">
        <f t="shared" si="56"/>
        <v>0</v>
      </c>
      <c r="K527" s="19">
        <f t="shared" si="57"/>
        <v>0</v>
      </c>
      <c r="L527" s="19">
        <v>-6.6E-4</v>
      </c>
      <c r="M527" s="19">
        <v>-3.3500000000000001E-3</v>
      </c>
      <c r="N527" s="19">
        <v>-3.3500000000000001E-3</v>
      </c>
      <c r="O527" s="19">
        <v>-3.3800000000000002E-3</v>
      </c>
      <c r="P527" s="19">
        <v>-3.4099999999999998E-3</v>
      </c>
      <c r="Q527" s="19"/>
      <c r="R527" s="19">
        <f t="shared" si="58"/>
        <v>0</v>
      </c>
      <c r="S527" s="19">
        <f t="shared" si="59"/>
        <v>0</v>
      </c>
      <c r="T527" s="19">
        <f t="shared" si="60"/>
        <v>0</v>
      </c>
      <c r="U527" s="19">
        <f t="shared" si="61"/>
        <v>0</v>
      </c>
      <c r="V527" s="21">
        <f t="shared" si="62"/>
        <v>0</v>
      </c>
    </row>
    <row r="528" spans="1:22" ht="13.5" x14ac:dyDescent="0.35">
      <c r="A528" s="18">
        <v>122196</v>
      </c>
      <c r="B528" s="19" t="s">
        <v>554</v>
      </c>
      <c r="C528" s="19">
        <v>6.6</v>
      </c>
      <c r="D528" s="19">
        <v>101</v>
      </c>
      <c r="E528" s="19">
        <v>1693</v>
      </c>
      <c r="F528" s="19">
        <v>0</v>
      </c>
      <c r="G528" s="19">
        <v>0</v>
      </c>
      <c r="H528" s="19">
        <v>0</v>
      </c>
      <c r="I528" s="20">
        <v>0</v>
      </c>
      <c r="J528" s="19">
        <f t="shared" si="56"/>
        <v>0</v>
      </c>
      <c r="K528" s="19">
        <f t="shared" si="57"/>
        <v>0</v>
      </c>
      <c r="L528" s="19">
        <v>-6.6E-4</v>
      </c>
      <c r="M528" s="19">
        <v>-3.3500000000000001E-3</v>
      </c>
      <c r="N528" s="19">
        <v>-3.3500000000000001E-3</v>
      </c>
      <c r="O528" s="19">
        <v>-3.3800000000000002E-3</v>
      </c>
      <c r="P528" s="19">
        <v>-3.4099999999999998E-3</v>
      </c>
      <c r="Q528" s="19"/>
      <c r="R528" s="19">
        <f t="shared" si="58"/>
        <v>0</v>
      </c>
      <c r="S528" s="19">
        <f t="shared" si="59"/>
        <v>0</v>
      </c>
      <c r="T528" s="19">
        <f t="shared" si="60"/>
        <v>0</v>
      </c>
      <c r="U528" s="19">
        <f t="shared" si="61"/>
        <v>0</v>
      </c>
      <c r="V528" s="21">
        <f t="shared" si="62"/>
        <v>0</v>
      </c>
    </row>
    <row r="529" spans="1:22" ht="13.5" x14ac:dyDescent="0.35">
      <c r="A529" s="18">
        <v>122272</v>
      </c>
      <c r="B529" s="19" t="s">
        <v>555</v>
      </c>
      <c r="C529" s="19">
        <v>13.8</v>
      </c>
      <c r="D529" s="19">
        <v>101</v>
      </c>
      <c r="E529" s="19">
        <v>1692</v>
      </c>
      <c r="F529" s="19">
        <v>0</v>
      </c>
      <c r="G529" s="19">
        <v>0</v>
      </c>
      <c r="H529" s="19">
        <v>0</v>
      </c>
      <c r="I529" s="20">
        <v>0</v>
      </c>
      <c r="J529" s="19">
        <f t="shared" si="56"/>
        <v>0</v>
      </c>
      <c r="K529" s="19">
        <f t="shared" si="57"/>
        <v>0</v>
      </c>
      <c r="L529" s="19">
        <v>-6.6E-4</v>
      </c>
      <c r="M529" s="19">
        <v>-3.6099999999999999E-3</v>
      </c>
      <c r="N529" s="19">
        <v>-3.6099999999999999E-3</v>
      </c>
      <c r="O529" s="19">
        <v>-3.64E-3</v>
      </c>
      <c r="P529" s="19">
        <v>-3.6700000000000001E-3</v>
      </c>
      <c r="Q529" s="19"/>
      <c r="R529" s="19">
        <f t="shared" si="58"/>
        <v>0</v>
      </c>
      <c r="S529" s="19">
        <f t="shared" si="59"/>
        <v>0</v>
      </c>
      <c r="T529" s="19">
        <f t="shared" si="60"/>
        <v>0</v>
      </c>
      <c r="U529" s="19">
        <f t="shared" si="61"/>
        <v>0</v>
      </c>
      <c r="V529" s="21">
        <f t="shared" si="62"/>
        <v>0</v>
      </c>
    </row>
    <row r="530" spans="1:22" ht="13.5" x14ac:dyDescent="0.35">
      <c r="A530" s="18">
        <v>122417</v>
      </c>
      <c r="B530" s="19" t="s">
        <v>556</v>
      </c>
      <c r="C530" s="19">
        <v>13.8</v>
      </c>
      <c r="D530" s="19">
        <v>101</v>
      </c>
      <c r="E530" s="19">
        <v>1734</v>
      </c>
      <c r="F530" s="19">
        <v>0</v>
      </c>
      <c r="G530" s="19">
        <v>0</v>
      </c>
      <c r="H530" s="19">
        <v>0</v>
      </c>
      <c r="I530" s="20">
        <v>0</v>
      </c>
      <c r="J530" s="19">
        <f t="shared" si="56"/>
        <v>0</v>
      </c>
      <c r="K530" s="19">
        <f t="shared" si="57"/>
        <v>0</v>
      </c>
      <c r="L530" s="19">
        <v>-6.6E-4</v>
      </c>
      <c r="M530" s="19">
        <v>-3.6900000000000001E-3</v>
      </c>
      <c r="N530" s="19">
        <v>-3.6900000000000001E-3</v>
      </c>
      <c r="O530" s="19">
        <v>-3.7200000000000002E-3</v>
      </c>
      <c r="P530" s="19">
        <v>-3.7499999999999999E-3</v>
      </c>
      <c r="Q530" s="19"/>
      <c r="R530" s="19">
        <f t="shared" si="58"/>
        <v>0</v>
      </c>
      <c r="S530" s="19">
        <f t="shared" si="59"/>
        <v>0</v>
      </c>
      <c r="T530" s="19">
        <f t="shared" si="60"/>
        <v>0</v>
      </c>
      <c r="U530" s="19">
        <f t="shared" si="61"/>
        <v>0</v>
      </c>
      <c r="V530" s="21">
        <f t="shared" si="62"/>
        <v>0</v>
      </c>
    </row>
    <row r="531" spans="1:22" ht="13.5" x14ac:dyDescent="0.35">
      <c r="A531" s="18">
        <v>122448</v>
      </c>
      <c r="B531" s="19" t="s">
        <v>557</v>
      </c>
      <c r="C531" s="19">
        <v>13.8</v>
      </c>
      <c r="D531" s="19">
        <v>101</v>
      </c>
      <c r="E531" s="19">
        <v>1733</v>
      </c>
      <c r="F531" s="19">
        <v>47.29</v>
      </c>
      <c r="G531" s="19">
        <v>0</v>
      </c>
      <c r="H531" s="19">
        <v>47.29</v>
      </c>
      <c r="I531" s="20">
        <v>47.29</v>
      </c>
      <c r="J531" s="19">
        <f t="shared" si="56"/>
        <v>0</v>
      </c>
      <c r="K531" s="19">
        <f t="shared" si="57"/>
        <v>0</v>
      </c>
      <c r="L531" s="19">
        <v>-6.6E-4</v>
      </c>
      <c r="M531" s="19">
        <v>-3.65E-3</v>
      </c>
      <c r="N531" s="19">
        <v>-3.65E-3</v>
      </c>
      <c r="O531" s="19">
        <v>-3.6800000000000001E-3</v>
      </c>
      <c r="P531" s="19">
        <v>-3.7000000000000002E-3</v>
      </c>
      <c r="Q531" s="19"/>
      <c r="R531" s="19">
        <f t="shared" si="58"/>
        <v>0</v>
      </c>
      <c r="S531" s="19">
        <f t="shared" si="59"/>
        <v>0</v>
      </c>
      <c r="T531" s="19">
        <f t="shared" si="60"/>
        <v>0</v>
      </c>
      <c r="U531" s="19">
        <f t="shared" si="61"/>
        <v>0</v>
      </c>
      <c r="V531" s="21">
        <f t="shared" si="62"/>
        <v>0</v>
      </c>
    </row>
    <row r="532" spans="1:22" ht="13.5" x14ac:dyDescent="0.35">
      <c r="A532" s="18">
        <v>122449</v>
      </c>
      <c r="B532" s="19" t="s">
        <v>558</v>
      </c>
      <c r="C532" s="19">
        <v>13.8</v>
      </c>
      <c r="D532" s="19">
        <v>101</v>
      </c>
      <c r="E532" s="19">
        <v>1733</v>
      </c>
      <c r="F532" s="19">
        <v>47.29</v>
      </c>
      <c r="G532" s="19">
        <v>0</v>
      </c>
      <c r="H532" s="19">
        <v>47.29</v>
      </c>
      <c r="I532" s="20">
        <v>47.29</v>
      </c>
      <c r="J532" s="19">
        <f t="shared" si="56"/>
        <v>0</v>
      </c>
      <c r="K532" s="19">
        <f t="shared" si="57"/>
        <v>0</v>
      </c>
      <c r="L532" s="19">
        <v>-6.6E-4</v>
      </c>
      <c r="M532" s="19">
        <v>-3.65E-3</v>
      </c>
      <c r="N532" s="19">
        <v>-3.65E-3</v>
      </c>
      <c r="O532" s="19">
        <v>-3.6800000000000001E-3</v>
      </c>
      <c r="P532" s="19">
        <v>-3.7000000000000002E-3</v>
      </c>
      <c r="Q532" s="19"/>
      <c r="R532" s="19">
        <f t="shared" si="58"/>
        <v>0</v>
      </c>
      <c r="S532" s="19">
        <f t="shared" si="59"/>
        <v>0</v>
      </c>
      <c r="T532" s="19">
        <f t="shared" si="60"/>
        <v>0</v>
      </c>
      <c r="U532" s="19">
        <f t="shared" si="61"/>
        <v>0</v>
      </c>
      <c r="V532" s="21">
        <f t="shared" si="62"/>
        <v>0</v>
      </c>
    </row>
    <row r="533" spans="1:22" ht="13.5" x14ac:dyDescent="0.35">
      <c r="A533" s="18">
        <v>122450</v>
      </c>
      <c r="B533" s="19" t="s">
        <v>559</v>
      </c>
      <c r="C533" s="19">
        <v>13.8</v>
      </c>
      <c r="D533" s="19">
        <v>101</v>
      </c>
      <c r="E533" s="19">
        <v>1733</v>
      </c>
      <c r="F533" s="19">
        <v>47.29</v>
      </c>
      <c r="G533" s="19">
        <v>0</v>
      </c>
      <c r="H533" s="19">
        <v>47.29</v>
      </c>
      <c r="I533" s="20">
        <v>47.29</v>
      </c>
      <c r="J533" s="19">
        <f t="shared" si="56"/>
        <v>0</v>
      </c>
      <c r="K533" s="19">
        <f t="shared" si="57"/>
        <v>0</v>
      </c>
      <c r="L533" s="19">
        <v>-6.6E-4</v>
      </c>
      <c r="M533" s="19">
        <v>-3.65E-3</v>
      </c>
      <c r="N533" s="19">
        <v>-3.65E-3</v>
      </c>
      <c r="O533" s="19">
        <v>-3.6800000000000001E-3</v>
      </c>
      <c r="P533" s="19">
        <v>-3.7000000000000002E-3</v>
      </c>
      <c r="Q533" s="19"/>
      <c r="R533" s="19">
        <f t="shared" si="58"/>
        <v>0</v>
      </c>
      <c r="S533" s="19">
        <f t="shared" si="59"/>
        <v>0</v>
      </c>
      <c r="T533" s="19">
        <f t="shared" si="60"/>
        <v>0</v>
      </c>
      <c r="U533" s="19">
        <f t="shared" si="61"/>
        <v>0</v>
      </c>
      <c r="V533" s="21">
        <f t="shared" si="62"/>
        <v>0</v>
      </c>
    </row>
    <row r="534" spans="1:22" ht="13.5" x14ac:dyDescent="0.35">
      <c r="A534" s="18">
        <v>122451</v>
      </c>
      <c r="B534" s="19" t="s">
        <v>560</v>
      </c>
      <c r="C534" s="19">
        <v>13.8</v>
      </c>
      <c r="D534" s="19">
        <v>101</v>
      </c>
      <c r="E534" s="19">
        <v>1733</v>
      </c>
      <c r="F534" s="19">
        <v>47.29</v>
      </c>
      <c r="G534" s="19">
        <v>0</v>
      </c>
      <c r="H534" s="19">
        <v>47.29</v>
      </c>
      <c r="I534" s="20">
        <v>47.29</v>
      </c>
      <c r="J534" s="19">
        <f t="shared" si="56"/>
        <v>0</v>
      </c>
      <c r="K534" s="19">
        <f t="shared" si="57"/>
        <v>0</v>
      </c>
      <c r="L534" s="19">
        <v>-6.6E-4</v>
      </c>
      <c r="M534" s="19">
        <v>-3.65E-3</v>
      </c>
      <c r="N534" s="19">
        <v>-3.65E-3</v>
      </c>
      <c r="O534" s="19">
        <v>-3.6800000000000001E-3</v>
      </c>
      <c r="P534" s="19">
        <v>-3.7000000000000002E-3</v>
      </c>
      <c r="Q534" s="19"/>
      <c r="R534" s="19">
        <f t="shared" si="58"/>
        <v>0</v>
      </c>
      <c r="S534" s="19">
        <f t="shared" si="59"/>
        <v>0</v>
      </c>
      <c r="T534" s="19">
        <f t="shared" si="60"/>
        <v>0</v>
      </c>
      <c r="U534" s="19">
        <f t="shared" si="61"/>
        <v>0</v>
      </c>
      <c r="V534" s="21">
        <f t="shared" si="62"/>
        <v>0</v>
      </c>
    </row>
    <row r="535" spans="1:22" ht="13.5" x14ac:dyDescent="0.35">
      <c r="A535" s="18">
        <v>122452</v>
      </c>
      <c r="B535" s="19" t="s">
        <v>561</v>
      </c>
      <c r="C535" s="19">
        <v>13.8</v>
      </c>
      <c r="D535" s="19">
        <v>101</v>
      </c>
      <c r="E535" s="19">
        <v>1733</v>
      </c>
      <c r="F535" s="19">
        <v>47.29</v>
      </c>
      <c r="G535" s="19">
        <v>0</v>
      </c>
      <c r="H535" s="19">
        <v>47.29</v>
      </c>
      <c r="I535" s="20">
        <v>47.29</v>
      </c>
      <c r="J535" s="19">
        <f t="shared" si="56"/>
        <v>0</v>
      </c>
      <c r="K535" s="19">
        <f t="shared" si="57"/>
        <v>0</v>
      </c>
      <c r="L535" s="19">
        <v>-6.6E-4</v>
      </c>
      <c r="M535" s="19">
        <v>-3.65E-3</v>
      </c>
      <c r="N535" s="19">
        <v>-3.65E-3</v>
      </c>
      <c r="O535" s="19">
        <v>-3.6800000000000001E-3</v>
      </c>
      <c r="P535" s="19">
        <v>-3.7000000000000002E-3</v>
      </c>
      <c r="Q535" s="19"/>
      <c r="R535" s="19">
        <f t="shared" si="58"/>
        <v>0</v>
      </c>
      <c r="S535" s="19">
        <f t="shared" si="59"/>
        <v>0</v>
      </c>
      <c r="T535" s="19">
        <f t="shared" si="60"/>
        <v>0</v>
      </c>
      <c r="U535" s="19">
        <f t="shared" si="61"/>
        <v>0</v>
      </c>
      <c r="V535" s="21">
        <f t="shared" si="62"/>
        <v>0</v>
      </c>
    </row>
    <row r="536" spans="1:22" ht="13.5" x14ac:dyDescent="0.35">
      <c r="A536" s="18">
        <v>122453</v>
      </c>
      <c r="B536" s="19" t="s">
        <v>562</v>
      </c>
      <c r="C536" s="19">
        <v>13.8</v>
      </c>
      <c r="D536" s="19">
        <v>101</v>
      </c>
      <c r="E536" s="19">
        <v>1733</v>
      </c>
      <c r="F536" s="19">
        <v>47.28</v>
      </c>
      <c r="G536" s="19">
        <v>0</v>
      </c>
      <c r="H536" s="19">
        <v>47.28</v>
      </c>
      <c r="I536" s="20">
        <v>47.28</v>
      </c>
      <c r="J536" s="19">
        <f t="shared" si="56"/>
        <v>0</v>
      </c>
      <c r="K536" s="19">
        <f t="shared" si="57"/>
        <v>0</v>
      </c>
      <c r="L536" s="19">
        <v>-6.6E-4</v>
      </c>
      <c r="M536" s="19">
        <v>-3.65E-3</v>
      </c>
      <c r="N536" s="19">
        <v>-3.65E-3</v>
      </c>
      <c r="O536" s="19">
        <v>-3.6800000000000001E-3</v>
      </c>
      <c r="P536" s="19">
        <v>-3.7000000000000002E-3</v>
      </c>
      <c r="Q536" s="19"/>
      <c r="R536" s="19">
        <f t="shared" si="58"/>
        <v>0</v>
      </c>
      <c r="S536" s="19">
        <f t="shared" si="59"/>
        <v>0</v>
      </c>
      <c r="T536" s="19">
        <f t="shared" si="60"/>
        <v>0</v>
      </c>
      <c r="U536" s="19">
        <f t="shared" si="61"/>
        <v>0</v>
      </c>
      <c r="V536" s="21">
        <f t="shared" si="62"/>
        <v>0</v>
      </c>
    </row>
    <row r="537" spans="1:22" ht="13.5" x14ac:dyDescent="0.35">
      <c r="A537" s="18">
        <v>122454</v>
      </c>
      <c r="B537" s="19" t="s">
        <v>563</v>
      </c>
      <c r="C537" s="19">
        <v>13.8</v>
      </c>
      <c r="D537" s="19">
        <v>101</v>
      </c>
      <c r="E537" s="19">
        <v>1733</v>
      </c>
      <c r="F537" s="19">
        <v>47.28</v>
      </c>
      <c r="G537" s="19">
        <v>0</v>
      </c>
      <c r="H537" s="19">
        <v>47.28</v>
      </c>
      <c r="I537" s="20">
        <v>47.28</v>
      </c>
      <c r="J537" s="19">
        <f t="shared" si="56"/>
        <v>0</v>
      </c>
      <c r="K537" s="19">
        <f t="shared" si="57"/>
        <v>0</v>
      </c>
      <c r="L537" s="19">
        <v>-6.6E-4</v>
      </c>
      <c r="M537" s="19">
        <v>-3.65E-3</v>
      </c>
      <c r="N537" s="19">
        <v>-3.65E-3</v>
      </c>
      <c r="O537" s="19">
        <v>-3.6800000000000001E-3</v>
      </c>
      <c r="P537" s="19">
        <v>-3.7000000000000002E-3</v>
      </c>
      <c r="Q537" s="19"/>
      <c r="R537" s="19">
        <f t="shared" si="58"/>
        <v>0</v>
      </c>
      <c r="S537" s="19">
        <f t="shared" si="59"/>
        <v>0</v>
      </c>
      <c r="T537" s="19">
        <f t="shared" si="60"/>
        <v>0</v>
      </c>
      <c r="U537" s="19">
        <f t="shared" si="61"/>
        <v>0</v>
      </c>
      <c r="V537" s="21">
        <f t="shared" si="62"/>
        <v>0</v>
      </c>
    </row>
    <row r="538" spans="1:22" ht="13.5" x14ac:dyDescent="0.35">
      <c r="A538" s="18">
        <v>122469</v>
      </c>
      <c r="B538" s="19" t="s">
        <v>564</v>
      </c>
      <c r="C538" s="19">
        <v>13.8</v>
      </c>
      <c r="D538" s="19">
        <v>101</v>
      </c>
      <c r="E538" s="19">
        <v>1733</v>
      </c>
      <c r="F538" s="19">
        <v>0</v>
      </c>
      <c r="G538" s="19">
        <v>0</v>
      </c>
      <c r="H538" s="19">
        <v>0</v>
      </c>
      <c r="I538" s="20">
        <v>0</v>
      </c>
      <c r="J538" s="19">
        <f t="shared" si="56"/>
        <v>0</v>
      </c>
      <c r="K538" s="19">
        <f t="shared" si="57"/>
        <v>0</v>
      </c>
      <c r="L538" s="19">
        <v>-6.6E-4</v>
      </c>
      <c r="M538" s="19">
        <v>-3.5799999999999998E-3</v>
      </c>
      <c r="N538" s="19">
        <v>-3.5799999999999998E-3</v>
      </c>
      <c r="O538" s="19">
        <v>-3.62E-3</v>
      </c>
      <c r="P538" s="19">
        <v>-3.64E-3</v>
      </c>
      <c r="Q538" s="19"/>
      <c r="R538" s="19">
        <f t="shared" si="58"/>
        <v>0</v>
      </c>
      <c r="S538" s="19">
        <f t="shared" si="59"/>
        <v>0</v>
      </c>
      <c r="T538" s="19">
        <f t="shared" si="60"/>
        <v>0</v>
      </c>
      <c r="U538" s="19">
        <f t="shared" si="61"/>
        <v>0</v>
      </c>
      <c r="V538" s="21">
        <f t="shared" si="62"/>
        <v>0</v>
      </c>
    </row>
    <row r="539" spans="1:22" ht="13.5" x14ac:dyDescent="0.35">
      <c r="A539" s="18">
        <v>122470</v>
      </c>
      <c r="B539" s="19" t="s">
        <v>565</v>
      </c>
      <c r="C539" s="19">
        <v>13.8</v>
      </c>
      <c r="D539" s="19">
        <v>101</v>
      </c>
      <c r="E539" s="19">
        <v>1733</v>
      </c>
      <c r="F539" s="19">
        <v>33.119999999999997</v>
      </c>
      <c r="G539" s="19">
        <v>0</v>
      </c>
      <c r="H539" s="19">
        <v>33.119999999999997</v>
      </c>
      <c r="I539" s="20">
        <v>33.119999999999997</v>
      </c>
      <c r="J539" s="19">
        <f t="shared" si="56"/>
        <v>0</v>
      </c>
      <c r="K539" s="19">
        <f t="shared" si="57"/>
        <v>0</v>
      </c>
      <c r="L539" s="19">
        <v>-6.6E-4</v>
      </c>
      <c r="M539" s="19">
        <v>-3.5500000000000002E-3</v>
      </c>
      <c r="N539" s="19">
        <v>-3.5500000000000002E-3</v>
      </c>
      <c r="O539" s="19">
        <v>-3.5799999999999998E-3</v>
      </c>
      <c r="P539" s="19">
        <v>-3.6099999999999999E-3</v>
      </c>
      <c r="Q539" s="19"/>
      <c r="R539" s="19">
        <f t="shared" si="58"/>
        <v>0</v>
      </c>
      <c r="S539" s="19">
        <f t="shared" si="59"/>
        <v>0</v>
      </c>
      <c r="T539" s="19">
        <f t="shared" si="60"/>
        <v>0</v>
      </c>
      <c r="U539" s="19">
        <f t="shared" si="61"/>
        <v>0</v>
      </c>
      <c r="V539" s="21">
        <f t="shared" si="62"/>
        <v>0</v>
      </c>
    </row>
    <row r="540" spans="1:22" ht="13.5" x14ac:dyDescent="0.35">
      <c r="A540" s="18">
        <v>122471</v>
      </c>
      <c r="B540" s="19" t="s">
        <v>566</v>
      </c>
      <c r="C540" s="19">
        <v>13.8</v>
      </c>
      <c r="D540" s="19">
        <v>101</v>
      </c>
      <c r="E540" s="19">
        <v>1733</v>
      </c>
      <c r="F540" s="19">
        <v>33.119999999999997</v>
      </c>
      <c r="G540" s="19">
        <v>0</v>
      </c>
      <c r="H540" s="19">
        <v>33.119999999999997</v>
      </c>
      <c r="I540" s="20">
        <v>33.119999999999997</v>
      </c>
      <c r="J540" s="19">
        <f t="shared" si="56"/>
        <v>0</v>
      </c>
      <c r="K540" s="19">
        <f t="shared" si="57"/>
        <v>0</v>
      </c>
      <c r="L540" s="19">
        <v>-6.6E-4</v>
      </c>
      <c r="M540" s="19">
        <v>-3.5500000000000002E-3</v>
      </c>
      <c r="N540" s="19">
        <v>-3.5500000000000002E-3</v>
      </c>
      <c r="O540" s="19">
        <v>-3.5799999999999998E-3</v>
      </c>
      <c r="P540" s="19">
        <v>-3.6099999999999999E-3</v>
      </c>
      <c r="Q540" s="19"/>
      <c r="R540" s="19">
        <f t="shared" si="58"/>
        <v>0</v>
      </c>
      <c r="S540" s="19">
        <f t="shared" si="59"/>
        <v>0</v>
      </c>
      <c r="T540" s="19">
        <f t="shared" si="60"/>
        <v>0</v>
      </c>
      <c r="U540" s="19">
        <f t="shared" si="61"/>
        <v>0</v>
      </c>
      <c r="V540" s="21">
        <f t="shared" si="62"/>
        <v>0</v>
      </c>
    </row>
    <row r="541" spans="1:22" ht="13.5" x14ac:dyDescent="0.35">
      <c r="A541" s="18">
        <v>122472</v>
      </c>
      <c r="B541" s="19" t="s">
        <v>567</v>
      </c>
      <c r="C541" s="19">
        <v>13.8</v>
      </c>
      <c r="D541" s="19">
        <v>101</v>
      </c>
      <c r="E541" s="19">
        <v>1733</v>
      </c>
      <c r="F541" s="19">
        <v>33.119999999999997</v>
      </c>
      <c r="G541" s="19">
        <v>0</v>
      </c>
      <c r="H541" s="19">
        <v>33.119999999999997</v>
      </c>
      <c r="I541" s="20">
        <v>33.119999999999997</v>
      </c>
      <c r="J541" s="19">
        <f t="shared" si="56"/>
        <v>0</v>
      </c>
      <c r="K541" s="19">
        <f t="shared" si="57"/>
        <v>0</v>
      </c>
      <c r="L541" s="19">
        <v>-6.6E-4</v>
      </c>
      <c r="M541" s="19">
        <v>-3.5500000000000002E-3</v>
      </c>
      <c r="N541" s="19">
        <v>-3.5500000000000002E-3</v>
      </c>
      <c r="O541" s="19">
        <v>-3.5799999999999998E-3</v>
      </c>
      <c r="P541" s="19">
        <v>-3.6099999999999999E-3</v>
      </c>
      <c r="Q541" s="19"/>
      <c r="R541" s="19">
        <f t="shared" si="58"/>
        <v>0</v>
      </c>
      <c r="S541" s="19">
        <f t="shared" si="59"/>
        <v>0</v>
      </c>
      <c r="T541" s="19">
        <f t="shared" si="60"/>
        <v>0</v>
      </c>
      <c r="U541" s="19">
        <f t="shared" si="61"/>
        <v>0</v>
      </c>
      <c r="V541" s="21">
        <f t="shared" si="62"/>
        <v>0</v>
      </c>
    </row>
    <row r="542" spans="1:22" ht="13.5" x14ac:dyDescent="0.35">
      <c r="A542" s="18">
        <v>122473</v>
      </c>
      <c r="B542" s="19" t="s">
        <v>568</v>
      </c>
      <c r="C542" s="19">
        <v>13.8</v>
      </c>
      <c r="D542" s="19">
        <v>101</v>
      </c>
      <c r="E542" s="19">
        <v>1733</v>
      </c>
      <c r="F542" s="19">
        <v>33.119999999999997</v>
      </c>
      <c r="G542" s="19">
        <v>0</v>
      </c>
      <c r="H542" s="19">
        <v>33.119999999999997</v>
      </c>
      <c r="I542" s="20">
        <v>33.119999999999997</v>
      </c>
      <c r="J542" s="19">
        <f t="shared" si="56"/>
        <v>0</v>
      </c>
      <c r="K542" s="19">
        <f t="shared" si="57"/>
        <v>0</v>
      </c>
      <c r="L542" s="19">
        <v>-6.6E-4</v>
      </c>
      <c r="M542" s="19">
        <v>-3.5500000000000002E-3</v>
      </c>
      <c r="N542" s="19">
        <v>-3.5500000000000002E-3</v>
      </c>
      <c r="O542" s="19">
        <v>-3.5799999999999998E-3</v>
      </c>
      <c r="P542" s="19">
        <v>-3.6099999999999999E-3</v>
      </c>
      <c r="Q542" s="19"/>
      <c r="R542" s="19">
        <f t="shared" si="58"/>
        <v>0</v>
      </c>
      <c r="S542" s="19">
        <f t="shared" si="59"/>
        <v>0</v>
      </c>
      <c r="T542" s="19">
        <f t="shared" si="60"/>
        <v>0</v>
      </c>
      <c r="U542" s="19">
        <f t="shared" si="61"/>
        <v>0</v>
      </c>
      <c r="V542" s="21">
        <f t="shared" si="62"/>
        <v>0</v>
      </c>
    </row>
    <row r="543" spans="1:22" ht="13.5" x14ac:dyDescent="0.35">
      <c r="A543" s="18">
        <v>122476</v>
      </c>
      <c r="B543" s="19" t="s">
        <v>569</v>
      </c>
      <c r="C543" s="19">
        <v>13.8</v>
      </c>
      <c r="D543" s="19">
        <v>101</v>
      </c>
      <c r="E543" s="19">
        <v>1733</v>
      </c>
      <c r="F543" s="19">
        <v>93.8</v>
      </c>
      <c r="G543" s="19">
        <v>0</v>
      </c>
      <c r="H543" s="19">
        <v>93.8</v>
      </c>
      <c r="I543" s="20">
        <v>93.8</v>
      </c>
      <c r="J543" s="19">
        <f t="shared" si="56"/>
        <v>0</v>
      </c>
      <c r="K543" s="19">
        <f t="shared" si="57"/>
        <v>0</v>
      </c>
      <c r="L543" s="19">
        <v>-6.6E-4</v>
      </c>
      <c r="M543" s="19">
        <v>-3.5799999999999998E-3</v>
      </c>
      <c r="N543" s="19">
        <v>-3.5799999999999998E-3</v>
      </c>
      <c r="O543" s="19">
        <v>-3.62E-3</v>
      </c>
      <c r="P543" s="19">
        <v>-3.64E-3</v>
      </c>
      <c r="Q543" s="19"/>
      <c r="R543" s="19">
        <f t="shared" si="58"/>
        <v>0</v>
      </c>
      <c r="S543" s="19">
        <f t="shared" si="59"/>
        <v>0</v>
      </c>
      <c r="T543" s="19">
        <f t="shared" si="60"/>
        <v>0</v>
      </c>
      <c r="U543" s="19">
        <f t="shared" si="61"/>
        <v>0</v>
      </c>
      <c r="V543" s="21">
        <f t="shared" si="62"/>
        <v>0</v>
      </c>
    </row>
    <row r="544" spans="1:22" ht="13.5" x14ac:dyDescent="0.35">
      <c r="A544" s="18">
        <v>122477</v>
      </c>
      <c r="B544" s="19" t="s">
        <v>570</v>
      </c>
      <c r="C544" s="19">
        <v>13.8</v>
      </c>
      <c r="D544" s="19">
        <v>101</v>
      </c>
      <c r="E544" s="19">
        <v>1733</v>
      </c>
      <c r="F544" s="19">
        <v>93.8</v>
      </c>
      <c r="G544" s="19">
        <v>0</v>
      </c>
      <c r="H544" s="19">
        <v>93.8</v>
      </c>
      <c r="I544" s="20">
        <v>93.8</v>
      </c>
      <c r="J544" s="19">
        <f t="shared" si="56"/>
        <v>0</v>
      </c>
      <c r="K544" s="19">
        <f t="shared" si="57"/>
        <v>0</v>
      </c>
      <c r="L544" s="19">
        <v>-6.6E-4</v>
      </c>
      <c r="M544" s="19">
        <v>-3.5799999999999998E-3</v>
      </c>
      <c r="N544" s="19">
        <v>-3.5799999999999998E-3</v>
      </c>
      <c r="O544" s="19">
        <v>-3.62E-3</v>
      </c>
      <c r="P544" s="19">
        <v>-3.64E-3</v>
      </c>
      <c r="Q544" s="19"/>
      <c r="R544" s="19">
        <f t="shared" si="58"/>
        <v>0</v>
      </c>
      <c r="S544" s="19">
        <f t="shared" si="59"/>
        <v>0</v>
      </c>
      <c r="T544" s="19">
        <f t="shared" si="60"/>
        <v>0</v>
      </c>
      <c r="U544" s="19">
        <f t="shared" si="61"/>
        <v>0</v>
      </c>
      <c r="V544" s="21">
        <f t="shared" si="62"/>
        <v>0</v>
      </c>
    </row>
    <row r="545" spans="1:22" ht="13.5" x14ac:dyDescent="0.35">
      <c r="A545" s="18">
        <v>122481</v>
      </c>
      <c r="B545" s="19" t="s">
        <v>571</v>
      </c>
      <c r="C545" s="19">
        <v>21</v>
      </c>
      <c r="D545" s="19">
        <v>101</v>
      </c>
      <c r="E545" s="19">
        <v>1733</v>
      </c>
      <c r="F545" s="19">
        <v>0</v>
      </c>
      <c r="G545" s="19">
        <v>0</v>
      </c>
      <c r="H545" s="19">
        <v>0</v>
      </c>
      <c r="I545" s="20">
        <v>0</v>
      </c>
      <c r="J545" s="19">
        <f t="shared" si="56"/>
        <v>0</v>
      </c>
      <c r="K545" s="19">
        <f t="shared" si="57"/>
        <v>0</v>
      </c>
      <c r="L545" s="19">
        <v>-6.6E-4</v>
      </c>
      <c r="M545" s="19">
        <v>-3.5599999999999998E-3</v>
      </c>
      <c r="N545" s="19">
        <v>-3.5599999999999998E-3</v>
      </c>
      <c r="O545" s="19">
        <v>-3.5899999999999999E-3</v>
      </c>
      <c r="P545" s="19">
        <v>-3.62E-3</v>
      </c>
      <c r="Q545" s="19"/>
      <c r="R545" s="19">
        <f t="shared" si="58"/>
        <v>0</v>
      </c>
      <c r="S545" s="19">
        <f t="shared" si="59"/>
        <v>0</v>
      </c>
      <c r="T545" s="19">
        <f t="shared" si="60"/>
        <v>0</v>
      </c>
      <c r="U545" s="19">
        <f t="shared" si="61"/>
        <v>0</v>
      </c>
      <c r="V545" s="21">
        <f t="shared" si="62"/>
        <v>0</v>
      </c>
    </row>
    <row r="546" spans="1:22" ht="13.5" x14ac:dyDescent="0.35">
      <c r="A546" s="18">
        <v>122482</v>
      </c>
      <c r="B546" s="19" t="s">
        <v>572</v>
      </c>
      <c r="C546" s="19">
        <v>21</v>
      </c>
      <c r="D546" s="19">
        <v>101</v>
      </c>
      <c r="E546" s="19">
        <v>1733</v>
      </c>
      <c r="F546" s="19">
        <v>0</v>
      </c>
      <c r="G546" s="19">
        <v>0</v>
      </c>
      <c r="H546" s="19">
        <v>0</v>
      </c>
      <c r="I546" s="20">
        <v>0</v>
      </c>
      <c r="J546" s="19">
        <f t="shared" si="56"/>
        <v>0</v>
      </c>
      <c r="K546" s="19">
        <f t="shared" si="57"/>
        <v>0</v>
      </c>
      <c r="L546" s="19">
        <v>-6.6E-4</v>
      </c>
      <c r="M546" s="19">
        <v>-3.5599999999999998E-3</v>
      </c>
      <c r="N546" s="19">
        <v>-3.5599999999999998E-3</v>
      </c>
      <c r="O546" s="19">
        <v>-3.5899999999999999E-3</v>
      </c>
      <c r="P546" s="19">
        <v>-3.62E-3</v>
      </c>
      <c r="Q546" s="19"/>
      <c r="R546" s="19">
        <f t="shared" si="58"/>
        <v>0</v>
      </c>
      <c r="S546" s="19">
        <f t="shared" si="59"/>
        <v>0</v>
      </c>
      <c r="T546" s="19">
        <f t="shared" si="60"/>
        <v>0</v>
      </c>
      <c r="U546" s="19">
        <f t="shared" si="61"/>
        <v>0</v>
      </c>
      <c r="V546" s="21">
        <f t="shared" si="62"/>
        <v>0</v>
      </c>
    </row>
    <row r="547" spans="1:22" ht="13.5" x14ac:dyDescent="0.35">
      <c r="A547" s="18">
        <v>122542</v>
      </c>
      <c r="B547" s="19" t="s">
        <v>573</v>
      </c>
      <c r="C547" s="19">
        <v>13.8</v>
      </c>
      <c r="D547" s="19">
        <v>101</v>
      </c>
      <c r="E547" s="19">
        <v>1733</v>
      </c>
      <c r="F547" s="19">
        <v>77.5</v>
      </c>
      <c r="G547" s="19">
        <v>0</v>
      </c>
      <c r="H547" s="19">
        <v>77.5</v>
      </c>
      <c r="I547" s="20">
        <v>77.5</v>
      </c>
      <c r="J547" s="19">
        <f t="shared" si="56"/>
        <v>0</v>
      </c>
      <c r="K547" s="19">
        <f t="shared" si="57"/>
        <v>0</v>
      </c>
      <c r="L547" s="19">
        <v>-6.6E-4</v>
      </c>
      <c r="M547" s="19">
        <v>-3.65E-3</v>
      </c>
      <c r="N547" s="19">
        <v>-3.65E-3</v>
      </c>
      <c r="O547" s="19">
        <v>-3.6800000000000001E-3</v>
      </c>
      <c r="P547" s="19">
        <v>-3.7000000000000002E-3</v>
      </c>
      <c r="Q547" s="19"/>
      <c r="R547" s="19">
        <f t="shared" si="58"/>
        <v>0</v>
      </c>
      <c r="S547" s="19">
        <f t="shared" si="59"/>
        <v>0</v>
      </c>
      <c r="T547" s="19">
        <f t="shared" si="60"/>
        <v>0</v>
      </c>
      <c r="U547" s="19">
        <f t="shared" si="61"/>
        <v>0</v>
      </c>
      <c r="V547" s="21">
        <f t="shared" si="62"/>
        <v>0</v>
      </c>
    </row>
    <row r="548" spans="1:22" ht="13.5" x14ac:dyDescent="0.35">
      <c r="A548" s="18">
        <v>122583</v>
      </c>
      <c r="B548" s="19" t="s">
        <v>574</v>
      </c>
      <c r="C548" s="19">
        <v>13.8</v>
      </c>
      <c r="D548" s="19">
        <v>101</v>
      </c>
      <c r="E548" s="19">
        <v>1733</v>
      </c>
      <c r="F548" s="19">
        <v>97.91</v>
      </c>
      <c r="G548" s="19">
        <v>0</v>
      </c>
      <c r="H548" s="19">
        <v>97.91</v>
      </c>
      <c r="I548" s="20">
        <v>97.91</v>
      </c>
      <c r="J548" s="19">
        <f t="shared" si="56"/>
        <v>0</v>
      </c>
      <c r="K548" s="19">
        <f t="shared" si="57"/>
        <v>0</v>
      </c>
      <c r="L548" s="19">
        <v>-6.6E-4</v>
      </c>
      <c r="M548" s="19">
        <v>-3.5100000000000001E-3</v>
      </c>
      <c r="N548" s="19">
        <v>-3.5100000000000001E-3</v>
      </c>
      <c r="O548" s="19">
        <v>-3.5500000000000002E-3</v>
      </c>
      <c r="P548" s="19">
        <v>-3.5699999999999998E-3</v>
      </c>
      <c r="Q548" s="19"/>
      <c r="R548" s="19">
        <f t="shared" si="58"/>
        <v>0</v>
      </c>
      <c r="S548" s="19">
        <f t="shared" si="59"/>
        <v>0</v>
      </c>
      <c r="T548" s="19">
        <f t="shared" si="60"/>
        <v>0</v>
      </c>
      <c r="U548" s="19">
        <f t="shared" si="61"/>
        <v>0</v>
      </c>
      <c r="V548" s="21">
        <f t="shared" si="62"/>
        <v>0</v>
      </c>
    </row>
    <row r="549" spans="1:22" ht="13.5" x14ac:dyDescent="0.35">
      <c r="A549" s="18">
        <v>122586</v>
      </c>
      <c r="B549" s="19" t="s">
        <v>575</v>
      </c>
      <c r="C549" s="19">
        <v>18</v>
      </c>
      <c r="D549" s="19">
        <v>101</v>
      </c>
      <c r="E549" s="19">
        <v>1733</v>
      </c>
      <c r="F549" s="19">
        <v>248.66</v>
      </c>
      <c r="G549" s="19">
        <v>0</v>
      </c>
      <c r="H549" s="19">
        <v>248.66</v>
      </c>
      <c r="I549" s="20">
        <f>248.66</f>
        <v>248.66</v>
      </c>
      <c r="J549" s="19">
        <f t="shared" si="56"/>
        <v>0</v>
      </c>
      <c r="K549" s="19">
        <f t="shared" si="57"/>
        <v>0</v>
      </c>
      <c r="L549" s="19">
        <v>-6.6E-4</v>
      </c>
      <c r="M549" s="19">
        <v>-3.5100000000000001E-3</v>
      </c>
      <c r="N549" s="19">
        <v>-3.5100000000000001E-3</v>
      </c>
      <c r="O549" s="19">
        <v>-3.5500000000000002E-3</v>
      </c>
      <c r="P549" s="19">
        <v>-3.5699999999999998E-3</v>
      </c>
      <c r="Q549" s="19"/>
      <c r="R549" s="19">
        <f t="shared" si="58"/>
        <v>0</v>
      </c>
      <c r="S549" s="19">
        <f t="shared" si="59"/>
        <v>0</v>
      </c>
      <c r="T549" s="19">
        <f t="shared" si="60"/>
        <v>0</v>
      </c>
      <c r="U549" s="19">
        <f t="shared" si="61"/>
        <v>0</v>
      </c>
      <c r="V549" s="21">
        <f t="shared" si="62"/>
        <v>0</v>
      </c>
    </row>
    <row r="550" spans="1:22" ht="13.5" x14ac:dyDescent="0.35">
      <c r="A550" s="18">
        <v>122587</v>
      </c>
      <c r="B550" s="19" t="s">
        <v>576</v>
      </c>
      <c r="C550" s="19">
        <v>18</v>
      </c>
      <c r="D550" s="19">
        <v>101</v>
      </c>
      <c r="E550" s="19">
        <v>1733</v>
      </c>
      <c r="F550" s="19">
        <v>250.92</v>
      </c>
      <c r="G550" s="19">
        <v>0</v>
      </c>
      <c r="H550" s="19">
        <v>250.92</v>
      </c>
      <c r="I550" s="20">
        <v>250.92</v>
      </c>
      <c r="J550" s="19">
        <f t="shared" si="56"/>
        <v>0</v>
      </c>
      <c r="K550" s="19">
        <f t="shared" si="57"/>
        <v>0</v>
      </c>
      <c r="L550" s="19">
        <v>-6.6E-4</v>
      </c>
      <c r="M550" s="19">
        <v>-3.5100000000000001E-3</v>
      </c>
      <c r="N550" s="19">
        <v>-3.5100000000000001E-3</v>
      </c>
      <c r="O550" s="19">
        <v>-3.5500000000000002E-3</v>
      </c>
      <c r="P550" s="19">
        <v>-3.5699999999999998E-3</v>
      </c>
      <c r="Q550" s="19"/>
      <c r="R550" s="19">
        <f t="shared" si="58"/>
        <v>0</v>
      </c>
      <c r="S550" s="19">
        <f t="shared" si="59"/>
        <v>0</v>
      </c>
      <c r="T550" s="19">
        <f t="shared" si="60"/>
        <v>0</v>
      </c>
      <c r="U550" s="19">
        <f t="shared" si="61"/>
        <v>0</v>
      </c>
      <c r="V550" s="21">
        <f t="shared" si="62"/>
        <v>0</v>
      </c>
    </row>
    <row r="551" spans="1:22" ht="13.5" x14ac:dyDescent="0.35">
      <c r="A551" s="18">
        <v>122588</v>
      </c>
      <c r="B551" s="19" t="s">
        <v>577</v>
      </c>
      <c r="C551" s="19">
        <v>18</v>
      </c>
      <c r="D551" s="19">
        <v>101</v>
      </c>
      <c r="E551" s="19">
        <v>1733</v>
      </c>
      <c r="F551" s="19">
        <v>250.92</v>
      </c>
      <c r="G551" s="19">
        <v>0</v>
      </c>
      <c r="H551" s="19">
        <v>250.92</v>
      </c>
      <c r="I551" s="20">
        <v>250.92</v>
      </c>
      <c r="J551" s="19">
        <f t="shared" si="56"/>
        <v>0</v>
      </c>
      <c r="K551" s="19">
        <f t="shared" si="57"/>
        <v>0</v>
      </c>
      <c r="L551" s="19">
        <v>-6.6E-4</v>
      </c>
      <c r="M551" s="19">
        <v>-3.5100000000000001E-3</v>
      </c>
      <c r="N551" s="19">
        <v>-3.5100000000000001E-3</v>
      </c>
      <c r="O551" s="19">
        <v>-3.5500000000000002E-3</v>
      </c>
      <c r="P551" s="19">
        <v>-3.5699999999999998E-3</v>
      </c>
      <c r="Q551" s="19"/>
      <c r="R551" s="19">
        <f t="shared" si="58"/>
        <v>0</v>
      </c>
      <c r="S551" s="19">
        <f t="shared" si="59"/>
        <v>0</v>
      </c>
      <c r="T551" s="19">
        <f t="shared" si="60"/>
        <v>0</v>
      </c>
      <c r="U551" s="19">
        <f t="shared" si="61"/>
        <v>0</v>
      </c>
      <c r="V551" s="21">
        <f t="shared" si="62"/>
        <v>0</v>
      </c>
    </row>
    <row r="552" spans="1:22" ht="13.5" x14ac:dyDescent="0.35">
      <c r="A552" s="18">
        <v>122625</v>
      </c>
      <c r="B552" s="19" t="s">
        <v>578</v>
      </c>
      <c r="C552" s="19">
        <v>6.6</v>
      </c>
      <c r="D552" s="19">
        <v>101</v>
      </c>
      <c r="E552" s="19">
        <v>1733</v>
      </c>
      <c r="F552" s="19">
        <v>21.67</v>
      </c>
      <c r="G552" s="19">
        <v>0</v>
      </c>
      <c r="H552" s="19">
        <v>21.67</v>
      </c>
      <c r="I552" s="20">
        <v>21.67</v>
      </c>
      <c r="J552" s="19">
        <f t="shared" si="56"/>
        <v>0</v>
      </c>
      <c r="K552" s="19">
        <f t="shared" si="57"/>
        <v>0</v>
      </c>
      <c r="L552" s="19">
        <v>-6.6E-4</v>
      </c>
      <c r="M552" s="19">
        <v>-3.5000000000000001E-3</v>
      </c>
      <c r="N552" s="19">
        <v>-3.5000000000000001E-3</v>
      </c>
      <c r="O552" s="19">
        <v>-3.5300000000000002E-3</v>
      </c>
      <c r="P552" s="19">
        <v>-3.5599999999999998E-3</v>
      </c>
      <c r="Q552" s="19"/>
      <c r="R552" s="19">
        <f t="shared" si="58"/>
        <v>0</v>
      </c>
      <c r="S552" s="19">
        <f t="shared" si="59"/>
        <v>0</v>
      </c>
      <c r="T552" s="19">
        <f t="shared" si="60"/>
        <v>0</v>
      </c>
      <c r="U552" s="19">
        <f t="shared" si="61"/>
        <v>0</v>
      </c>
      <c r="V552" s="21">
        <f t="shared" si="62"/>
        <v>0</v>
      </c>
    </row>
    <row r="553" spans="1:22" ht="13.5" x14ac:dyDescent="0.35">
      <c r="A553" s="18">
        <v>122648</v>
      </c>
      <c r="B553" s="19" t="s">
        <v>579</v>
      </c>
      <c r="C553" s="19">
        <v>1.1499999999999999</v>
      </c>
      <c r="D553" s="19">
        <v>101</v>
      </c>
      <c r="E553" s="19">
        <v>1734</v>
      </c>
      <c r="F553" s="19">
        <v>0</v>
      </c>
      <c r="G553" s="19">
        <v>0</v>
      </c>
      <c r="H553" s="19">
        <v>0</v>
      </c>
      <c r="I553" s="20">
        <v>0</v>
      </c>
      <c r="J553" s="19">
        <f t="shared" si="56"/>
        <v>0</v>
      </c>
      <c r="K553" s="19">
        <f t="shared" si="57"/>
        <v>0</v>
      </c>
      <c r="L553" s="19">
        <v>-6.6E-4</v>
      </c>
      <c r="M553" s="19">
        <v>-3.47E-3</v>
      </c>
      <c r="N553" s="19">
        <v>-3.47E-3</v>
      </c>
      <c r="O553" s="19">
        <v>-3.5000000000000001E-3</v>
      </c>
      <c r="P553" s="19">
        <v>-3.5200000000000001E-3</v>
      </c>
      <c r="Q553" s="19"/>
      <c r="R553" s="19">
        <f t="shared" si="58"/>
        <v>0</v>
      </c>
      <c r="S553" s="19">
        <f t="shared" si="59"/>
        <v>0</v>
      </c>
      <c r="T553" s="19">
        <f t="shared" si="60"/>
        <v>0</v>
      </c>
      <c r="U553" s="19">
        <f t="shared" si="61"/>
        <v>0</v>
      </c>
      <c r="V553" s="21">
        <f t="shared" si="62"/>
        <v>0</v>
      </c>
    </row>
    <row r="554" spans="1:22" ht="13.5" x14ac:dyDescent="0.35">
      <c r="A554" s="18">
        <v>122657</v>
      </c>
      <c r="B554" s="19" t="s">
        <v>580</v>
      </c>
      <c r="C554" s="19">
        <v>13.8</v>
      </c>
      <c r="D554" s="19">
        <v>101</v>
      </c>
      <c r="E554" s="19">
        <v>1732</v>
      </c>
      <c r="F554" s="19">
        <v>29.35</v>
      </c>
      <c r="G554" s="19">
        <v>0</v>
      </c>
      <c r="H554" s="19">
        <v>29.35</v>
      </c>
      <c r="I554" s="20">
        <v>29.35</v>
      </c>
      <c r="J554" s="19">
        <f t="shared" si="56"/>
        <v>0</v>
      </c>
      <c r="K554" s="19">
        <f t="shared" si="57"/>
        <v>0</v>
      </c>
      <c r="L554" s="19">
        <v>-6.6E-4</v>
      </c>
      <c r="M554" s="19">
        <v>-3.47E-3</v>
      </c>
      <c r="N554" s="19">
        <v>-3.47E-3</v>
      </c>
      <c r="O554" s="19">
        <v>-3.5000000000000001E-3</v>
      </c>
      <c r="P554" s="19">
        <v>-3.5200000000000001E-3</v>
      </c>
      <c r="Q554" s="19"/>
      <c r="R554" s="19">
        <f t="shared" si="58"/>
        <v>0</v>
      </c>
      <c r="S554" s="19">
        <f t="shared" si="59"/>
        <v>0</v>
      </c>
      <c r="T554" s="19">
        <f t="shared" si="60"/>
        <v>0</v>
      </c>
      <c r="U554" s="19">
        <f t="shared" si="61"/>
        <v>0</v>
      </c>
      <c r="V554" s="21">
        <f t="shared" si="62"/>
        <v>0</v>
      </c>
    </row>
    <row r="555" spans="1:22" ht="13.5" x14ac:dyDescent="0.35">
      <c r="A555" s="18">
        <v>122660</v>
      </c>
      <c r="B555" s="19" t="s">
        <v>581</v>
      </c>
      <c r="C555" s="19">
        <v>13.8</v>
      </c>
      <c r="D555" s="19">
        <v>101</v>
      </c>
      <c r="E555" s="19">
        <v>1734</v>
      </c>
      <c r="F555" s="19">
        <v>12.02</v>
      </c>
      <c r="G555" s="19">
        <v>0</v>
      </c>
      <c r="H555" s="19">
        <v>12.02</v>
      </c>
      <c r="I555" s="20">
        <v>12.02</v>
      </c>
      <c r="J555" s="19">
        <f t="shared" si="56"/>
        <v>0</v>
      </c>
      <c r="K555" s="19">
        <f t="shared" si="57"/>
        <v>0</v>
      </c>
      <c r="L555" s="19">
        <v>-6.6E-4</v>
      </c>
      <c r="M555" s="19">
        <v>-3.47E-3</v>
      </c>
      <c r="N555" s="19">
        <v>-3.47E-3</v>
      </c>
      <c r="O555" s="19">
        <v>-3.5000000000000001E-3</v>
      </c>
      <c r="P555" s="19">
        <v>-3.5200000000000001E-3</v>
      </c>
      <c r="Q555" s="19"/>
      <c r="R555" s="19">
        <f t="shared" si="58"/>
        <v>0</v>
      </c>
      <c r="S555" s="19">
        <f t="shared" si="59"/>
        <v>0</v>
      </c>
      <c r="T555" s="19">
        <f t="shared" si="60"/>
        <v>0</v>
      </c>
      <c r="U555" s="19">
        <f t="shared" si="61"/>
        <v>0</v>
      </c>
      <c r="V555" s="21">
        <f t="shared" si="62"/>
        <v>0</v>
      </c>
    </row>
    <row r="556" spans="1:22" ht="13.5" x14ac:dyDescent="0.35">
      <c r="A556" s="18">
        <v>122690</v>
      </c>
      <c r="B556" s="19" t="s">
        <v>582</v>
      </c>
      <c r="C556" s="19">
        <v>13.8</v>
      </c>
      <c r="D556" s="19">
        <v>101</v>
      </c>
      <c r="E556" s="19">
        <v>1734</v>
      </c>
      <c r="F556" s="19">
        <v>42.95</v>
      </c>
      <c r="G556" s="19">
        <v>0</v>
      </c>
      <c r="H556" s="19">
        <v>42.95</v>
      </c>
      <c r="I556" s="20">
        <v>42.95</v>
      </c>
      <c r="J556" s="19">
        <f t="shared" si="56"/>
        <v>0</v>
      </c>
      <c r="K556" s="19">
        <f t="shared" si="57"/>
        <v>0</v>
      </c>
      <c r="L556" s="19">
        <v>-6.6E-4</v>
      </c>
      <c r="M556" s="19">
        <v>-3.4399999999999999E-3</v>
      </c>
      <c r="N556" s="19">
        <v>-3.4399999999999999E-3</v>
      </c>
      <c r="O556" s="19">
        <v>-3.47E-3</v>
      </c>
      <c r="P556" s="19">
        <v>-3.49E-3</v>
      </c>
      <c r="Q556" s="19"/>
      <c r="R556" s="19">
        <f t="shared" si="58"/>
        <v>0</v>
      </c>
      <c r="S556" s="19">
        <f t="shared" si="59"/>
        <v>0</v>
      </c>
      <c r="T556" s="19">
        <f t="shared" si="60"/>
        <v>0</v>
      </c>
      <c r="U556" s="19">
        <f t="shared" si="61"/>
        <v>0</v>
      </c>
      <c r="V556" s="21">
        <f t="shared" si="62"/>
        <v>0</v>
      </c>
    </row>
    <row r="557" spans="1:22" ht="13.5" x14ac:dyDescent="0.35">
      <c r="A557" s="18">
        <v>122700</v>
      </c>
      <c r="B557" s="19" t="s">
        <v>583</v>
      </c>
      <c r="C557" s="19">
        <v>12.5</v>
      </c>
      <c r="D557" s="19">
        <v>101</v>
      </c>
      <c r="E557" s="19">
        <v>1733</v>
      </c>
      <c r="F557" s="19">
        <v>0</v>
      </c>
      <c r="G557" s="19">
        <v>0</v>
      </c>
      <c r="H557" s="19">
        <v>0</v>
      </c>
      <c r="I557" s="20">
        <v>0</v>
      </c>
      <c r="J557" s="19">
        <f t="shared" si="56"/>
        <v>0</v>
      </c>
      <c r="K557" s="19">
        <f t="shared" si="57"/>
        <v>0</v>
      </c>
      <c r="L557" s="19">
        <v>-6.6E-4</v>
      </c>
      <c r="M557" s="19">
        <v>-3.4299999999999999E-3</v>
      </c>
      <c r="N557" s="19">
        <v>-3.4299999999999999E-3</v>
      </c>
      <c r="O557" s="19">
        <v>-3.46E-3</v>
      </c>
      <c r="P557" s="19">
        <v>-3.49E-3</v>
      </c>
      <c r="Q557" s="19"/>
      <c r="R557" s="19">
        <f t="shared" si="58"/>
        <v>0</v>
      </c>
      <c r="S557" s="19">
        <f t="shared" si="59"/>
        <v>0</v>
      </c>
      <c r="T557" s="19">
        <f t="shared" si="60"/>
        <v>0</v>
      </c>
      <c r="U557" s="19">
        <f t="shared" si="61"/>
        <v>0</v>
      </c>
      <c r="V557" s="21">
        <f t="shared" si="62"/>
        <v>0</v>
      </c>
    </row>
    <row r="558" spans="1:22" ht="13.5" x14ac:dyDescent="0.35">
      <c r="A558" s="18">
        <v>122889</v>
      </c>
      <c r="B558" s="19" t="s">
        <v>584</v>
      </c>
      <c r="C558" s="19">
        <v>14.6</v>
      </c>
      <c r="D558" s="19">
        <v>101</v>
      </c>
      <c r="E558" s="19">
        <v>1752</v>
      </c>
      <c r="F558" s="19">
        <v>0</v>
      </c>
      <c r="G558" s="19">
        <v>0</v>
      </c>
      <c r="H558" s="19">
        <v>0</v>
      </c>
      <c r="I558" s="20">
        <v>0</v>
      </c>
      <c r="J558" s="19">
        <f t="shared" si="56"/>
        <v>0</v>
      </c>
      <c r="K558" s="19">
        <f t="shared" si="57"/>
        <v>0</v>
      </c>
      <c r="L558" s="19">
        <v>-6.6E-4</v>
      </c>
      <c r="M558" s="19">
        <v>-3.5100000000000001E-3</v>
      </c>
      <c r="N558" s="19">
        <v>-3.5100000000000001E-3</v>
      </c>
      <c r="O558" s="19">
        <v>-3.5400000000000002E-3</v>
      </c>
      <c r="P558" s="19">
        <v>-3.5699999999999998E-3</v>
      </c>
      <c r="Q558" s="19"/>
      <c r="R558" s="19">
        <f t="shared" si="58"/>
        <v>0</v>
      </c>
      <c r="S558" s="19">
        <f t="shared" si="59"/>
        <v>0</v>
      </c>
      <c r="T558" s="19">
        <f t="shared" si="60"/>
        <v>0</v>
      </c>
      <c r="U558" s="19">
        <f t="shared" si="61"/>
        <v>0</v>
      </c>
      <c r="V558" s="21">
        <f t="shared" si="62"/>
        <v>0</v>
      </c>
    </row>
    <row r="559" spans="1:22" ht="13.5" x14ac:dyDescent="0.35">
      <c r="A559" s="18">
        <v>122890</v>
      </c>
      <c r="B559" s="19" t="s">
        <v>585</v>
      </c>
      <c r="C559" s="19">
        <v>14.6</v>
      </c>
      <c r="D559" s="19">
        <v>101</v>
      </c>
      <c r="E559" s="19">
        <v>1752</v>
      </c>
      <c r="F559" s="19">
        <v>0</v>
      </c>
      <c r="G559" s="19">
        <v>0</v>
      </c>
      <c r="H559" s="19">
        <v>0</v>
      </c>
      <c r="I559" s="20">
        <v>0</v>
      </c>
      <c r="J559" s="19">
        <f t="shared" si="56"/>
        <v>0</v>
      </c>
      <c r="K559" s="19">
        <f t="shared" si="57"/>
        <v>0</v>
      </c>
      <c r="L559" s="19">
        <v>-6.6E-4</v>
      </c>
      <c r="M559" s="19">
        <v>-3.5100000000000001E-3</v>
      </c>
      <c r="N559" s="19">
        <v>-3.5100000000000001E-3</v>
      </c>
      <c r="O559" s="19">
        <v>-3.5400000000000002E-3</v>
      </c>
      <c r="P559" s="19">
        <v>-3.5699999999999998E-3</v>
      </c>
      <c r="Q559" s="19"/>
      <c r="R559" s="19">
        <f t="shared" si="58"/>
        <v>0</v>
      </c>
      <c r="S559" s="19">
        <f t="shared" si="59"/>
        <v>0</v>
      </c>
      <c r="T559" s="19">
        <f t="shared" si="60"/>
        <v>0</v>
      </c>
      <c r="U559" s="19">
        <f t="shared" si="61"/>
        <v>0</v>
      </c>
      <c r="V559" s="21">
        <f t="shared" si="62"/>
        <v>0</v>
      </c>
    </row>
    <row r="560" spans="1:22" ht="13.5" x14ac:dyDescent="0.35">
      <c r="A560" s="18">
        <v>122911</v>
      </c>
      <c r="B560" s="19" t="s">
        <v>586</v>
      </c>
      <c r="C560" s="19">
        <v>13.8</v>
      </c>
      <c r="D560" s="19">
        <v>101</v>
      </c>
      <c r="E560" s="19">
        <v>1753</v>
      </c>
      <c r="F560" s="19">
        <v>0</v>
      </c>
      <c r="G560" s="19">
        <v>0</v>
      </c>
      <c r="H560" s="19">
        <v>0</v>
      </c>
      <c r="I560" s="20">
        <v>0</v>
      </c>
      <c r="J560" s="19">
        <f t="shared" si="56"/>
        <v>0</v>
      </c>
      <c r="K560" s="19">
        <f t="shared" si="57"/>
        <v>0</v>
      </c>
      <c r="L560" s="19">
        <v>-6.6E-4</v>
      </c>
      <c r="M560" s="19">
        <v>-3.5100000000000001E-3</v>
      </c>
      <c r="N560" s="19">
        <v>-3.5100000000000001E-3</v>
      </c>
      <c r="O560" s="19">
        <v>-3.5400000000000002E-3</v>
      </c>
      <c r="P560" s="19">
        <v>-3.5699999999999998E-3</v>
      </c>
      <c r="Q560" s="19"/>
      <c r="R560" s="19">
        <f t="shared" si="58"/>
        <v>0</v>
      </c>
      <c r="S560" s="19">
        <f t="shared" si="59"/>
        <v>0</v>
      </c>
      <c r="T560" s="19">
        <f t="shared" si="60"/>
        <v>0</v>
      </c>
      <c r="U560" s="19">
        <f t="shared" si="61"/>
        <v>0</v>
      </c>
      <c r="V560" s="21">
        <f t="shared" si="62"/>
        <v>0</v>
      </c>
    </row>
    <row r="561" spans="1:22" ht="13.5" x14ac:dyDescent="0.35">
      <c r="A561" s="18">
        <v>122933</v>
      </c>
      <c r="B561" s="19" t="s">
        <v>587</v>
      </c>
      <c r="C561" s="19">
        <v>13.8</v>
      </c>
      <c r="D561" s="19">
        <v>101</v>
      </c>
      <c r="E561" s="19">
        <v>1753</v>
      </c>
      <c r="F561" s="19">
        <v>0</v>
      </c>
      <c r="G561" s="19">
        <v>0</v>
      </c>
      <c r="H561" s="19">
        <v>0</v>
      </c>
      <c r="I561" s="20">
        <v>0</v>
      </c>
      <c r="J561" s="19">
        <f t="shared" si="56"/>
        <v>0</v>
      </c>
      <c r="K561" s="19">
        <f t="shared" si="57"/>
        <v>0</v>
      </c>
      <c r="L561" s="19">
        <v>-6.6E-4</v>
      </c>
      <c r="M561" s="19">
        <v>-3.5100000000000001E-3</v>
      </c>
      <c r="N561" s="19">
        <v>-3.5100000000000001E-3</v>
      </c>
      <c r="O561" s="19">
        <v>-3.5400000000000002E-3</v>
      </c>
      <c r="P561" s="19">
        <v>-3.5699999999999998E-3</v>
      </c>
      <c r="Q561" s="19"/>
      <c r="R561" s="19">
        <f t="shared" si="58"/>
        <v>0</v>
      </c>
      <c r="S561" s="19">
        <f t="shared" si="59"/>
        <v>0</v>
      </c>
      <c r="T561" s="19">
        <f t="shared" si="60"/>
        <v>0</v>
      </c>
      <c r="U561" s="19">
        <f t="shared" si="61"/>
        <v>0</v>
      </c>
      <c r="V561" s="21">
        <f t="shared" si="62"/>
        <v>0</v>
      </c>
    </row>
    <row r="562" spans="1:22" ht="13.5" x14ac:dyDescent="0.35">
      <c r="A562" s="18">
        <v>123128</v>
      </c>
      <c r="B562" s="19" t="s">
        <v>588</v>
      </c>
      <c r="C562" s="19">
        <v>13.8</v>
      </c>
      <c r="D562" s="19">
        <v>101</v>
      </c>
      <c r="E562" s="19">
        <v>1804</v>
      </c>
      <c r="F562" s="19">
        <v>0</v>
      </c>
      <c r="G562" s="19">
        <v>0</v>
      </c>
      <c r="H562" s="19">
        <v>0</v>
      </c>
      <c r="I562" s="20">
        <v>0</v>
      </c>
      <c r="J562" s="19">
        <f t="shared" si="56"/>
        <v>0</v>
      </c>
      <c r="K562" s="19">
        <f t="shared" si="57"/>
        <v>0</v>
      </c>
      <c r="L562" s="19">
        <v>-6.6E-4</v>
      </c>
      <c r="M562" s="19">
        <v>-3.6600000000000001E-3</v>
      </c>
      <c r="N562" s="19">
        <v>-3.6600000000000001E-3</v>
      </c>
      <c r="O562" s="19">
        <v>-3.6900000000000001E-3</v>
      </c>
      <c r="P562" s="19">
        <v>-3.7200000000000002E-3</v>
      </c>
      <c r="Q562" s="19"/>
      <c r="R562" s="19">
        <f t="shared" si="58"/>
        <v>0</v>
      </c>
      <c r="S562" s="19">
        <f t="shared" si="59"/>
        <v>0</v>
      </c>
      <c r="T562" s="19">
        <f t="shared" si="60"/>
        <v>0</v>
      </c>
      <c r="U562" s="19">
        <f t="shared" si="61"/>
        <v>0</v>
      </c>
      <c r="V562" s="21">
        <f t="shared" si="62"/>
        <v>0</v>
      </c>
    </row>
    <row r="563" spans="1:22" ht="13.5" x14ac:dyDescent="0.35">
      <c r="A563" s="18">
        <v>123129</v>
      </c>
      <c r="B563" s="19" t="s">
        <v>589</v>
      </c>
      <c r="C563" s="19">
        <v>13.8</v>
      </c>
      <c r="D563" s="19">
        <v>101</v>
      </c>
      <c r="E563" s="19">
        <v>1804</v>
      </c>
      <c r="F563" s="19">
        <v>0</v>
      </c>
      <c r="G563" s="19">
        <v>0</v>
      </c>
      <c r="H563" s="19">
        <v>0</v>
      </c>
      <c r="I563" s="20">
        <v>0</v>
      </c>
      <c r="J563" s="19">
        <f t="shared" si="56"/>
        <v>0</v>
      </c>
      <c r="K563" s="19">
        <f t="shared" si="57"/>
        <v>0</v>
      </c>
      <c r="L563" s="19">
        <v>-6.6E-4</v>
      </c>
      <c r="M563" s="19">
        <v>-3.6600000000000001E-3</v>
      </c>
      <c r="N563" s="19">
        <v>-3.6600000000000001E-3</v>
      </c>
      <c r="O563" s="19">
        <v>-3.6900000000000001E-3</v>
      </c>
      <c r="P563" s="19">
        <v>-3.7200000000000002E-3</v>
      </c>
      <c r="Q563" s="19"/>
      <c r="R563" s="19">
        <f t="shared" si="58"/>
        <v>0</v>
      </c>
      <c r="S563" s="19">
        <f t="shared" si="59"/>
        <v>0</v>
      </c>
      <c r="T563" s="19">
        <f t="shared" si="60"/>
        <v>0</v>
      </c>
      <c r="U563" s="19">
        <f t="shared" si="61"/>
        <v>0</v>
      </c>
      <c r="V563" s="21">
        <f t="shared" si="62"/>
        <v>0</v>
      </c>
    </row>
    <row r="564" spans="1:22" ht="13.5" x14ac:dyDescent="0.35">
      <c r="A564" s="18">
        <v>123147</v>
      </c>
      <c r="B564" s="19" t="s">
        <v>590</v>
      </c>
      <c r="C564" s="19">
        <v>4.16</v>
      </c>
      <c r="D564" s="19">
        <v>101</v>
      </c>
      <c r="E564" s="19">
        <v>1804</v>
      </c>
      <c r="F564" s="19">
        <v>0</v>
      </c>
      <c r="G564" s="19">
        <v>0</v>
      </c>
      <c r="H564" s="19">
        <v>0</v>
      </c>
      <c r="I564" s="20">
        <v>0</v>
      </c>
      <c r="J564" s="19">
        <f t="shared" si="56"/>
        <v>0</v>
      </c>
      <c r="K564" s="19">
        <f t="shared" si="57"/>
        <v>0</v>
      </c>
      <c r="L564" s="19">
        <v>-6.6E-4</v>
      </c>
      <c r="M564" s="19">
        <v>-3.5300000000000002E-3</v>
      </c>
      <c r="N564" s="19">
        <v>-3.5300000000000002E-3</v>
      </c>
      <c r="O564" s="19">
        <v>-3.5599999999999998E-3</v>
      </c>
      <c r="P564" s="19">
        <v>-3.5899999999999999E-3</v>
      </c>
      <c r="Q564" s="19"/>
      <c r="R564" s="19">
        <f t="shared" si="58"/>
        <v>0</v>
      </c>
      <c r="S564" s="19">
        <f t="shared" si="59"/>
        <v>0</v>
      </c>
      <c r="T564" s="19">
        <f t="shared" si="60"/>
        <v>0</v>
      </c>
      <c r="U564" s="19">
        <f t="shared" si="61"/>
        <v>0</v>
      </c>
      <c r="V564" s="21">
        <f t="shared" si="62"/>
        <v>0</v>
      </c>
    </row>
    <row r="565" spans="1:22" ht="13.5" x14ac:dyDescent="0.35">
      <c r="A565" s="18">
        <v>123149</v>
      </c>
      <c r="B565" s="19" t="s">
        <v>591</v>
      </c>
      <c r="C565" s="19">
        <v>13.8</v>
      </c>
      <c r="D565" s="19">
        <v>101</v>
      </c>
      <c r="E565" s="19">
        <v>1804</v>
      </c>
      <c r="F565" s="19">
        <v>0</v>
      </c>
      <c r="G565" s="19">
        <v>0</v>
      </c>
      <c r="H565" s="19">
        <v>0</v>
      </c>
      <c r="I565" s="20">
        <v>0</v>
      </c>
      <c r="J565" s="19">
        <f t="shared" si="56"/>
        <v>0</v>
      </c>
      <c r="K565" s="19">
        <f t="shared" si="57"/>
        <v>0</v>
      </c>
      <c r="L565" s="19">
        <v>-6.6E-4</v>
      </c>
      <c r="M565" s="19">
        <v>-3.5400000000000002E-3</v>
      </c>
      <c r="N565" s="19">
        <v>-3.5400000000000002E-3</v>
      </c>
      <c r="O565" s="19">
        <v>-3.5699999999999998E-3</v>
      </c>
      <c r="P565" s="19">
        <v>-3.5899999999999999E-3</v>
      </c>
      <c r="Q565" s="19"/>
      <c r="R565" s="19">
        <f t="shared" si="58"/>
        <v>0</v>
      </c>
      <c r="S565" s="19">
        <f t="shared" si="59"/>
        <v>0</v>
      </c>
      <c r="T565" s="19">
        <f t="shared" si="60"/>
        <v>0</v>
      </c>
      <c r="U565" s="19">
        <f t="shared" si="61"/>
        <v>0</v>
      </c>
      <c r="V565" s="21">
        <f t="shared" si="62"/>
        <v>0</v>
      </c>
    </row>
    <row r="566" spans="1:22" ht="13.5" x14ac:dyDescent="0.35">
      <c r="A566" s="18">
        <v>123628</v>
      </c>
      <c r="B566" s="19" t="s">
        <v>592</v>
      </c>
      <c r="C566" s="19">
        <v>25</v>
      </c>
      <c r="D566" s="19">
        <v>101</v>
      </c>
      <c r="E566" s="19">
        <v>1803</v>
      </c>
      <c r="F566" s="19">
        <v>315.72000000000003</v>
      </c>
      <c r="G566" s="19">
        <v>0</v>
      </c>
      <c r="H566" s="19">
        <v>315.72000000000003</v>
      </c>
      <c r="I566" s="20">
        <v>315.72000000000003</v>
      </c>
      <c r="J566" s="19">
        <f t="shared" si="56"/>
        <v>0</v>
      </c>
      <c r="K566" s="19">
        <f t="shared" si="57"/>
        <v>0</v>
      </c>
      <c r="L566" s="19">
        <v>-6.6E-4</v>
      </c>
      <c r="M566" s="19">
        <v>-3.5300000000000002E-3</v>
      </c>
      <c r="N566" s="19">
        <v>-3.5300000000000002E-3</v>
      </c>
      <c r="O566" s="19">
        <v>-3.5599999999999998E-3</v>
      </c>
      <c r="P566" s="19">
        <v>-3.5899999999999999E-3</v>
      </c>
      <c r="Q566" s="19"/>
      <c r="R566" s="19">
        <f t="shared" si="58"/>
        <v>0</v>
      </c>
      <c r="S566" s="19">
        <f t="shared" si="59"/>
        <v>0</v>
      </c>
      <c r="T566" s="19">
        <f t="shared" si="60"/>
        <v>0</v>
      </c>
      <c r="U566" s="19">
        <f t="shared" si="61"/>
        <v>0</v>
      </c>
      <c r="V566" s="21">
        <f t="shared" si="62"/>
        <v>0</v>
      </c>
    </row>
    <row r="567" spans="1:22" ht="13.5" x14ac:dyDescent="0.35">
      <c r="A567" s="18">
        <v>123629</v>
      </c>
      <c r="B567" s="19" t="s">
        <v>593</v>
      </c>
      <c r="C567" s="19">
        <v>18</v>
      </c>
      <c r="D567" s="19">
        <v>101</v>
      </c>
      <c r="E567" s="19">
        <v>1803</v>
      </c>
      <c r="F567" s="19">
        <v>168.58</v>
      </c>
      <c r="G567" s="19">
        <v>0</v>
      </c>
      <c r="H567" s="19">
        <v>168.58</v>
      </c>
      <c r="I567" s="20">
        <f>168.58</f>
        <v>168.58</v>
      </c>
      <c r="J567" s="19">
        <f t="shared" si="56"/>
        <v>0</v>
      </c>
      <c r="K567" s="19">
        <f t="shared" si="57"/>
        <v>0</v>
      </c>
      <c r="L567" s="19">
        <v>-6.6E-4</v>
      </c>
      <c r="M567" s="19">
        <v>-3.5300000000000002E-3</v>
      </c>
      <c r="N567" s="19">
        <v>-3.5300000000000002E-3</v>
      </c>
      <c r="O567" s="19">
        <v>-3.5599999999999998E-3</v>
      </c>
      <c r="P567" s="19">
        <v>-3.5899999999999999E-3</v>
      </c>
      <c r="Q567" s="19"/>
      <c r="R567" s="19">
        <f t="shared" si="58"/>
        <v>0</v>
      </c>
      <c r="S567" s="19">
        <f t="shared" si="59"/>
        <v>0</v>
      </c>
      <c r="T567" s="19">
        <f t="shared" si="60"/>
        <v>0</v>
      </c>
      <c r="U567" s="19">
        <f t="shared" si="61"/>
        <v>0</v>
      </c>
      <c r="V567" s="21">
        <f t="shared" si="62"/>
        <v>0</v>
      </c>
    </row>
    <row r="568" spans="1:22" ht="13.5" x14ac:dyDescent="0.35">
      <c r="A568" s="18">
        <v>123635</v>
      </c>
      <c r="B568" s="19" t="s">
        <v>594</v>
      </c>
      <c r="C568" s="19">
        <v>192</v>
      </c>
      <c r="D568" s="19">
        <v>101</v>
      </c>
      <c r="E568" s="19">
        <v>1830</v>
      </c>
      <c r="F568" s="19">
        <v>0</v>
      </c>
      <c r="G568" s="19">
        <v>0</v>
      </c>
      <c r="H568" s="19">
        <v>0</v>
      </c>
      <c r="I568" s="20">
        <v>0</v>
      </c>
      <c r="J568" s="19">
        <f t="shared" si="56"/>
        <v>0</v>
      </c>
      <c r="K568" s="19">
        <f t="shared" si="57"/>
        <v>0</v>
      </c>
      <c r="L568" s="19">
        <v>-6.6E-4</v>
      </c>
      <c r="M568" s="19">
        <v>-3.7100000000000002E-3</v>
      </c>
      <c r="N568" s="19">
        <v>-3.7100000000000002E-3</v>
      </c>
      <c r="O568" s="19">
        <v>-3.7399999999999998E-3</v>
      </c>
      <c r="P568" s="19">
        <v>-3.7599999999999999E-3</v>
      </c>
      <c r="Q568" s="19"/>
      <c r="R568" s="19">
        <f t="shared" si="58"/>
        <v>0</v>
      </c>
      <c r="S568" s="19">
        <f t="shared" si="59"/>
        <v>0</v>
      </c>
      <c r="T568" s="19">
        <f t="shared" si="60"/>
        <v>0</v>
      </c>
      <c r="U568" s="19">
        <f t="shared" si="61"/>
        <v>0</v>
      </c>
      <c r="V568" s="21">
        <f t="shared" si="62"/>
        <v>0</v>
      </c>
    </row>
    <row r="569" spans="1:22" ht="13.5" x14ac:dyDescent="0.35">
      <c r="A569" s="18">
        <v>123641</v>
      </c>
      <c r="B569" s="19" t="s">
        <v>595</v>
      </c>
      <c r="C569" s="19">
        <v>16</v>
      </c>
      <c r="D569" s="19">
        <v>101</v>
      </c>
      <c r="E569" s="19">
        <v>1803</v>
      </c>
      <c r="F569" s="19">
        <v>152.80000000000001</v>
      </c>
      <c r="G569" s="19">
        <v>0</v>
      </c>
      <c r="H569" s="19">
        <v>152.80000000000001</v>
      </c>
      <c r="I569" s="20">
        <v>152.80000000000001</v>
      </c>
      <c r="J569" s="19">
        <f t="shared" si="56"/>
        <v>0</v>
      </c>
      <c r="K569" s="19">
        <f t="shared" si="57"/>
        <v>0</v>
      </c>
      <c r="L569" s="19">
        <v>-6.6E-4</v>
      </c>
      <c r="M569" s="19">
        <v>-3.5300000000000002E-3</v>
      </c>
      <c r="N569" s="19">
        <v>-3.5300000000000002E-3</v>
      </c>
      <c r="O569" s="19">
        <v>-3.5599999999999998E-3</v>
      </c>
      <c r="P569" s="19">
        <v>-3.5899999999999999E-3</v>
      </c>
      <c r="Q569" s="19"/>
      <c r="R569" s="19">
        <f t="shared" si="58"/>
        <v>0</v>
      </c>
      <c r="S569" s="19">
        <f t="shared" si="59"/>
        <v>0</v>
      </c>
      <c r="T569" s="19">
        <f t="shared" si="60"/>
        <v>0</v>
      </c>
      <c r="U569" s="19">
        <f t="shared" si="61"/>
        <v>0</v>
      </c>
      <c r="V569" s="21">
        <f t="shared" si="62"/>
        <v>0</v>
      </c>
    </row>
    <row r="570" spans="1:22" ht="13.5" x14ac:dyDescent="0.35">
      <c r="A570" s="18">
        <v>123642</v>
      </c>
      <c r="B570" s="19" t="s">
        <v>596</v>
      </c>
      <c r="C570" s="19">
        <v>13.8</v>
      </c>
      <c r="D570" s="19">
        <v>101</v>
      </c>
      <c r="E570" s="19">
        <v>1803</v>
      </c>
      <c r="F570" s="19">
        <v>0</v>
      </c>
      <c r="G570" s="19">
        <v>0</v>
      </c>
      <c r="H570" s="19">
        <v>0</v>
      </c>
      <c r="I570" s="20">
        <v>0</v>
      </c>
      <c r="J570" s="19">
        <f t="shared" si="56"/>
        <v>0</v>
      </c>
      <c r="K570" s="19">
        <f t="shared" si="57"/>
        <v>0</v>
      </c>
      <c r="L570" s="19">
        <v>-6.6E-4</v>
      </c>
      <c r="M570" s="19">
        <v>-3.5500000000000002E-3</v>
      </c>
      <c r="N570" s="19">
        <v>-3.5500000000000002E-3</v>
      </c>
      <c r="O570" s="19">
        <v>-3.5899999999999999E-3</v>
      </c>
      <c r="P570" s="19">
        <v>-3.6099999999999999E-3</v>
      </c>
      <c r="Q570" s="19"/>
      <c r="R570" s="19">
        <f t="shared" si="58"/>
        <v>0</v>
      </c>
      <c r="S570" s="19">
        <f t="shared" si="59"/>
        <v>0</v>
      </c>
      <c r="T570" s="19">
        <f t="shared" si="60"/>
        <v>0</v>
      </c>
      <c r="U570" s="19">
        <f t="shared" si="61"/>
        <v>0</v>
      </c>
      <c r="V570" s="21">
        <f t="shared" si="62"/>
        <v>0</v>
      </c>
    </row>
    <row r="571" spans="1:22" ht="13.5" x14ac:dyDescent="0.35">
      <c r="A571" s="18">
        <v>123643</v>
      </c>
      <c r="B571" s="19" t="s">
        <v>597</v>
      </c>
      <c r="C571" s="19">
        <v>13.8</v>
      </c>
      <c r="D571" s="19">
        <v>101</v>
      </c>
      <c r="E571" s="19">
        <v>1803</v>
      </c>
      <c r="F571" s="19">
        <v>59.65</v>
      </c>
      <c r="G571" s="19">
        <v>0</v>
      </c>
      <c r="H571" s="19">
        <v>59.65</v>
      </c>
      <c r="I571" s="20">
        <v>59.65</v>
      </c>
      <c r="J571" s="19">
        <f t="shared" si="56"/>
        <v>0</v>
      </c>
      <c r="K571" s="19">
        <f t="shared" si="57"/>
        <v>0</v>
      </c>
      <c r="L571" s="19">
        <v>-6.6E-4</v>
      </c>
      <c r="M571" s="19">
        <v>-3.5500000000000002E-3</v>
      </c>
      <c r="N571" s="19">
        <v>-3.5500000000000002E-3</v>
      </c>
      <c r="O571" s="19">
        <v>-3.5799999999999998E-3</v>
      </c>
      <c r="P571" s="19">
        <v>-3.6099999999999999E-3</v>
      </c>
      <c r="Q571" s="19"/>
      <c r="R571" s="19">
        <f t="shared" si="58"/>
        <v>0</v>
      </c>
      <c r="S571" s="19">
        <f t="shared" si="59"/>
        <v>0</v>
      </c>
      <c r="T571" s="19">
        <f t="shared" si="60"/>
        <v>0</v>
      </c>
      <c r="U571" s="19">
        <f t="shared" si="61"/>
        <v>0</v>
      </c>
      <c r="V571" s="21">
        <f t="shared" si="62"/>
        <v>0</v>
      </c>
    </row>
    <row r="572" spans="1:22" ht="13.5" x14ac:dyDescent="0.35">
      <c r="A572" s="18">
        <v>123644</v>
      </c>
      <c r="B572" s="19" t="s">
        <v>598</v>
      </c>
      <c r="C572" s="19">
        <v>16</v>
      </c>
      <c r="D572" s="19">
        <v>101</v>
      </c>
      <c r="E572" s="19">
        <v>1803</v>
      </c>
      <c r="F572" s="19">
        <v>165.6</v>
      </c>
      <c r="G572" s="19">
        <v>0</v>
      </c>
      <c r="H572" s="19">
        <v>165.6</v>
      </c>
      <c r="I572" s="20">
        <v>165.6</v>
      </c>
      <c r="J572" s="19">
        <f t="shared" si="56"/>
        <v>0</v>
      </c>
      <c r="K572" s="19">
        <f t="shared" si="57"/>
        <v>0</v>
      </c>
      <c r="L572" s="19">
        <v>-6.6E-4</v>
      </c>
      <c r="M572" s="19">
        <v>-3.5300000000000002E-3</v>
      </c>
      <c r="N572" s="19">
        <v>-3.5300000000000002E-3</v>
      </c>
      <c r="O572" s="19">
        <v>-3.5599999999999998E-3</v>
      </c>
      <c r="P572" s="19">
        <v>-3.5899999999999999E-3</v>
      </c>
      <c r="Q572" s="19"/>
      <c r="R572" s="19">
        <f t="shared" si="58"/>
        <v>0</v>
      </c>
      <c r="S572" s="19">
        <f t="shared" si="59"/>
        <v>0</v>
      </c>
      <c r="T572" s="19">
        <f t="shared" si="60"/>
        <v>0</v>
      </c>
      <c r="U572" s="19">
        <f t="shared" si="61"/>
        <v>0</v>
      </c>
      <c r="V572" s="21">
        <f t="shared" si="62"/>
        <v>0</v>
      </c>
    </row>
    <row r="573" spans="1:22" ht="13.5" x14ac:dyDescent="0.35">
      <c r="A573" s="18">
        <v>123645</v>
      </c>
      <c r="B573" s="19" t="s">
        <v>599</v>
      </c>
      <c r="C573" s="19">
        <v>16</v>
      </c>
      <c r="D573" s="19">
        <v>101</v>
      </c>
      <c r="E573" s="19">
        <v>1803</v>
      </c>
      <c r="F573" s="19">
        <v>165.6</v>
      </c>
      <c r="G573" s="19">
        <v>0</v>
      </c>
      <c r="H573" s="19">
        <v>165.6</v>
      </c>
      <c r="I573" s="20">
        <v>165.6</v>
      </c>
      <c r="J573" s="19">
        <f t="shared" si="56"/>
        <v>0</v>
      </c>
      <c r="K573" s="19">
        <f t="shared" si="57"/>
        <v>0</v>
      </c>
      <c r="L573" s="19">
        <v>-6.6E-4</v>
      </c>
      <c r="M573" s="19">
        <v>-3.5300000000000002E-3</v>
      </c>
      <c r="N573" s="19">
        <v>-3.5300000000000002E-3</v>
      </c>
      <c r="O573" s="19">
        <v>-3.5599999999999998E-3</v>
      </c>
      <c r="P573" s="19">
        <v>-3.5899999999999999E-3</v>
      </c>
      <c r="Q573" s="19"/>
      <c r="R573" s="19">
        <f t="shared" si="58"/>
        <v>0</v>
      </c>
      <c r="S573" s="19">
        <f t="shared" si="59"/>
        <v>0</v>
      </c>
      <c r="T573" s="19">
        <f t="shared" si="60"/>
        <v>0</v>
      </c>
      <c r="U573" s="19">
        <f t="shared" si="61"/>
        <v>0</v>
      </c>
      <c r="V573" s="21">
        <f t="shared" si="62"/>
        <v>0</v>
      </c>
    </row>
    <row r="574" spans="1:22" ht="13.5" x14ac:dyDescent="0.35">
      <c r="A574" s="18">
        <v>123653</v>
      </c>
      <c r="B574" s="19" t="s">
        <v>600</v>
      </c>
      <c r="C574" s="19">
        <v>22</v>
      </c>
      <c r="D574" s="19">
        <v>101</v>
      </c>
      <c r="E574" s="19">
        <v>1823</v>
      </c>
      <c r="F574" s="19">
        <v>466</v>
      </c>
      <c r="G574" s="19">
        <v>0</v>
      </c>
      <c r="H574" s="19">
        <v>466</v>
      </c>
      <c r="I574" s="20">
        <v>466</v>
      </c>
      <c r="J574" s="19">
        <f t="shared" si="56"/>
        <v>0</v>
      </c>
      <c r="K574" s="19">
        <f t="shared" si="57"/>
        <v>0</v>
      </c>
      <c r="L574" s="19">
        <v>-6.6E-4</v>
      </c>
      <c r="M574" s="19">
        <v>-3.6700000000000001E-3</v>
      </c>
      <c r="N574" s="19">
        <v>-3.6700000000000001E-3</v>
      </c>
      <c r="O574" s="19">
        <v>-3.7100000000000002E-3</v>
      </c>
      <c r="P574" s="19">
        <v>-3.7299999999999998E-3</v>
      </c>
      <c r="Q574" s="19"/>
      <c r="R574" s="19">
        <f t="shared" si="58"/>
        <v>0</v>
      </c>
      <c r="S574" s="19">
        <f t="shared" si="59"/>
        <v>0</v>
      </c>
      <c r="T574" s="19">
        <f t="shared" si="60"/>
        <v>0</v>
      </c>
      <c r="U574" s="19">
        <f t="shared" si="61"/>
        <v>0</v>
      </c>
      <c r="V574" s="21">
        <f t="shared" si="62"/>
        <v>0</v>
      </c>
    </row>
    <row r="575" spans="1:22" ht="13.5" x14ac:dyDescent="0.35">
      <c r="A575" s="18">
        <v>123655</v>
      </c>
      <c r="B575" s="19" t="s">
        <v>601</v>
      </c>
      <c r="C575" s="19">
        <v>13.8</v>
      </c>
      <c r="D575" s="19">
        <v>101</v>
      </c>
      <c r="E575" s="19">
        <v>1823</v>
      </c>
      <c r="F575" s="19">
        <v>43.2</v>
      </c>
      <c r="G575" s="19">
        <v>0</v>
      </c>
      <c r="H575" s="19">
        <v>43.2</v>
      </c>
      <c r="I575" s="20">
        <v>43.2</v>
      </c>
      <c r="J575" s="19">
        <f t="shared" si="56"/>
        <v>0</v>
      </c>
      <c r="K575" s="19">
        <f t="shared" si="57"/>
        <v>0</v>
      </c>
      <c r="L575" s="19">
        <v>-6.6E-4</v>
      </c>
      <c r="M575" s="19">
        <v>-3.6700000000000001E-3</v>
      </c>
      <c r="N575" s="19">
        <v>-3.6700000000000001E-3</v>
      </c>
      <c r="O575" s="19">
        <v>-3.7100000000000002E-3</v>
      </c>
      <c r="P575" s="19">
        <v>-3.7299999999999998E-3</v>
      </c>
      <c r="Q575" s="19"/>
      <c r="R575" s="19">
        <f t="shared" si="58"/>
        <v>0</v>
      </c>
      <c r="S575" s="19">
        <f t="shared" si="59"/>
        <v>0</v>
      </c>
      <c r="T575" s="19">
        <f t="shared" si="60"/>
        <v>0</v>
      </c>
      <c r="U575" s="19">
        <f t="shared" si="61"/>
        <v>0</v>
      </c>
      <c r="V575" s="21">
        <f t="shared" si="62"/>
        <v>0</v>
      </c>
    </row>
    <row r="576" spans="1:22" ht="13.5" x14ac:dyDescent="0.35">
      <c r="A576" s="18">
        <v>123656</v>
      </c>
      <c r="B576" s="19" t="s">
        <v>602</v>
      </c>
      <c r="C576" s="19">
        <v>13.8</v>
      </c>
      <c r="D576" s="19">
        <v>101</v>
      </c>
      <c r="E576" s="19">
        <v>1823</v>
      </c>
      <c r="F576" s="19">
        <v>0</v>
      </c>
      <c r="G576" s="19">
        <v>0</v>
      </c>
      <c r="H576" s="19">
        <v>0</v>
      </c>
      <c r="I576" s="20">
        <v>0</v>
      </c>
      <c r="J576" s="19">
        <f t="shared" si="56"/>
        <v>0</v>
      </c>
      <c r="K576" s="19">
        <f t="shared" si="57"/>
        <v>0</v>
      </c>
      <c r="L576" s="19">
        <v>-6.6E-4</v>
      </c>
      <c r="M576" s="19">
        <v>-3.6700000000000001E-3</v>
      </c>
      <c r="N576" s="19">
        <v>-3.6700000000000001E-3</v>
      </c>
      <c r="O576" s="19">
        <v>-3.7100000000000002E-3</v>
      </c>
      <c r="P576" s="19">
        <v>-3.7299999999999998E-3</v>
      </c>
      <c r="Q576" s="19"/>
      <c r="R576" s="19">
        <f t="shared" si="58"/>
        <v>0</v>
      </c>
      <c r="S576" s="19">
        <f t="shared" si="59"/>
        <v>0</v>
      </c>
      <c r="T576" s="19">
        <f t="shared" si="60"/>
        <v>0</v>
      </c>
      <c r="U576" s="19">
        <f t="shared" si="61"/>
        <v>0</v>
      </c>
      <c r="V576" s="21">
        <f t="shared" si="62"/>
        <v>0</v>
      </c>
    </row>
    <row r="577" spans="1:22" ht="13.5" x14ac:dyDescent="0.35">
      <c r="A577" s="18">
        <v>900088</v>
      </c>
      <c r="B577" s="19" t="s">
        <v>603</v>
      </c>
      <c r="C577" s="19">
        <v>345</v>
      </c>
      <c r="D577" s="19">
        <v>101</v>
      </c>
      <c r="E577" s="19">
        <v>110</v>
      </c>
      <c r="F577" s="19">
        <v>2.82</v>
      </c>
      <c r="G577" s="19">
        <v>0</v>
      </c>
      <c r="H577" s="19">
        <v>2.82</v>
      </c>
      <c r="I577" s="20">
        <v>2.82</v>
      </c>
      <c r="J577" s="19">
        <f t="shared" si="56"/>
        <v>0</v>
      </c>
      <c r="K577" s="19">
        <f t="shared" si="57"/>
        <v>0</v>
      </c>
      <c r="L577" s="19">
        <v>-6.6E-4</v>
      </c>
      <c r="M577" s="19">
        <v>2.7399999999999998E-3</v>
      </c>
      <c r="N577" s="19">
        <v>2.7399999999999998E-3</v>
      </c>
      <c r="O577" s="19">
        <v>2.7100000000000002E-3</v>
      </c>
      <c r="P577" s="19">
        <v>2.6800000000000001E-3</v>
      </c>
      <c r="Q577" s="19"/>
      <c r="R577" s="19">
        <f t="shared" si="58"/>
        <v>0</v>
      </c>
      <c r="S577" s="19">
        <f t="shared" si="59"/>
        <v>0</v>
      </c>
      <c r="T577" s="19">
        <f t="shared" si="60"/>
        <v>0</v>
      </c>
      <c r="U577" s="19">
        <f t="shared" si="61"/>
        <v>0</v>
      </c>
      <c r="V577" s="21">
        <f t="shared" si="62"/>
        <v>0</v>
      </c>
    </row>
    <row r="578" spans="1:22" ht="13.5" x14ac:dyDescent="0.35">
      <c r="A578" s="18">
        <v>904095</v>
      </c>
      <c r="B578" s="19" t="s">
        <v>604</v>
      </c>
      <c r="C578" s="19">
        <v>345</v>
      </c>
      <c r="D578" s="19">
        <v>101</v>
      </c>
      <c r="E578" s="19">
        <v>640</v>
      </c>
      <c r="F578" s="19">
        <v>0</v>
      </c>
      <c r="G578" s="19">
        <v>0</v>
      </c>
      <c r="H578" s="19">
        <v>0</v>
      </c>
      <c r="I578" s="20">
        <v>0</v>
      </c>
      <c r="J578" s="19">
        <f t="shared" si="56"/>
        <v>0</v>
      </c>
      <c r="K578" s="19">
        <f t="shared" si="57"/>
        <v>0</v>
      </c>
      <c r="L578" s="19">
        <v>-6.6E-4</v>
      </c>
      <c r="M578" s="19">
        <v>2.7200000000000002E-3</v>
      </c>
      <c r="N578" s="19">
        <v>2.7200000000000002E-3</v>
      </c>
      <c r="O578" s="19">
        <v>2.6900000000000001E-3</v>
      </c>
      <c r="P578" s="19">
        <v>2.66E-3</v>
      </c>
      <c r="Q578" s="19"/>
      <c r="R578" s="19">
        <f t="shared" si="58"/>
        <v>0</v>
      </c>
      <c r="S578" s="19">
        <f t="shared" si="59"/>
        <v>0</v>
      </c>
      <c r="T578" s="19">
        <f t="shared" si="60"/>
        <v>0</v>
      </c>
      <c r="U578" s="19">
        <f t="shared" si="61"/>
        <v>0</v>
      </c>
      <c r="V578" s="21">
        <f t="shared" si="62"/>
        <v>0</v>
      </c>
    </row>
    <row r="579" spans="1:22" ht="13.5" x14ac:dyDescent="0.35">
      <c r="A579" s="18">
        <v>904935</v>
      </c>
      <c r="B579" s="19" t="s">
        <v>605</v>
      </c>
      <c r="C579" s="19">
        <v>115</v>
      </c>
      <c r="D579" s="19">
        <v>101</v>
      </c>
      <c r="E579" s="19">
        <v>680</v>
      </c>
      <c r="F579" s="19">
        <v>1.35</v>
      </c>
      <c r="G579" s="19">
        <v>0</v>
      </c>
      <c r="H579" s="19">
        <v>1.35</v>
      </c>
      <c r="I579" s="20">
        <v>1.35</v>
      </c>
      <c r="J579" s="19">
        <f t="shared" si="56"/>
        <v>0</v>
      </c>
      <c r="K579" s="19">
        <f t="shared" si="57"/>
        <v>0</v>
      </c>
      <c r="L579" s="19">
        <v>-6.6E-4</v>
      </c>
      <c r="M579" s="19">
        <v>8.0000000000000007E-5</v>
      </c>
      <c r="N579" s="19">
        <v>8.0000000000000007E-5</v>
      </c>
      <c r="O579" s="19">
        <v>5.0000000000000002E-5</v>
      </c>
      <c r="P579" s="19">
        <v>3.0000000000000001E-5</v>
      </c>
      <c r="Q579" s="19"/>
      <c r="R579" s="19">
        <f t="shared" si="58"/>
        <v>0</v>
      </c>
      <c r="S579" s="19">
        <f t="shared" si="59"/>
        <v>0</v>
      </c>
      <c r="T579" s="19">
        <f t="shared" si="60"/>
        <v>0</v>
      </c>
      <c r="U579" s="19">
        <f t="shared" si="61"/>
        <v>0</v>
      </c>
      <c r="V579" s="21">
        <f t="shared" si="62"/>
        <v>0</v>
      </c>
    </row>
    <row r="580" spans="1:22" ht="13.5" x14ac:dyDescent="0.35">
      <c r="A580" s="18">
        <v>910759</v>
      </c>
      <c r="B580" s="19" t="s">
        <v>606</v>
      </c>
      <c r="C580" s="19">
        <v>345</v>
      </c>
      <c r="D580" s="19">
        <v>101</v>
      </c>
      <c r="E580" s="19">
        <v>1000</v>
      </c>
      <c r="F580" s="19">
        <v>226.84</v>
      </c>
      <c r="G580" s="19">
        <v>0</v>
      </c>
      <c r="H580" s="19">
        <v>1200</v>
      </c>
      <c r="I580" s="20">
        <f>226.84</f>
        <v>226.84</v>
      </c>
      <c r="J580" s="19">
        <f t="shared" si="56"/>
        <v>0</v>
      </c>
      <c r="K580" s="19">
        <f t="shared" si="57"/>
        <v>973.16</v>
      </c>
      <c r="L580" s="19">
        <v>-6.6E-4</v>
      </c>
      <c r="M580" s="19">
        <v>4.6299999999999996E-3</v>
      </c>
      <c r="N580" s="19">
        <v>4.6299999999999996E-3</v>
      </c>
      <c r="O580" s="19">
        <v>4.5999999999999999E-3</v>
      </c>
      <c r="P580" s="19">
        <v>4.5799999999999999E-3</v>
      </c>
      <c r="Q580" s="19"/>
      <c r="R580" s="19">
        <f t="shared" si="58"/>
        <v>0</v>
      </c>
      <c r="S580" s="19">
        <f t="shared" si="59"/>
        <v>0</v>
      </c>
      <c r="T580" s="19">
        <f t="shared" si="60"/>
        <v>0</v>
      </c>
      <c r="U580" s="19">
        <f t="shared" si="61"/>
        <v>0</v>
      </c>
      <c r="V580" s="21">
        <f t="shared" si="62"/>
        <v>0</v>
      </c>
    </row>
    <row r="581" spans="1:22" ht="13.5" x14ac:dyDescent="0.35">
      <c r="A581" s="18">
        <v>910770</v>
      </c>
      <c r="B581" s="19" t="s">
        <v>607</v>
      </c>
      <c r="C581" s="19">
        <v>345</v>
      </c>
      <c r="D581" s="19">
        <v>101</v>
      </c>
      <c r="E581" s="19">
        <v>1020</v>
      </c>
      <c r="F581" s="19">
        <v>250</v>
      </c>
      <c r="G581" s="19">
        <v>0</v>
      </c>
      <c r="H581" s="19">
        <v>250</v>
      </c>
      <c r="I581" s="20">
        <v>250</v>
      </c>
      <c r="J581" s="19">
        <f t="shared" si="56"/>
        <v>0</v>
      </c>
      <c r="K581" s="19">
        <f t="shared" si="57"/>
        <v>0</v>
      </c>
      <c r="L581" s="19">
        <v>-6.6E-4</v>
      </c>
      <c r="M581" s="19">
        <v>4.47E-3</v>
      </c>
      <c r="N581" s="19">
        <v>4.47E-3</v>
      </c>
      <c r="O581" s="19">
        <v>4.4400000000000004E-3</v>
      </c>
      <c r="P581" s="19">
        <v>4.4099999999999999E-3</v>
      </c>
      <c r="Q581" s="19"/>
      <c r="R581" s="19">
        <f t="shared" si="58"/>
        <v>0</v>
      </c>
      <c r="S581" s="19">
        <f t="shared" si="59"/>
        <v>0</v>
      </c>
      <c r="T581" s="19">
        <f t="shared" si="60"/>
        <v>0</v>
      </c>
      <c r="U581" s="19">
        <f t="shared" si="61"/>
        <v>0</v>
      </c>
      <c r="V581" s="21">
        <f t="shared" si="62"/>
        <v>0</v>
      </c>
    </row>
    <row r="582" spans="1:22" ht="13.5" x14ac:dyDescent="0.35">
      <c r="A582" s="18">
        <v>910783</v>
      </c>
      <c r="B582" s="19" t="s">
        <v>608</v>
      </c>
      <c r="C582" s="19">
        <v>345</v>
      </c>
      <c r="D582" s="19">
        <v>101</v>
      </c>
      <c r="E582" s="19">
        <v>1020</v>
      </c>
      <c r="F582" s="19">
        <v>0</v>
      </c>
      <c r="G582" s="19">
        <v>0</v>
      </c>
      <c r="H582" s="19">
        <v>0</v>
      </c>
      <c r="I582" s="20">
        <v>0</v>
      </c>
      <c r="J582" s="19">
        <f t="shared" si="56"/>
        <v>0</v>
      </c>
      <c r="K582" s="19">
        <f t="shared" si="57"/>
        <v>0</v>
      </c>
      <c r="L582" s="19">
        <v>-6.6E-4</v>
      </c>
      <c r="M582" s="19">
        <v>2.623E-2</v>
      </c>
      <c r="N582" s="19">
        <v>2.623E-2</v>
      </c>
      <c r="O582" s="19">
        <v>2.6200000000000001E-2</v>
      </c>
      <c r="P582" s="19">
        <v>2.6169999999999999E-2</v>
      </c>
      <c r="Q582" s="19"/>
      <c r="R582" s="19">
        <f t="shared" si="58"/>
        <v>0</v>
      </c>
      <c r="S582" s="19">
        <f t="shared" si="59"/>
        <v>0</v>
      </c>
      <c r="T582" s="19">
        <f t="shared" si="60"/>
        <v>0</v>
      </c>
      <c r="U582" s="19">
        <f t="shared" si="61"/>
        <v>0</v>
      </c>
      <c r="V582" s="21">
        <f t="shared" si="62"/>
        <v>0</v>
      </c>
    </row>
    <row r="583" spans="1:22" ht="13.5" x14ac:dyDescent="0.35">
      <c r="A583" s="18">
        <v>910804</v>
      </c>
      <c r="B583" s="19" t="s">
        <v>609</v>
      </c>
      <c r="C583" s="19">
        <v>115</v>
      </c>
      <c r="D583" s="19">
        <v>101</v>
      </c>
      <c r="E583" s="19">
        <v>1000</v>
      </c>
      <c r="F583" s="19">
        <v>5.5</v>
      </c>
      <c r="G583" s="19">
        <v>0</v>
      </c>
      <c r="H583" s="19">
        <v>5.5</v>
      </c>
      <c r="I583" s="20">
        <v>5.5</v>
      </c>
      <c r="J583" s="19">
        <f t="shared" si="56"/>
        <v>0</v>
      </c>
      <c r="K583" s="19">
        <f t="shared" si="57"/>
        <v>0</v>
      </c>
      <c r="L583" s="19">
        <v>-6.6E-4</v>
      </c>
      <c r="M583" s="19">
        <v>5.2599999999999999E-3</v>
      </c>
      <c r="N583" s="19">
        <v>5.2599999999999999E-3</v>
      </c>
      <c r="O583" s="19">
        <v>5.2300000000000003E-3</v>
      </c>
      <c r="P583" s="19">
        <v>5.2100000000000002E-3</v>
      </c>
      <c r="Q583" s="19"/>
      <c r="R583" s="19">
        <f t="shared" si="58"/>
        <v>0</v>
      </c>
      <c r="S583" s="19">
        <f t="shared" si="59"/>
        <v>0</v>
      </c>
      <c r="T583" s="19">
        <f t="shared" si="60"/>
        <v>0</v>
      </c>
      <c r="U583" s="19">
        <f t="shared" si="61"/>
        <v>0</v>
      </c>
      <c r="V583" s="21">
        <f t="shared" si="62"/>
        <v>0</v>
      </c>
    </row>
    <row r="584" spans="1:22" ht="13.5" x14ac:dyDescent="0.35">
      <c r="A584" s="18">
        <v>910818</v>
      </c>
      <c r="B584" s="19" t="s">
        <v>606</v>
      </c>
      <c r="C584" s="19">
        <v>115</v>
      </c>
      <c r="D584" s="19">
        <v>101</v>
      </c>
      <c r="E584" s="19">
        <v>1000</v>
      </c>
      <c r="F584" s="19">
        <v>204</v>
      </c>
      <c r="G584" s="19">
        <v>0</v>
      </c>
      <c r="H584" s="19">
        <v>204</v>
      </c>
      <c r="I584" s="20">
        <v>204</v>
      </c>
      <c r="J584" s="19">
        <f t="shared" si="56"/>
        <v>0</v>
      </c>
      <c r="K584" s="19">
        <f t="shared" si="57"/>
        <v>0</v>
      </c>
      <c r="L584" s="19">
        <v>-6.6E-4</v>
      </c>
      <c r="M584" s="19">
        <v>6.5100000000000002E-3</v>
      </c>
      <c r="N584" s="19">
        <v>6.5100000000000002E-3</v>
      </c>
      <c r="O584" s="19">
        <v>6.4799999999999996E-3</v>
      </c>
      <c r="P584" s="19">
        <v>6.4599999999999996E-3</v>
      </c>
      <c r="Q584" s="19"/>
      <c r="R584" s="19">
        <f t="shared" si="58"/>
        <v>0</v>
      </c>
      <c r="S584" s="19">
        <f t="shared" si="59"/>
        <v>0</v>
      </c>
      <c r="T584" s="19">
        <f t="shared" si="60"/>
        <v>0</v>
      </c>
      <c r="U584" s="19">
        <f t="shared" si="61"/>
        <v>0</v>
      </c>
      <c r="V584" s="21">
        <f t="shared" si="62"/>
        <v>0</v>
      </c>
    </row>
    <row r="585" spans="1:22" ht="13.5" x14ac:dyDescent="0.35">
      <c r="A585" s="18">
        <v>910831</v>
      </c>
      <c r="B585" s="19" t="s">
        <v>610</v>
      </c>
      <c r="C585" s="19">
        <v>115</v>
      </c>
      <c r="D585" s="19">
        <v>101</v>
      </c>
      <c r="E585" s="19">
        <v>1000</v>
      </c>
      <c r="F585" s="19">
        <v>2.76</v>
      </c>
      <c r="G585" s="19">
        <v>0</v>
      </c>
      <c r="H585" s="19">
        <v>2.76</v>
      </c>
      <c r="I585" s="20">
        <v>2.76</v>
      </c>
      <c r="J585" s="19">
        <f t="shared" si="56"/>
        <v>0</v>
      </c>
      <c r="K585" s="19">
        <f t="shared" si="57"/>
        <v>0</v>
      </c>
      <c r="L585" s="19">
        <v>-6.6E-4</v>
      </c>
      <c r="M585" s="19">
        <v>6.8799999999999998E-3</v>
      </c>
      <c r="N585" s="19">
        <v>6.8799999999999998E-3</v>
      </c>
      <c r="O585" s="19">
        <v>6.8500000000000002E-3</v>
      </c>
      <c r="P585" s="19">
        <v>6.8199999999999997E-3</v>
      </c>
      <c r="Q585" s="19"/>
      <c r="R585" s="19">
        <f t="shared" si="58"/>
        <v>0</v>
      </c>
      <c r="S585" s="19">
        <f t="shared" si="59"/>
        <v>0</v>
      </c>
      <c r="T585" s="19">
        <f t="shared" si="60"/>
        <v>0</v>
      </c>
      <c r="U585" s="19">
        <f t="shared" si="61"/>
        <v>0</v>
      </c>
      <c r="V585" s="21">
        <f t="shared" si="62"/>
        <v>0</v>
      </c>
    </row>
    <row r="586" spans="1:22" ht="13.5" x14ac:dyDescent="0.35">
      <c r="A586" s="18">
        <v>910842</v>
      </c>
      <c r="B586" s="19" t="s">
        <v>611</v>
      </c>
      <c r="C586" s="19">
        <v>115</v>
      </c>
      <c r="D586" s="19">
        <v>101</v>
      </c>
      <c r="E586" s="19">
        <v>1000</v>
      </c>
      <c r="F586" s="19">
        <v>2.56</v>
      </c>
      <c r="G586" s="19">
        <v>0</v>
      </c>
      <c r="H586" s="19">
        <v>2.56</v>
      </c>
      <c r="I586" s="20">
        <v>2.56</v>
      </c>
      <c r="J586" s="19">
        <f t="shared" si="56"/>
        <v>0</v>
      </c>
      <c r="K586" s="19">
        <f t="shared" si="57"/>
        <v>0</v>
      </c>
      <c r="L586" s="19">
        <v>-6.6E-4</v>
      </c>
      <c r="M586" s="19">
        <v>6.79E-3</v>
      </c>
      <c r="N586" s="19">
        <v>6.79E-3</v>
      </c>
      <c r="O586" s="19">
        <v>6.7600000000000004E-3</v>
      </c>
      <c r="P586" s="19">
        <v>6.7299999999999999E-3</v>
      </c>
      <c r="Q586" s="19"/>
      <c r="R586" s="19">
        <f t="shared" si="58"/>
        <v>0</v>
      </c>
      <c r="S586" s="19">
        <f t="shared" si="59"/>
        <v>0</v>
      </c>
      <c r="T586" s="19">
        <f t="shared" si="60"/>
        <v>0</v>
      </c>
      <c r="U586" s="19">
        <f t="shared" si="61"/>
        <v>0</v>
      </c>
      <c r="V586" s="21">
        <f t="shared" si="62"/>
        <v>0</v>
      </c>
    </row>
    <row r="587" spans="1:22" ht="13.5" x14ac:dyDescent="0.35">
      <c r="A587" s="18">
        <v>910848</v>
      </c>
      <c r="B587" s="19" t="s">
        <v>612</v>
      </c>
      <c r="C587" s="19">
        <v>115</v>
      </c>
      <c r="D587" s="19">
        <v>101</v>
      </c>
      <c r="E587" s="19">
        <v>1000</v>
      </c>
      <c r="F587" s="19">
        <v>42.1</v>
      </c>
      <c r="G587" s="19">
        <v>0</v>
      </c>
      <c r="H587" s="19">
        <v>42.1</v>
      </c>
      <c r="I587" s="20">
        <v>42.1</v>
      </c>
      <c r="J587" s="19">
        <f t="shared" si="56"/>
        <v>0</v>
      </c>
      <c r="K587" s="19">
        <f t="shared" si="57"/>
        <v>0</v>
      </c>
      <c r="L587" s="19">
        <v>-6.6E-4</v>
      </c>
      <c r="M587" s="19">
        <v>6.8300000000000001E-3</v>
      </c>
      <c r="N587" s="19">
        <v>6.8300000000000001E-3</v>
      </c>
      <c r="O587" s="19">
        <v>6.7999999999999996E-3</v>
      </c>
      <c r="P587" s="19">
        <v>6.77E-3</v>
      </c>
      <c r="Q587" s="19"/>
      <c r="R587" s="19">
        <f t="shared" si="58"/>
        <v>0</v>
      </c>
      <c r="S587" s="19">
        <f t="shared" si="59"/>
        <v>0</v>
      </c>
      <c r="T587" s="19">
        <f t="shared" si="60"/>
        <v>0</v>
      </c>
      <c r="U587" s="19">
        <f t="shared" si="61"/>
        <v>0</v>
      </c>
      <c r="V587" s="21">
        <f t="shared" si="62"/>
        <v>0</v>
      </c>
    </row>
    <row r="588" spans="1:22" ht="13.5" x14ac:dyDescent="0.35">
      <c r="A588" s="18">
        <v>910895</v>
      </c>
      <c r="B588" s="19" t="s">
        <v>613</v>
      </c>
      <c r="C588" s="19">
        <v>115</v>
      </c>
      <c r="D588" s="19">
        <v>101</v>
      </c>
      <c r="E588" s="19">
        <v>1020</v>
      </c>
      <c r="F588" s="19">
        <v>9</v>
      </c>
      <c r="G588" s="19">
        <v>0</v>
      </c>
      <c r="H588" s="19">
        <v>9</v>
      </c>
      <c r="I588" s="20">
        <v>9</v>
      </c>
      <c r="J588" s="19">
        <f t="shared" si="56"/>
        <v>0</v>
      </c>
      <c r="K588" s="19">
        <f t="shared" si="57"/>
        <v>0</v>
      </c>
      <c r="L588" s="19">
        <v>-6.6E-4</v>
      </c>
      <c r="M588" s="19">
        <v>1.055E-2</v>
      </c>
      <c r="N588" s="19">
        <v>1.055E-2</v>
      </c>
      <c r="O588" s="19">
        <v>1.052E-2</v>
      </c>
      <c r="P588" s="19">
        <v>1.0500000000000001E-2</v>
      </c>
      <c r="Q588" s="19"/>
      <c r="R588" s="19">
        <f t="shared" si="58"/>
        <v>0</v>
      </c>
      <c r="S588" s="19">
        <f t="shared" si="59"/>
        <v>0</v>
      </c>
      <c r="T588" s="19">
        <f t="shared" si="60"/>
        <v>0</v>
      </c>
      <c r="U588" s="19">
        <f t="shared" si="61"/>
        <v>0</v>
      </c>
      <c r="V588" s="21">
        <f t="shared" si="62"/>
        <v>0</v>
      </c>
    </row>
    <row r="589" spans="1:22" ht="13.5" x14ac:dyDescent="0.35">
      <c r="A589" s="18">
        <v>910898</v>
      </c>
      <c r="B589" s="19" t="s">
        <v>614</v>
      </c>
      <c r="C589" s="19">
        <v>115</v>
      </c>
      <c r="D589" s="19">
        <v>101</v>
      </c>
      <c r="E589" s="19">
        <v>1020</v>
      </c>
      <c r="F589" s="19">
        <v>8</v>
      </c>
      <c r="G589" s="19">
        <v>0</v>
      </c>
      <c r="H589" s="19">
        <v>8</v>
      </c>
      <c r="I589" s="20">
        <v>8</v>
      </c>
      <c r="J589" s="19">
        <f t="shared" si="56"/>
        <v>0</v>
      </c>
      <c r="K589" s="19">
        <f t="shared" si="57"/>
        <v>0</v>
      </c>
      <c r="L589" s="19">
        <v>-6.6E-4</v>
      </c>
      <c r="M589" s="19">
        <v>1.558E-2</v>
      </c>
      <c r="N589" s="19">
        <v>1.558E-2</v>
      </c>
      <c r="O589" s="19">
        <v>1.555E-2</v>
      </c>
      <c r="P589" s="19">
        <v>1.5520000000000001E-2</v>
      </c>
      <c r="Q589" s="19"/>
      <c r="R589" s="19">
        <f t="shared" si="58"/>
        <v>0</v>
      </c>
      <c r="S589" s="19">
        <f t="shared" si="59"/>
        <v>0</v>
      </c>
      <c r="T589" s="19">
        <f t="shared" si="60"/>
        <v>0</v>
      </c>
      <c r="U589" s="19">
        <f t="shared" si="61"/>
        <v>0</v>
      </c>
      <c r="V589" s="21">
        <f t="shared" si="62"/>
        <v>0</v>
      </c>
    </row>
    <row r="590" spans="1:22" ht="13.5" x14ac:dyDescent="0.35">
      <c r="A590" s="18">
        <v>911133</v>
      </c>
      <c r="B590" s="19" t="s">
        <v>612</v>
      </c>
      <c r="C590" s="19">
        <v>345</v>
      </c>
      <c r="D590" s="19">
        <v>101</v>
      </c>
      <c r="E590" s="19">
        <v>1030</v>
      </c>
      <c r="F590" s="19">
        <v>200</v>
      </c>
      <c r="G590" s="19">
        <v>0</v>
      </c>
      <c r="H590" s="19">
        <v>200</v>
      </c>
      <c r="I590" s="20">
        <v>200</v>
      </c>
      <c r="J590" s="19">
        <f t="shared" ref="J590:J653" si="63">I590-F590</f>
        <v>0</v>
      </c>
      <c r="K590" s="19">
        <f t="shared" ref="K590:K653" si="64">H590-I590</f>
        <v>0</v>
      </c>
      <c r="L590" s="19">
        <v>-6.6E-4</v>
      </c>
      <c r="M590" s="19">
        <v>2.6960000000000001E-2</v>
      </c>
      <c r="N590" s="19">
        <v>2.6960000000000001E-2</v>
      </c>
      <c r="O590" s="19">
        <v>2.6929999999999999E-2</v>
      </c>
      <c r="P590" s="19">
        <v>2.69E-2</v>
      </c>
      <c r="Q590" s="19"/>
      <c r="R590" s="19">
        <f t="shared" ref="R590:R653" si="65">L590*J590</f>
        <v>0</v>
      </c>
      <c r="S590" s="19">
        <f t="shared" ref="S590:S653" si="66">M590*J590</f>
        <v>0</v>
      </c>
      <c r="T590" s="19">
        <f t="shared" ref="T590:T653" si="67">N590*J590</f>
        <v>0</v>
      </c>
      <c r="U590" s="19">
        <f t="shared" ref="U590:U653" si="68">O590*J590</f>
        <v>0</v>
      </c>
      <c r="V590" s="21">
        <f t="shared" ref="V590:V653" si="69">P590*J590</f>
        <v>0</v>
      </c>
    </row>
    <row r="591" spans="1:22" ht="13.5" x14ac:dyDescent="0.35">
      <c r="A591" s="18">
        <v>911140</v>
      </c>
      <c r="B591" s="19" t="s">
        <v>615</v>
      </c>
      <c r="C591" s="19">
        <v>115</v>
      </c>
      <c r="D591" s="19">
        <v>101</v>
      </c>
      <c r="E591" s="19">
        <v>1030</v>
      </c>
      <c r="F591" s="19">
        <v>46.62</v>
      </c>
      <c r="G591" s="19">
        <v>0</v>
      </c>
      <c r="H591" s="19">
        <v>46.62</v>
      </c>
      <c r="I591" s="20">
        <v>46.62</v>
      </c>
      <c r="J591" s="19">
        <f t="shared" si="63"/>
        <v>0</v>
      </c>
      <c r="K591" s="19">
        <f t="shared" si="64"/>
        <v>0</v>
      </c>
      <c r="L591" s="19">
        <v>-6.6E-4</v>
      </c>
      <c r="M591" s="19">
        <v>2.8570000000000002E-2</v>
      </c>
      <c r="N591" s="19">
        <v>2.8570000000000002E-2</v>
      </c>
      <c r="O591" s="19">
        <v>2.8539999999999999E-2</v>
      </c>
      <c r="P591" s="19">
        <v>2.8510000000000001E-2</v>
      </c>
      <c r="Q591" s="19"/>
      <c r="R591" s="19">
        <f t="shared" si="65"/>
        <v>0</v>
      </c>
      <c r="S591" s="19">
        <f t="shared" si="66"/>
        <v>0</v>
      </c>
      <c r="T591" s="19">
        <f t="shared" si="67"/>
        <v>0</v>
      </c>
      <c r="U591" s="19">
        <f t="shared" si="68"/>
        <v>0</v>
      </c>
      <c r="V591" s="21">
        <f t="shared" si="69"/>
        <v>0</v>
      </c>
    </row>
    <row r="592" spans="1:22" ht="13.5" x14ac:dyDescent="0.35">
      <c r="A592" s="18">
        <v>911142</v>
      </c>
      <c r="B592" s="19" t="s">
        <v>616</v>
      </c>
      <c r="C592" s="19">
        <v>115</v>
      </c>
      <c r="D592" s="19">
        <v>101</v>
      </c>
      <c r="E592" s="19">
        <v>1030</v>
      </c>
      <c r="F592" s="19">
        <v>8.3800000000000008</v>
      </c>
      <c r="G592" s="19">
        <v>0</v>
      </c>
      <c r="H592" s="19">
        <v>10</v>
      </c>
      <c r="I592" s="20">
        <v>8.3800000000000008</v>
      </c>
      <c r="J592" s="19">
        <f t="shared" si="63"/>
        <v>0</v>
      </c>
      <c r="K592" s="19">
        <f t="shared" si="64"/>
        <v>1.6199999999999992</v>
      </c>
      <c r="L592" s="19">
        <v>-6.6E-4</v>
      </c>
      <c r="M592" s="19">
        <v>2.7490000000000001E-2</v>
      </c>
      <c r="N592" s="19">
        <v>2.7490000000000001E-2</v>
      </c>
      <c r="O592" s="19">
        <v>2.7449999999999999E-2</v>
      </c>
      <c r="P592" s="19">
        <v>2.743E-2</v>
      </c>
      <c r="Q592" s="19"/>
      <c r="R592" s="19">
        <f t="shared" si="65"/>
        <v>0</v>
      </c>
      <c r="S592" s="19">
        <f t="shared" si="66"/>
        <v>0</v>
      </c>
      <c r="T592" s="19">
        <f t="shared" si="67"/>
        <v>0</v>
      </c>
      <c r="U592" s="19">
        <f t="shared" si="68"/>
        <v>0</v>
      </c>
      <c r="V592" s="21">
        <f t="shared" si="69"/>
        <v>0</v>
      </c>
    </row>
    <row r="593" spans="1:22" ht="13.5" x14ac:dyDescent="0.35">
      <c r="A593" s="18">
        <v>911143</v>
      </c>
      <c r="B593" s="19" t="s">
        <v>610</v>
      </c>
      <c r="C593" s="19">
        <v>115</v>
      </c>
      <c r="D593" s="19">
        <v>101</v>
      </c>
      <c r="E593" s="19">
        <v>1030</v>
      </c>
      <c r="F593" s="19">
        <v>5.76</v>
      </c>
      <c r="G593" s="19">
        <v>0</v>
      </c>
      <c r="H593" s="19">
        <v>5.76</v>
      </c>
      <c r="I593" s="20">
        <v>5.76</v>
      </c>
      <c r="J593" s="19">
        <f t="shared" si="63"/>
        <v>0</v>
      </c>
      <c r="K593" s="19">
        <f t="shared" si="64"/>
        <v>0</v>
      </c>
      <c r="L593" s="19">
        <v>-6.6E-4</v>
      </c>
      <c r="M593" s="19">
        <v>3.3509999999999998E-2</v>
      </c>
      <c r="N593" s="19">
        <v>3.3509999999999998E-2</v>
      </c>
      <c r="O593" s="19">
        <v>3.3480000000000003E-2</v>
      </c>
      <c r="P593" s="19">
        <v>3.3450000000000001E-2</v>
      </c>
      <c r="Q593" s="19"/>
      <c r="R593" s="19">
        <f t="shared" si="65"/>
        <v>0</v>
      </c>
      <c r="S593" s="19">
        <f t="shared" si="66"/>
        <v>0</v>
      </c>
      <c r="T593" s="19">
        <f t="shared" si="67"/>
        <v>0</v>
      </c>
      <c r="U593" s="19">
        <f t="shared" si="68"/>
        <v>0</v>
      </c>
      <c r="V593" s="21">
        <f t="shared" si="69"/>
        <v>0</v>
      </c>
    </row>
    <row r="594" spans="1:22" ht="13.5" x14ac:dyDescent="0.35">
      <c r="A594" s="18">
        <v>911144</v>
      </c>
      <c r="B594" s="19" t="s">
        <v>617</v>
      </c>
      <c r="C594" s="19">
        <v>115</v>
      </c>
      <c r="D594" s="19">
        <v>101</v>
      </c>
      <c r="E594" s="19">
        <v>1030</v>
      </c>
      <c r="F594" s="19">
        <v>15.78</v>
      </c>
      <c r="G594" s="19">
        <v>0</v>
      </c>
      <c r="H594" s="19">
        <v>15.78</v>
      </c>
      <c r="I594" s="20">
        <v>15.78</v>
      </c>
      <c r="J594" s="19">
        <f t="shared" si="63"/>
        <v>0</v>
      </c>
      <c r="K594" s="19">
        <f t="shared" si="64"/>
        <v>0</v>
      </c>
      <c r="L594" s="19">
        <v>-6.6E-4</v>
      </c>
      <c r="M594" s="19">
        <v>3.3320000000000002E-2</v>
      </c>
      <c r="N594" s="19">
        <v>3.3320000000000002E-2</v>
      </c>
      <c r="O594" s="19">
        <v>3.329E-2</v>
      </c>
      <c r="P594" s="19">
        <v>3.3259999999999998E-2</v>
      </c>
      <c r="Q594" s="19"/>
      <c r="R594" s="19">
        <f t="shared" si="65"/>
        <v>0</v>
      </c>
      <c r="S594" s="19">
        <f t="shared" si="66"/>
        <v>0</v>
      </c>
      <c r="T594" s="19">
        <f t="shared" si="67"/>
        <v>0</v>
      </c>
      <c r="U594" s="19">
        <f t="shared" si="68"/>
        <v>0</v>
      </c>
      <c r="V594" s="21">
        <f t="shared" si="69"/>
        <v>0</v>
      </c>
    </row>
    <row r="595" spans="1:22" ht="13.5" x14ac:dyDescent="0.35">
      <c r="A595" s="18">
        <v>911145</v>
      </c>
      <c r="B595" s="19" t="s">
        <v>618</v>
      </c>
      <c r="C595" s="19">
        <v>115</v>
      </c>
      <c r="D595" s="19">
        <v>101</v>
      </c>
      <c r="E595" s="19">
        <v>1030</v>
      </c>
      <c r="F595" s="19">
        <v>44.12</v>
      </c>
      <c r="G595" s="19">
        <v>0</v>
      </c>
      <c r="H595" s="19">
        <v>44.12</v>
      </c>
      <c r="I595" s="20">
        <v>44.12</v>
      </c>
      <c r="J595" s="19">
        <f t="shared" si="63"/>
        <v>0</v>
      </c>
      <c r="K595" s="19">
        <f t="shared" si="64"/>
        <v>0</v>
      </c>
      <c r="L595" s="19">
        <v>-6.6E-4</v>
      </c>
      <c r="M595" s="19">
        <v>3.3320000000000002E-2</v>
      </c>
      <c r="N595" s="19">
        <v>3.3320000000000002E-2</v>
      </c>
      <c r="O595" s="19">
        <v>3.329E-2</v>
      </c>
      <c r="P595" s="19">
        <v>3.3259999999999998E-2</v>
      </c>
      <c r="Q595" s="19"/>
      <c r="R595" s="19">
        <f t="shared" si="65"/>
        <v>0</v>
      </c>
      <c r="S595" s="19">
        <f t="shared" si="66"/>
        <v>0</v>
      </c>
      <c r="T595" s="19">
        <f t="shared" si="67"/>
        <v>0</v>
      </c>
      <c r="U595" s="19">
        <f t="shared" si="68"/>
        <v>0</v>
      </c>
      <c r="V595" s="21">
        <f t="shared" si="69"/>
        <v>0</v>
      </c>
    </row>
    <row r="596" spans="1:22" ht="13.5" x14ac:dyDescent="0.35">
      <c r="A596" s="18">
        <v>911152</v>
      </c>
      <c r="B596" s="19" t="s">
        <v>619</v>
      </c>
      <c r="C596" s="19">
        <v>115</v>
      </c>
      <c r="D596" s="19">
        <v>101</v>
      </c>
      <c r="E596" s="19">
        <v>1030</v>
      </c>
      <c r="F596" s="19">
        <v>214.98</v>
      </c>
      <c r="G596" s="19">
        <v>0</v>
      </c>
      <c r="H596" s="19">
        <v>252</v>
      </c>
      <c r="I596" s="20">
        <v>214.98</v>
      </c>
      <c r="J596" s="19">
        <f t="shared" si="63"/>
        <v>0</v>
      </c>
      <c r="K596" s="19">
        <f t="shared" si="64"/>
        <v>37.02000000000001</v>
      </c>
      <c r="L596" s="19">
        <v>-6.6E-4</v>
      </c>
      <c r="M596" s="19">
        <v>2.8080000000000001E-2</v>
      </c>
      <c r="N596" s="19">
        <v>2.8080000000000001E-2</v>
      </c>
      <c r="O596" s="19">
        <v>2.8049999999999999E-2</v>
      </c>
      <c r="P596" s="19">
        <v>2.802E-2</v>
      </c>
      <c r="Q596" s="19"/>
      <c r="R596" s="19">
        <f t="shared" si="65"/>
        <v>0</v>
      </c>
      <c r="S596" s="19">
        <f t="shared" si="66"/>
        <v>0</v>
      </c>
      <c r="T596" s="19">
        <f t="shared" si="67"/>
        <v>0</v>
      </c>
      <c r="U596" s="19">
        <f t="shared" si="68"/>
        <v>0</v>
      </c>
      <c r="V596" s="21">
        <f t="shared" si="69"/>
        <v>0</v>
      </c>
    </row>
    <row r="597" spans="1:22" ht="13.5" x14ac:dyDescent="0.35">
      <c r="A597" s="18">
        <v>911202</v>
      </c>
      <c r="B597" s="19" t="s">
        <v>620</v>
      </c>
      <c r="C597" s="19">
        <v>115</v>
      </c>
      <c r="D597" s="19">
        <v>101</v>
      </c>
      <c r="E597" s="19">
        <v>1040</v>
      </c>
      <c r="F597" s="19">
        <v>0</v>
      </c>
      <c r="G597" s="19">
        <v>0</v>
      </c>
      <c r="H597" s="19">
        <v>0</v>
      </c>
      <c r="I597" s="20">
        <v>0</v>
      </c>
      <c r="J597" s="19">
        <f t="shared" si="63"/>
        <v>0</v>
      </c>
      <c r="K597" s="19">
        <f t="shared" si="64"/>
        <v>0</v>
      </c>
      <c r="L597" s="19">
        <v>-6.6E-4</v>
      </c>
      <c r="M597" s="19">
        <v>2.708E-2</v>
      </c>
      <c r="N597" s="19">
        <v>2.708E-2</v>
      </c>
      <c r="O597" s="19">
        <v>2.7050000000000001E-2</v>
      </c>
      <c r="P597" s="19">
        <v>2.7029999999999998E-2</v>
      </c>
      <c r="Q597" s="19"/>
      <c r="R597" s="19">
        <f t="shared" si="65"/>
        <v>0</v>
      </c>
      <c r="S597" s="19">
        <f t="shared" si="66"/>
        <v>0</v>
      </c>
      <c r="T597" s="19">
        <f t="shared" si="67"/>
        <v>0</v>
      </c>
      <c r="U597" s="19">
        <f t="shared" si="68"/>
        <v>0</v>
      </c>
      <c r="V597" s="21">
        <f t="shared" si="69"/>
        <v>0</v>
      </c>
    </row>
    <row r="598" spans="1:22" ht="13.5" x14ac:dyDescent="0.35">
      <c r="A598" s="18">
        <v>911203</v>
      </c>
      <c r="B598" s="19" t="s">
        <v>621</v>
      </c>
      <c r="C598" s="19">
        <v>115</v>
      </c>
      <c r="D598" s="19">
        <v>101</v>
      </c>
      <c r="E598" s="19">
        <v>1040</v>
      </c>
      <c r="F598" s="19">
        <v>0</v>
      </c>
      <c r="G598" s="19">
        <v>0</v>
      </c>
      <c r="H598" s="19">
        <v>0</v>
      </c>
      <c r="I598" s="20">
        <v>0</v>
      </c>
      <c r="J598" s="19">
        <f t="shared" si="63"/>
        <v>0</v>
      </c>
      <c r="K598" s="19">
        <f t="shared" si="64"/>
        <v>0</v>
      </c>
      <c r="L598" s="19">
        <v>-6.6E-4</v>
      </c>
      <c r="M598" s="19">
        <v>2.708E-2</v>
      </c>
      <c r="N598" s="19">
        <v>2.708E-2</v>
      </c>
      <c r="O598" s="19">
        <v>2.7050000000000001E-2</v>
      </c>
      <c r="P598" s="19">
        <v>2.7029999999999998E-2</v>
      </c>
      <c r="Q598" s="19"/>
      <c r="R598" s="19">
        <f t="shared" si="65"/>
        <v>0</v>
      </c>
      <c r="S598" s="19">
        <f t="shared" si="66"/>
        <v>0</v>
      </c>
      <c r="T598" s="19">
        <f t="shared" si="67"/>
        <v>0</v>
      </c>
      <c r="U598" s="19">
        <f t="shared" si="68"/>
        <v>0</v>
      </c>
      <c r="V598" s="21">
        <f t="shared" si="69"/>
        <v>0</v>
      </c>
    </row>
    <row r="599" spans="1:22" ht="13.5" x14ac:dyDescent="0.35">
      <c r="A599" s="18">
        <v>911204</v>
      </c>
      <c r="B599" s="19" t="s">
        <v>622</v>
      </c>
      <c r="C599" s="19">
        <v>115</v>
      </c>
      <c r="D599" s="19">
        <v>101</v>
      </c>
      <c r="E599" s="19">
        <v>1040</v>
      </c>
      <c r="F599" s="19">
        <v>0</v>
      </c>
      <c r="G599" s="19">
        <v>0</v>
      </c>
      <c r="H599" s="19">
        <v>0</v>
      </c>
      <c r="I599" s="20">
        <v>0</v>
      </c>
      <c r="J599" s="19">
        <f t="shared" si="63"/>
        <v>0</v>
      </c>
      <c r="K599" s="19">
        <f t="shared" si="64"/>
        <v>0</v>
      </c>
      <c r="L599" s="19">
        <v>-6.6E-4</v>
      </c>
      <c r="M599" s="19">
        <v>2.7130000000000001E-2</v>
      </c>
      <c r="N599" s="19">
        <v>2.7130000000000001E-2</v>
      </c>
      <c r="O599" s="19">
        <v>2.7099999999999999E-2</v>
      </c>
      <c r="P599" s="19">
        <v>2.707E-2</v>
      </c>
      <c r="Q599" s="19"/>
      <c r="R599" s="19">
        <f t="shared" si="65"/>
        <v>0</v>
      </c>
      <c r="S599" s="19">
        <f t="shared" si="66"/>
        <v>0</v>
      </c>
      <c r="T599" s="19">
        <f t="shared" si="67"/>
        <v>0</v>
      </c>
      <c r="U599" s="19">
        <f t="shared" si="68"/>
        <v>0</v>
      </c>
      <c r="V599" s="21">
        <f t="shared" si="69"/>
        <v>0</v>
      </c>
    </row>
    <row r="600" spans="1:22" ht="13.5" x14ac:dyDescent="0.35">
      <c r="A600" s="18">
        <v>911205</v>
      </c>
      <c r="B600" s="19" t="s">
        <v>623</v>
      </c>
      <c r="C600" s="19">
        <v>115</v>
      </c>
      <c r="D600" s="19">
        <v>101</v>
      </c>
      <c r="E600" s="19">
        <v>1040</v>
      </c>
      <c r="F600" s="19">
        <v>0</v>
      </c>
      <c r="G600" s="19">
        <v>0</v>
      </c>
      <c r="H600" s="19">
        <v>0</v>
      </c>
      <c r="I600" s="20">
        <v>0</v>
      </c>
      <c r="J600" s="19">
        <f t="shared" si="63"/>
        <v>0</v>
      </c>
      <c r="K600" s="19">
        <f t="shared" si="64"/>
        <v>0</v>
      </c>
      <c r="L600" s="19">
        <v>-6.6E-4</v>
      </c>
      <c r="M600" s="19">
        <v>2.7130000000000001E-2</v>
      </c>
      <c r="N600" s="19">
        <v>2.7130000000000001E-2</v>
      </c>
      <c r="O600" s="19">
        <v>2.7099999999999999E-2</v>
      </c>
      <c r="P600" s="19">
        <v>2.707E-2</v>
      </c>
      <c r="Q600" s="19"/>
      <c r="R600" s="19">
        <f t="shared" si="65"/>
        <v>0</v>
      </c>
      <c r="S600" s="19">
        <f t="shared" si="66"/>
        <v>0</v>
      </c>
      <c r="T600" s="19">
        <f t="shared" si="67"/>
        <v>0</v>
      </c>
      <c r="U600" s="19">
        <f t="shared" si="68"/>
        <v>0</v>
      </c>
      <c r="V600" s="21">
        <f t="shared" si="69"/>
        <v>0</v>
      </c>
    </row>
    <row r="601" spans="1:22" ht="13.5" x14ac:dyDescent="0.35">
      <c r="A601" s="18">
        <v>911209</v>
      </c>
      <c r="B601" s="19" t="s">
        <v>624</v>
      </c>
      <c r="C601" s="19">
        <v>115</v>
      </c>
      <c r="D601" s="19">
        <v>101</v>
      </c>
      <c r="E601" s="19">
        <v>1040</v>
      </c>
      <c r="F601" s="19">
        <v>0</v>
      </c>
      <c r="G601" s="19">
        <v>0</v>
      </c>
      <c r="H601" s="19">
        <v>0</v>
      </c>
      <c r="I601" s="20">
        <v>0</v>
      </c>
      <c r="J601" s="19">
        <f t="shared" si="63"/>
        <v>0</v>
      </c>
      <c r="K601" s="19">
        <f t="shared" si="64"/>
        <v>0</v>
      </c>
      <c r="L601" s="19">
        <v>-6.6E-4</v>
      </c>
      <c r="M601" s="19">
        <v>2.7119999999999998E-2</v>
      </c>
      <c r="N601" s="19">
        <v>2.7119999999999998E-2</v>
      </c>
      <c r="O601" s="19">
        <v>2.7089999999999999E-2</v>
      </c>
      <c r="P601" s="19">
        <v>2.7060000000000001E-2</v>
      </c>
      <c r="Q601" s="19"/>
      <c r="R601" s="19">
        <f t="shared" si="65"/>
        <v>0</v>
      </c>
      <c r="S601" s="19">
        <f t="shared" si="66"/>
        <v>0</v>
      </c>
      <c r="T601" s="19">
        <f t="shared" si="67"/>
        <v>0</v>
      </c>
      <c r="U601" s="19">
        <f t="shared" si="68"/>
        <v>0</v>
      </c>
      <c r="V601" s="21">
        <f t="shared" si="69"/>
        <v>0</v>
      </c>
    </row>
    <row r="602" spans="1:22" ht="13.5" x14ac:dyDescent="0.35">
      <c r="A602" s="18">
        <v>911213</v>
      </c>
      <c r="B602" s="19" t="s">
        <v>625</v>
      </c>
      <c r="C602" s="19">
        <v>115</v>
      </c>
      <c r="D602" s="19">
        <v>101</v>
      </c>
      <c r="E602" s="19">
        <v>1040</v>
      </c>
      <c r="F602" s="19">
        <v>0</v>
      </c>
      <c r="G602" s="19">
        <v>0</v>
      </c>
      <c r="H602" s="19">
        <v>0</v>
      </c>
      <c r="I602" s="20">
        <v>0</v>
      </c>
      <c r="J602" s="19">
        <f t="shared" si="63"/>
        <v>0</v>
      </c>
      <c r="K602" s="19">
        <f t="shared" si="64"/>
        <v>0</v>
      </c>
      <c r="L602" s="19">
        <v>-6.6E-4</v>
      </c>
      <c r="M602" s="19">
        <v>2.708E-2</v>
      </c>
      <c r="N602" s="19">
        <v>2.708E-2</v>
      </c>
      <c r="O602" s="19">
        <v>2.7050000000000001E-2</v>
      </c>
      <c r="P602" s="19">
        <v>2.7029999999999998E-2</v>
      </c>
      <c r="Q602" s="19"/>
      <c r="R602" s="19">
        <f t="shared" si="65"/>
        <v>0</v>
      </c>
      <c r="S602" s="19">
        <f t="shared" si="66"/>
        <v>0</v>
      </c>
      <c r="T602" s="19">
        <f t="shared" si="67"/>
        <v>0</v>
      </c>
      <c r="U602" s="19">
        <f t="shared" si="68"/>
        <v>0</v>
      </c>
      <c r="V602" s="21">
        <f t="shared" si="69"/>
        <v>0</v>
      </c>
    </row>
    <row r="603" spans="1:22" ht="13.5" x14ac:dyDescent="0.35">
      <c r="A603" s="18">
        <v>911214</v>
      </c>
      <c r="B603" s="19" t="s">
        <v>626</v>
      </c>
      <c r="C603" s="19">
        <v>115</v>
      </c>
      <c r="D603" s="19">
        <v>101</v>
      </c>
      <c r="E603" s="19">
        <v>1040</v>
      </c>
      <c r="F603" s="19">
        <v>0</v>
      </c>
      <c r="G603" s="19">
        <v>0</v>
      </c>
      <c r="H603" s="19">
        <v>0</v>
      </c>
      <c r="I603" s="20">
        <v>0</v>
      </c>
      <c r="J603" s="19">
        <f t="shared" si="63"/>
        <v>0</v>
      </c>
      <c r="K603" s="19">
        <f t="shared" si="64"/>
        <v>0</v>
      </c>
      <c r="L603" s="19">
        <v>-6.6E-4</v>
      </c>
      <c r="M603" s="19">
        <v>2.7150000000000001E-2</v>
      </c>
      <c r="N603" s="19">
        <v>2.7150000000000001E-2</v>
      </c>
      <c r="O603" s="19">
        <v>2.7119999999999998E-2</v>
      </c>
      <c r="P603" s="19">
        <v>2.7089999999999999E-2</v>
      </c>
      <c r="Q603" s="19"/>
      <c r="R603" s="19">
        <f t="shared" si="65"/>
        <v>0</v>
      </c>
      <c r="S603" s="19">
        <f t="shared" si="66"/>
        <v>0</v>
      </c>
      <c r="T603" s="19">
        <f t="shared" si="67"/>
        <v>0</v>
      </c>
      <c r="U603" s="19">
        <f t="shared" si="68"/>
        <v>0</v>
      </c>
      <c r="V603" s="21">
        <f t="shared" si="69"/>
        <v>0</v>
      </c>
    </row>
    <row r="604" spans="1:22" ht="13.5" x14ac:dyDescent="0.35">
      <c r="A604" s="18">
        <v>911217</v>
      </c>
      <c r="B604" s="19" t="s">
        <v>627</v>
      </c>
      <c r="C604" s="19">
        <v>115</v>
      </c>
      <c r="D604" s="19">
        <v>101</v>
      </c>
      <c r="E604" s="19">
        <v>1040</v>
      </c>
      <c r="F604" s="19">
        <v>0</v>
      </c>
      <c r="G604" s="19">
        <v>0</v>
      </c>
      <c r="H604" s="19">
        <v>0</v>
      </c>
      <c r="I604" s="20">
        <v>0</v>
      </c>
      <c r="J604" s="19">
        <f t="shared" si="63"/>
        <v>0</v>
      </c>
      <c r="K604" s="19">
        <f t="shared" si="64"/>
        <v>0</v>
      </c>
      <c r="L604" s="19">
        <v>-6.6E-4</v>
      </c>
      <c r="M604" s="19">
        <v>2.716E-2</v>
      </c>
      <c r="N604" s="19">
        <v>2.716E-2</v>
      </c>
      <c r="O604" s="19">
        <v>2.7130000000000001E-2</v>
      </c>
      <c r="P604" s="19">
        <v>2.7099999999999999E-2</v>
      </c>
      <c r="Q604" s="19"/>
      <c r="R604" s="19">
        <f t="shared" si="65"/>
        <v>0</v>
      </c>
      <c r="S604" s="19">
        <f t="shared" si="66"/>
        <v>0</v>
      </c>
      <c r="T604" s="19">
        <f t="shared" si="67"/>
        <v>0</v>
      </c>
      <c r="U604" s="19">
        <f t="shared" si="68"/>
        <v>0</v>
      </c>
      <c r="V604" s="21">
        <f t="shared" si="69"/>
        <v>0</v>
      </c>
    </row>
    <row r="605" spans="1:22" ht="13.5" x14ac:dyDescent="0.35">
      <c r="A605" s="18">
        <v>911245</v>
      </c>
      <c r="B605" s="19" t="s">
        <v>628</v>
      </c>
      <c r="C605" s="19">
        <v>115</v>
      </c>
      <c r="D605" s="19">
        <v>101</v>
      </c>
      <c r="E605" s="19">
        <v>1040</v>
      </c>
      <c r="F605" s="19">
        <v>0</v>
      </c>
      <c r="G605" s="19">
        <v>0</v>
      </c>
      <c r="H605" s="19">
        <v>0</v>
      </c>
      <c r="I605" s="20">
        <v>0</v>
      </c>
      <c r="J605" s="19">
        <f t="shared" si="63"/>
        <v>0</v>
      </c>
      <c r="K605" s="19">
        <f t="shared" si="64"/>
        <v>0</v>
      </c>
      <c r="L605" s="19">
        <v>-6.6E-4</v>
      </c>
      <c r="M605" s="19">
        <v>2.7130000000000001E-2</v>
      </c>
      <c r="N605" s="19">
        <v>2.7130000000000001E-2</v>
      </c>
      <c r="O605" s="19">
        <v>2.7099999999999999E-2</v>
      </c>
      <c r="P605" s="19">
        <v>2.707E-2</v>
      </c>
      <c r="Q605" s="19"/>
      <c r="R605" s="19">
        <f t="shared" si="65"/>
        <v>0</v>
      </c>
      <c r="S605" s="19">
        <f t="shared" si="66"/>
        <v>0</v>
      </c>
      <c r="T605" s="19">
        <f t="shared" si="67"/>
        <v>0</v>
      </c>
      <c r="U605" s="19">
        <f t="shared" si="68"/>
        <v>0</v>
      </c>
      <c r="V605" s="21">
        <f t="shared" si="69"/>
        <v>0</v>
      </c>
    </row>
    <row r="606" spans="1:22" ht="13.5" x14ac:dyDescent="0.35">
      <c r="A606" s="18">
        <v>911246</v>
      </c>
      <c r="B606" s="19" t="s">
        <v>629</v>
      </c>
      <c r="C606" s="19">
        <v>115</v>
      </c>
      <c r="D606" s="19">
        <v>101</v>
      </c>
      <c r="E606" s="19">
        <v>1040</v>
      </c>
      <c r="F606" s="19">
        <v>0</v>
      </c>
      <c r="G606" s="19">
        <v>0</v>
      </c>
      <c r="H606" s="19">
        <v>0</v>
      </c>
      <c r="I606" s="20">
        <v>0</v>
      </c>
      <c r="J606" s="19">
        <f t="shared" si="63"/>
        <v>0</v>
      </c>
      <c r="K606" s="19">
        <f t="shared" si="64"/>
        <v>0</v>
      </c>
      <c r="L606" s="19">
        <v>-6.6E-4</v>
      </c>
      <c r="M606" s="19">
        <v>2.7099999999999999E-2</v>
      </c>
      <c r="N606" s="19">
        <v>2.7099999999999999E-2</v>
      </c>
      <c r="O606" s="19">
        <v>2.707E-2</v>
      </c>
      <c r="P606" s="19">
        <v>2.7040000000000002E-2</v>
      </c>
      <c r="Q606" s="19"/>
      <c r="R606" s="19">
        <f t="shared" si="65"/>
        <v>0</v>
      </c>
      <c r="S606" s="19">
        <f t="shared" si="66"/>
        <v>0</v>
      </c>
      <c r="T606" s="19">
        <f t="shared" si="67"/>
        <v>0</v>
      </c>
      <c r="U606" s="19">
        <f t="shared" si="68"/>
        <v>0</v>
      </c>
      <c r="V606" s="21">
        <f t="shared" si="69"/>
        <v>0</v>
      </c>
    </row>
    <row r="607" spans="1:22" ht="13.5" x14ac:dyDescent="0.35">
      <c r="A607" s="18">
        <v>911260</v>
      </c>
      <c r="B607" s="19" t="s">
        <v>630</v>
      </c>
      <c r="C607" s="19">
        <v>115</v>
      </c>
      <c r="D607" s="19">
        <v>101</v>
      </c>
      <c r="E607" s="19">
        <v>1050</v>
      </c>
      <c r="F607" s="19">
        <v>0</v>
      </c>
      <c r="G607" s="19">
        <v>0</v>
      </c>
      <c r="H607" s="19">
        <v>0</v>
      </c>
      <c r="I607" s="20">
        <v>0</v>
      </c>
      <c r="J607" s="19">
        <f t="shared" si="63"/>
        <v>0</v>
      </c>
      <c r="K607" s="19">
        <f t="shared" si="64"/>
        <v>0</v>
      </c>
      <c r="L607" s="19">
        <v>-6.6E-4</v>
      </c>
      <c r="M607" s="19">
        <v>2.8570000000000002E-2</v>
      </c>
      <c r="N607" s="19">
        <v>2.8570000000000002E-2</v>
      </c>
      <c r="O607" s="19">
        <v>2.8539999999999999E-2</v>
      </c>
      <c r="P607" s="19">
        <v>2.8510000000000001E-2</v>
      </c>
      <c r="Q607" s="19"/>
      <c r="R607" s="19">
        <f t="shared" si="65"/>
        <v>0</v>
      </c>
      <c r="S607" s="19">
        <f t="shared" si="66"/>
        <v>0</v>
      </c>
      <c r="T607" s="19">
        <f t="shared" si="67"/>
        <v>0</v>
      </c>
      <c r="U607" s="19">
        <f t="shared" si="68"/>
        <v>0</v>
      </c>
      <c r="V607" s="21">
        <f t="shared" si="69"/>
        <v>0</v>
      </c>
    </row>
    <row r="608" spans="1:22" ht="13.5" x14ac:dyDescent="0.35">
      <c r="A608" s="18">
        <v>911264</v>
      </c>
      <c r="B608" s="19" t="s">
        <v>631</v>
      </c>
      <c r="C608" s="19">
        <v>115</v>
      </c>
      <c r="D608" s="19">
        <v>101</v>
      </c>
      <c r="E608" s="19">
        <v>1050</v>
      </c>
      <c r="F608" s="19">
        <v>69.38</v>
      </c>
      <c r="G608" s="19">
        <v>0</v>
      </c>
      <c r="H608" s="19">
        <v>69.38</v>
      </c>
      <c r="I608" s="20">
        <v>69.38</v>
      </c>
      <c r="J608" s="19">
        <f t="shared" si="63"/>
        <v>0</v>
      </c>
      <c r="K608" s="19">
        <f t="shared" si="64"/>
        <v>0</v>
      </c>
      <c r="L608" s="19">
        <v>-6.6E-4</v>
      </c>
      <c r="M608" s="19">
        <v>2.8570000000000002E-2</v>
      </c>
      <c r="N608" s="19">
        <v>2.8570000000000002E-2</v>
      </c>
      <c r="O608" s="19">
        <v>2.8539999999999999E-2</v>
      </c>
      <c r="P608" s="19">
        <v>2.8510000000000001E-2</v>
      </c>
      <c r="Q608" s="19"/>
      <c r="R608" s="19">
        <f t="shared" si="65"/>
        <v>0</v>
      </c>
      <c r="S608" s="19">
        <f t="shared" si="66"/>
        <v>0</v>
      </c>
      <c r="T608" s="19">
        <f t="shared" si="67"/>
        <v>0</v>
      </c>
      <c r="U608" s="19">
        <f t="shared" si="68"/>
        <v>0</v>
      </c>
      <c r="V608" s="21">
        <f t="shared" si="69"/>
        <v>0</v>
      </c>
    </row>
    <row r="609" spans="1:22" ht="13.5" x14ac:dyDescent="0.35">
      <c r="A609" s="18">
        <v>911265</v>
      </c>
      <c r="B609" s="19" t="s">
        <v>632</v>
      </c>
      <c r="C609" s="19">
        <v>115</v>
      </c>
      <c r="D609" s="19">
        <v>101</v>
      </c>
      <c r="E609" s="19">
        <v>1050</v>
      </c>
      <c r="F609" s="19">
        <v>30.37</v>
      </c>
      <c r="G609" s="19">
        <v>0</v>
      </c>
      <c r="H609" s="19">
        <v>30.37</v>
      </c>
      <c r="I609" s="20">
        <v>30.37</v>
      </c>
      <c r="J609" s="19">
        <f t="shared" si="63"/>
        <v>0</v>
      </c>
      <c r="K609" s="19">
        <f t="shared" si="64"/>
        <v>0</v>
      </c>
      <c r="L609" s="19">
        <v>-6.6E-4</v>
      </c>
      <c r="M609" s="19">
        <v>2.8570000000000002E-2</v>
      </c>
      <c r="N609" s="19">
        <v>2.8570000000000002E-2</v>
      </c>
      <c r="O609" s="19">
        <v>2.8539999999999999E-2</v>
      </c>
      <c r="P609" s="19">
        <v>2.8510000000000001E-2</v>
      </c>
      <c r="Q609" s="19"/>
      <c r="R609" s="19">
        <f t="shared" si="65"/>
        <v>0</v>
      </c>
      <c r="S609" s="19">
        <f t="shared" si="66"/>
        <v>0</v>
      </c>
      <c r="T609" s="19">
        <f t="shared" si="67"/>
        <v>0</v>
      </c>
      <c r="U609" s="19">
        <f t="shared" si="68"/>
        <v>0</v>
      </c>
      <c r="V609" s="21">
        <f t="shared" si="69"/>
        <v>0</v>
      </c>
    </row>
    <row r="610" spans="1:22" ht="13.5" x14ac:dyDescent="0.35">
      <c r="A610" s="18">
        <v>911267</v>
      </c>
      <c r="B610" s="19" t="s">
        <v>633</v>
      </c>
      <c r="C610" s="19">
        <v>115</v>
      </c>
      <c r="D610" s="19">
        <v>101</v>
      </c>
      <c r="E610" s="19">
        <v>1050</v>
      </c>
      <c r="F610" s="19">
        <v>0</v>
      </c>
      <c r="G610" s="19">
        <v>0</v>
      </c>
      <c r="H610" s="19">
        <v>0</v>
      </c>
      <c r="I610" s="20">
        <v>0</v>
      </c>
      <c r="J610" s="19">
        <f t="shared" si="63"/>
        <v>0</v>
      </c>
      <c r="K610" s="19">
        <f t="shared" si="64"/>
        <v>0</v>
      </c>
      <c r="L610" s="19">
        <v>-6.6E-4</v>
      </c>
      <c r="M610" s="19">
        <v>2.8570000000000002E-2</v>
      </c>
      <c r="N610" s="19">
        <v>2.8570000000000002E-2</v>
      </c>
      <c r="O610" s="19">
        <v>2.8539999999999999E-2</v>
      </c>
      <c r="P610" s="19">
        <v>2.8510000000000001E-2</v>
      </c>
      <c r="Q610" s="19"/>
      <c r="R610" s="19">
        <f t="shared" si="65"/>
        <v>0</v>
      </c>
      <c r="S610" s="19">
        <f t="shared" si="66"/>
        <v>0</v>
      </c>
      <c r="T610" s="19">
        <f t="shared" si="67"/>
        <v>0</v>
      </c>
      <c r="U610" s="19">
        <f t="shared" si="68"/>
        <v>0</v>
      </c>
      <c r="V610" s="21">
        <f t="shared" si="69"/>
        <v>0</v>
      </c>
    </row>
    <row r="611" spans="1:22" ht="13.5" x14ac:dyDescent="0.35">
      <c r="A611" s="18">
        <v>911268</v>
      </c>
      <c r="B611" s="19" t="s">
        <v>634</v>
      </c>
      <c r="C611" s="19">
        <v>115</v>
      </c>
      <c r="D611" s="19">
        <v>101</v>
      </c>
      <c r="E611" s="19">
        <v>1050</v>
      </c>
      <c r="F611" s="19">
        <v>43.05</v>
      </c>
      <c r="G611" s="19">
        <v>0</v>
      </c>
      <c r="H611" s="19">
        <v>69.45</v>
      </c>
      <c r="I611" s="20">
        <v>43.05</v>
      </c>
      <c r="J611" s="19">
        <f t="shared" si="63"/>
        <v>0</v>
      </c>
      <c r="K611" s="19">
        <f t="shared" si="64"/>
        <v>26.400000000000006</v>
      </c>
      <c r="L611" s="19">
        <v>-6.6E-4</v>
      </c>
      <c r="M611" s="19">
        <v>2.8570000000000002E-2</v>
      </c>
      <c r="N611" s="19">
        <v>2.8570000000000002E-2</v>
      </c>
      <c r="O611" s="19">
        <v>2.8539999999999999E-2</v>
      </c>
      <c r="P611" s="19">
        <v>2.8510000000000001E-2</v>
      </c>
      <c r="Q611" s="19"/>
      <c r="R611" s="19">
        <f t="shared" si="65"/>
        <v>0</v>
      </c>
      <c r="S611" s="19">
        <f t="shared" si="66"/>
        <v>0</v>
      </c>
      <c r="T611" s="19">
        <f t="shared" si="67"/>
        <v>0</v>
      </c>
      <c r="U611" s="19">
        <f t="shared" si="68"/>
        <v>0</v>
      </c>
      <c r="V611" s="21">
        <f t="shared" si="69"/>
        <v>0</v>
      </c>
    </row>
    <row r="612" spans="1:22" ht="13.5" x14ac:dyDescent="0.35">
      <c r="A612" s="18">
        <v>911271</v>
      </c>
      <c r="B612" s="19" t="s">
        <v>635</v>
      </c>
      <c r="C612" s="19">
        <v>115</v>
      </c>
      <c r="D612" s="19">
        <v>101</v>
      </c>
      <c r="E612" s="19">
        <v>1050</v>
      </c>
      <c r="F612" s="19">
        <v>32.96</v>
      </c>
      <c r="G612" s="19">
        <v>0</v>
      </c>
      <c r="H612" s="19">
        <v>32.96</v>
      </c>
      <c r="I612" s="20">
        <v>32.96</v>
      </c>
      <c r="J612" s="19">
        <f t="shared" si="63"/>
        <v>0</v>
      </c>
      <c r="K612" s="19">
        <f t="shared" si="64"/>
        <v>0</v>
      </c>
      <c r="L612" s="19">
        <v>-6.6E-4</v>
      </c>
      <c r="M612" s="19">
        <v>2.8570000000000002E-2</v>
      </c>
      <c r="N612" s="19">
        <v>2.8570000000000002E-2</v>
      </c>
      <c r="O612" s="19">
        <v>2.8539999999999999E-2</v>
      </c>
      <c r="P612" s="19">
        <v>2.8510000000000001E-2</v>
      </c>
      <c r="Q612" s="19"/>
      <c r="R612" s="19">
        <f t="shared" si="65"/>
        <v>0</v>
      </c>
      <c r="S612" s="19">
        <f t="shared" si="66"/>
        <v>0</v>
      </c>
      <c r="T612" s="19">
        <f t="shared" si="67"/>
        <v>0</v>
      </c>
      <c r="U612" s="19">
        <f t="shared" si="68"/>
        <v>0</v>
      </c>
      <c r="V612" s="21">
        <f t="shared" si="69"/>
        <v>0</v>
      </c>
    </row>
    <row r="613" spans="1:22" ht="13.5" x14ac:dyDescent="0.35">
      <c r="A613" s="18">
        <v>911272</v>
      </c>
      <c r="B613" s="19" t="s">
        <v>636</v>
      </c>
      <c r="C613" s="19">
        <v>115</v>
      </c>
      <c r="D613" s="19">
        <v>101</v>
      </c>
      <c r="E613" s="19">
        <v>1050</v>
      </c>
      <c r="F613" s="19">
        <v>7</v>
      </c>
      <c r="G613" s="19">
        <v>0</v>
      </c>
      <c r="H613" s="19">
        <v>7</v>
      </c>
      <c r="I613" s="20">
        <v>7</v>
      </c>
      <c r="J613" s="19">
        <f t="shared" si="63"/>
        <v>0</v>
      </c>
      <c r="K613" s="19">
        <f t="shared" si="64"/>
        <v>0</v>
      </c>
      <c r="L613" s="19">
        <v>-6.6E-4</v>
      </c>
      <c r="M613" s="19">
        <v>2.8570000000000002E-2</v>
      </c>
      <c r="N613" s="19">
        <v>2.8570000000000002E-2</v>
      </c>
      <c r="O613" s="19">
        <v>2.8539999999999999E-2</v>
      </c>
      <c r="P613" s="19">
        <v>2.8510000000000001E-2</v>
      </c>
      <c r="Q613" s="19"/>
      <c r="R613" s="19">
        <f t="shared" si="65"/>
        <v>0</v>
      </c>
      <c r="S613" s="19">
        <f t="shared" si="66"/>
        <v>0</v>
      </c>
      <c r="T613" s="19">
        <f t="shared" si="67"/>
        <v>0</v>
      </c>
      <c r="U613" s="19">
        <f t="shared" si="68"/>
        <v>0</v>
      </c>
      <c r="V613" s="21">
        <f t="shared" si="69"/>
        <v>0</v>
      </c>
    </row>
    <row r="614" spans="1:22" ht="13.5" x14ac:dyDescent="0.35">
      <c r="A614" s="18">
        <v>911279</v>
      </c>
      <c r="B614" s="19" t="s">
        <v>637</v>
      </c>
      <c r="C614" s="19">
        <v>115</v>
      </c>
      <c r="D614" s="19">
        <v>101</v>
      </c>
      <c r="E614" s="19">
        <v>1050</v>
      </c>
      <c r="F614" s="19">
        <v>0</v>
      </c>
      <c r="G614" s="19">
        <v>0</v>
      </c>
      <c r="H614" s="19">
        <v>0</v>
      </c>
      <c r="I614" s="20">
        <v>0</v>
      </c>
      <c r="J614" s="19">
        <f t="shared" si="63"/>
        <v>0</v>
      </c>
      <c r="K614" s="19">
        <f t="shared" si="64"/>
        <v>0</v>
      </c>
      <c r="L614" s="19">
        <v>-6.6E-4</v>
      </c>
      <c r="M614" s="19">
        <v>2.8570000000000002E-2</v>
      </c>
      <c r="N614" s="19">
        <v>2.8570000000000002E-2</v>
      </c>
      <c r="O614" s="19">
        <v>2.8539999999999999E-2</v>
      </c>
      <c r="P614" s="19">
        <v>2.8510000000000001E-2</v>
      </c>
      <c r="Q614" s="19"/>
      <c r="R614" s="19">
        <f t="shared" si="65"/>
        <v>0</v>
      </c>
      <c r="S614" s="19">
        <f t="shared" si="66"/>
        <v>0</v>
      </c>
      <c r="T614" s="19">
        <f t="shared" si="67"/>
        <v>0</v>
      </c>
      <c r="U614" s="19">
        <f t="shared" si="68"/>
        <v>0</v>
      </c>
      <c r="V614" s="21">
        <f t="shared" si="69"/>
        <v>0</v>
      </c>
    </row>
    <row r="615" spans="1:22" ht="13.5" x14ac:dyDescent="0.35">
      <c r="A615" s="18">
        <v>911282</v>
      </c>
      <c r="B615" s="19" t="s">
        <v>638</v>
      </c>
      <c r="C615" s="19">
        <v>115</v>
      </c>
      <c r="D615" s="19">
        <v>101</v>
      </c>
      <c r="E615" s="19">
        <v>1040</v>
      </c>
      <c r="F615" s="19">
        <v>0</v>
      </c>
      <c r="G615" s="19">
        <v>0</v>
      </c>
      <c r="H615" s="19">
        <v>0</v>
      </c>
      <c r="I615" s="20">
        <v>0</v>
      </c>
      <c r="J615" s="19">
        <f t="shared" si="63"/>
        <v>0</v>
      </c>
      <c r="K615" s="19">
        <f t="shared" si="64"/>
        <v>0</v>
      </c>
      <c r="L615" s="19">
        <v>-6.6E-4</v>
      </c>
      <c r="M615" s="19">
        <v>2.708E-2</v>
      </c>
      <c r="N615" s="19">
        <v>2.708E-2</v>
      </c>
      <c r="O615" s="19">
        <v>2.7050000000000001E-2</v>
      </c>
      <c r="P615" s="19">
        <v>2.7029999999999998E-2</v>
      </c>
      <c r="Q615" s="19"/>
      <c r="R615" s="19">
        <f t="shared" si="65"/>
        <v>0</v>
      </c>
      <c r="S615" s="19">
        <f t="shared" si="66"/>
        <v>0</v>
      </c>
      <c r="T615" s="19">
        <f t="shared" si="67"/>
        <v>0</v>
      </c>
      <c r="U615" s="19">
        <f t="shared" si="68"/>
        <v>0</v>
      </c>
      <c r="V615" s="21">
        <f t="shared" si="69"/>
        <v>0</v>
      </c>
    </row>
    <row r="616" spans="1:22" ht="13.5" x14ac:dyDescent="0.35">
      <c r="A616" s="18">
        <v>911283</v>
      </c>
      <c r="B616" s="19" t="s">
        <v>639</v>
      </c>
      <c r="C616" s="19">
        <v>115</v>
      </c>
      <c r="D616" s="19">
        <v>101</v>
      </c>
      <c r="E616" s="19">
        <v>1040</v>
      </c>
      <c r="F616" s="19">
        <v>0</v>
      </c>
      <c r="G616" s="19">
        <v>0</v>
      </c>
      <c r="H616" s="19">
        <v>0</v>
      </c>
      <c r="I616" s="20">
        <v>0</v>
      </c>
      <c r="J616" s="19">
        <f t="shared" si="63"/>
        <v>0</v>
      </c>
      <c r="K616" s="19">
        <f t="shared" si="64"/>
        <v>0</v>
      </c>
      <c r="L616" s="19">
        <v>-6.6E-4</v>
      </c>
      <c r="M616" s="19">
        <v>2.708E-2</v>
      </c>
      <c r="N616" s="19">
        <v>2.708E-2</v>
      </c>
      <c r="O616" s="19">
        <v>2.7050000000000001E-2</v>
      </c>
      <c r="P616" s="19">
        <v>2.7029999999999998E-2</v>
      </c>
      <c r="Q616" s="19"/>
      <c r="R616" s="19">
        <f t="shared" si="65"/>
        <v>0</v>
      </c>
      <c r="S616" s="19">
        <f t="shared" si="66"/>
        <v>0</v>
      </c>
      <c r="T616" s="19">
        <f t="shared" si="67"/>
        <v>0</v>
      </c>
      <c r="U616" s="19">
        <f t="shared" si="68"/>
        <v>0</v>
      </c>
      <c r="V616" s="21">
        <f t="shared" si="69"/>
        <v>0</v>
      </c>
    </row>
    <row r="617" spans="1:22" ht="13.5" x14ac:dyDescent="0.35">
      <c r="A617" s="18">
        <v>911318</v>
      </c>
      <c r="B617" s="19" t="s">
        <v>640</v>
      </c>
      <c r="C617" s="19">
        <v>115</v>
      </c>
      <c r="D617" s="19">
        <v>101</v>
      </c>
      <c r="E617" s="19">
        <v>1030</v>
      </c>
      <c r="F617" s="19">
        <v>44.17</v>
      </c>
      <c r="G617" s="19">
        <v>0</v>
      </c>
      <c r="H617" s="19">
        <v>44.17</v>
      </c>
      <c r="I617" s="20">
        <v>44.17</v>
      </c>
      <c r="J617" s="19">
        <f t="shared" si="63"/>
        <v>0</v>
      </c>
      <c r="K617" s="19">
        <f t="shared" si="64"/>
        <v>0</v>
      </c>
      <c r="L617" s="19">
        <v>-6.6E-4</v>
      </c>
      <c r="M617" s="19">
        <v>2.8570000000000002E-2</v>
      </c>
      <c r="N617" s="19">
        <v>2.8570000000000002E-2</v>
      </c>
      <c r="O617" s="19">
        <v>2.8539999999999999E-2</v>
      </c>
      <c r="P617" s="19">
        <v>2.8510000000000001E-2</v>
      </c>
      <c r="Q617" s="19"/>
      <c r="R617" s="19">
        <f t="shared" si="65"/>
        <v>0</v>
      </c>
      <c r="S617" s="19">
        <f t="shared" si="66"/>
        <v>0</v>
      </c>
      <c r="T617" s="19">
        <f t="shared" si="67"/>
        <v>0</v>
      </c>
      <c r="U617" s="19">
        <f t="shared" si="68"/>
        <v>0</v>
      </c>
      <c r="V617" s="21">
        <f t="shared" si="69"/>
        <v>0</v>
      </c>
    </row>
    <row r="618" spans="1:22" ht="13.5" x14ac:dyDescent="0.35">
      <c r="A618" s="18">
        <v>911403</v>
      </c>
      <c r="B618" s="19" t="s">
        <v>641</v>
      </c>
      <c r="C618" s="19">
        <v>115</v>
      </c>
      <c r="D618" s="19">
        <v>101</v>
      </c>
      <c r="E618" s="19">
        <v>1040</v>
      </c>
      <c r="F618" s="19">
        <v>0</v>
      </c>
      <c r="G618" s="19">
        <v>0</v>
      </c>
      <c r="H618" s="19">
        <v>0</v>
      </c>
      <c r="I618" s="20">
        <v>0</v>
      </c>
      <c r="J618" s="19">
        <f t="shared" si="63"/>
        <v>0</v>
      </c>
      <c r="K618" s="19">
        <f t="shared" si="64"/>
        <v>0</v>
      </c>
      <c r="L618" s="19">
        <v>-6.6E-4</v>
      </c>
      <c r="M618" s="19">
        <v>2.7099999999999999E-2</v>
      </c>
      <c r="N618" s="19">
        <v>2.7099999999999999E-2</v>
      </c>
      <c r="O618" s="19">
        <v>2.707E-2</v>
      </c>
      <c r="P618" s="19">
        <v>2.7050000000000001E-2</v>
      </c>
      <c r="Q618" s="19"/>
      <c r="R618" s="19">
        <f t="shared" si="65"/>
        <v>0</v>
      </c>
      <c r="S618" s="19">
        <f t="shared" si="66"/>
        <v>0</v>
      </c>
      <c r="T618" s="19">
        <f t="shared" si="67"/>
        <v>0</v>
      </c>
      <c r="U618" s="19">
        <f t="shared" si="68"/>
        <v>0</v>
      </c>
      <c r="V618" s="21">
        <f t="shared" si="69"/>
        <v>0</v>
      </c>
    </row>
    <row r="619" spans="1:22" ht="13.5" x14ac:dyDescent="0.35">
      <c r="A619" s="18">
        <v>911406</v>
      </c>
      <c r="B619" s="19" t="s">
        <v>642</v>
      </c>
      <c r="C619" s="19">
        <v>115</v>
      </c>
      <c r="D619" s="19">
        <v>101</v>
      </c>
      <c r="E619" s="19">
        <v>1050</v>
      </c>
      <c r="F619" s="19">
        <v>24.07</v>
      </c>
      <c r="G619" s="19">
        <v>0</v>
      </c>
      <c r="H619" s="19">
        <v>24.07</v>
      </c>
      <c r="I619" s="20">
        <v>24.07</v>
      </c>
      <c r="J619" s="19">
        <f t="shared" si="63"/>
        <v>0</v>
      </c>
      <c r="K619" s="19">
        <f t="shared" si="64"/>
        <v>0</v>
      </c>
      <c r="L619" s="19">
        <v>-6.6E-4</v>
      </c>
      <c r="M619" s="19">
        <v>2.8570000000000002E-2</v>
      </c>
      <c r="N619" s="19">
        <v>2.8570000000000002E-2</v>
      </c>
      <c r="O619" s="19">
        <v>2.8539999999999999E-2</v>
      </c>
      <c r="P619" s="19">
        <v>2.8510000000000001E-2</v>
      </c>
      <c r="Q619" s="19"/>
      <c r="R619" s="19">
        <f t="shared" si="65"/>
        <v>0</v>
      </c>
      <c r="S619" s="19">
        <f t="shared" si="66"/>
        <v>0</v>
      </c>
      <c r="T619" s="19">
        <f t="shared" si="67"/>
        <v>0</v>
      </c>
      <c r="U619" s="19">
        <f t="shared" si="68"/>
        <v>0</v>
      </c>
      <c r="V619" s="21">
        <f t="shared" si="69"/>
        <v>0</v>
      </c>
    </row>
    <row r="620" spans="1:22" ht="13.5" x14ac:dyDescent="0.35">
      <c r="A620" s="18">
        <v>911524</v>
      </c>
      <c r="B620" s="19" t="s">
        <v>643</v>
      </c>
      <c r="C620" s="19">
        <v>115</v>
      </c>
      <c r="D620" s="19">
        <v>101</v>
      </c>
      <c r="E620" s="19">
        <v>703</v>
      </c>
      <c r="F620" s="19">
        <v>136</v>
      </c>
      <c r="G620" s="19">
        <v>0</v>
      </c>
      <c r="H620" s="19">
        <v>200</v>
      </c>
      <c r="I620" s="20">
        <v>136</v>
      </c>
      <c r="J620" s="19">
        <f t="shared" si="63"/>
        <v>0</v>
      </c>
      <c r="K620" s="19">
        <f t="shared" si="64"/>
        <v>64</v>
      </c>
      <c r="L620" s="19">
        <v>-6.6E-4</v>
      </c>
      <c r="M620" s="19">
        <v>1.2700000000000001E-3</v>
      </c>
      <c r="N620" s="19">
        <v>1.2700000000000001E-3</v>
      </c>
      <c r="O620" s="19">
        <v>1.24E-3</v>
      </c>
      <c r="P620" s="19">
        <v>1.2099999999999999E-3</v>
      </c>
      <c r="Q620" s="19"/>
      <c r="R620" s="19">
        <f t="shared" si="65"/>
        <v>0</v>
      </c>
      <c r="S620" s="19">
        <f t="shared" si="66"/>
        <v>0</v>
      </c>
      <c r="T620" s="19">
        <f t="shared" si="67"/>
        <v>0</v>
      </c>
      <c r="U620" s="19">
        <f t="shared" si="68"/>
        <v>0</v>
      </c>
      <c r="V620" s="21">
        <f t="shared" si="69"/>
        <v>0</v>
      </c>
    </row>
    <row r="621" spans="1:22" ht="13.5" x14ac:dyDescent="0.35">
      <c r="A621" s="18">
        <v>911531</v>
      </c>
      <c r="B621" s="19" t="s">
        <v>644</v>
      </c>
      <c r="C621" s="19">
        <v>345</v>
      </c>
      <c r="D621" s="19">
        <v>102</v>
      </c>
      <c r="E621" s="19">
        <v>12</v>
      </c>
      <c r="F621" s="19">
        <v>120.67</v>
      </c>
      <c r="G621" s="19">
        <v>0</v>
      </c>
      <c r="H621" s="19">
        <v>466.67</v>
      </c>
      <c r="I621" s="20">
        <v>120.67</v>
      </c>
      <c r="J621" s="19">
        <f t="shared" si="63"/>
        <v>0</v>
      </c>
      <c r="K621" s="19">
        <f t="shared" si="64"/>
        <v>346</v>
      </c>
      <c r="L621" s="19">
        <v>-6.6E-4</v>
      </c>
      <c r="M621" s="19">
        <v>-2.5300000000000001E-3</v>
      </c>
      <c r="N621" s="19">
        <v>-2.5300000000000001E-3</v>
      </c>
      <c r="O621" s="19">
        <v>-2.5600000000000002E-3</v>
      </c>
      <c r="P621" s="19">
        <v>-2.5899999999999999E-3</v>
      </c>
      <c r="Q621" s="19"/>
      <c r="R621" s="19">
        <f t="shared" si="65"/>
        <v>0</v>
      </c>
      <c r="S621" s="19">
        <f t="shared" si="66"/>
        <v>0</v>
      </c>
      <c r="T621" s="19">
        <f t="shared" si="67"/>
        <v>0</v>
      </c>
      <c r="U621" s="19">
        <f t="shared" si="68"/>
        <v>0</v>
      </c>
      <c r="V621" s="21">
        <f t="shared" si="69"/>
        <v>0</v>
      </c>
    </row>
    <row r="622" spans="1:22" ht="13.5" x14ac:dyDescent="0.35">
      <c r="A622" s="18">
        <v>911550</v>
      </c>
      <c r="B622" s="19" t="s">
        <v>645</v>
      </c>
      <c r="C622" s="19">
        <v>345</v>
      </c>
      <c r="D622" s="19">
        <v>101</v>
      </c>
      <c r="E622" s="19">
        <v>1120</v>
      </c>
      <c r="F622" s="19">
        <v>941</v>
      </c>
      <c r="G622" s="19">
        <v>0</v>
      </c>
      <c r="H622" s="19">
        <v>1400</v>
      </c>
      <c r="I622" s="20">
        <v>941</v>
      </c>
      <c r="J622" s="19">
        <f t="shared" si="63"/>
        <v>0</v>
      </c>
      <c r="K622" s="19">
        <f t="shared" si="64"/>
        <v>459</v>
      </c>
      <c r="L622" s="19">
        <v>-6.6E-4</v>
      </c>
      <c r="M622" s="19">
        <v>2.0699999999999998E-3</v>
      </c>
      <c r="N622" s="19">
        <v>2.0699999999999998E-3</v>
      </c>
      <c r="O622" s="19">
        <v>2.0400000000000001E-3</v>
      </c>
      <c r="P622" s="19">
        <v>2.0100000000000001E-3</v>
      </c>
      <c r="Q622" s="19"/>
      <c r="R622" s="19">
        <f t="shared" si="65"/>
        <v>0</v>
      </c>
      <c r="S622" s="19">
        <f t="shared" si="66"/>
        <v>0</v>
      </c>
      <c r="T622" s="19">
        <f t="shared" si="67"/>
        <v>0</v>
      </c>
      <c r="U622" s="19">
        <f t="shared" si="68"/>
        <v>0</v>
      </c>
      <c r="V622" s="21">
        <f t="shared" si="69"/>
        <v>0</v>
      </c>
    </row>
    <row r="623" spans="1:22" ht="13.5" x14ac:dyDescent="0.35">
      <c r="A623" s="18">
        <v>911554</v>
      </c>
      <c r="B623" s="19" t="s">
        <v>646</v>
      </c>
      <c r="C623" s="19">
        <v>345</v>
      </c>
      <c r="D623" s="19">
        <v>102</v>
      </c>
      <c r="E623" s="19">
        <v>12</v>
      </c>
      <c r="F623" s="19">
        <v>120.67</v>
      </c>
      <c r="G623" s="19">
        <v>0</v>
      </c>
      <c r="H623" s="19">
        <v>466.67</v>
      </c>
      <c r="I623" s="20">
        <v>120.67</v>
      </c>
      <c r="J623" s="19">
        <f t="shared" si="63"/>
        <v>0</v>
      </c>
      <c r="K623" s="19">
        <f t="shared" si="64"/>
        <v>346</v>
      </c>
      <c r="L623" s="19">
        <v>-6.6E-4</v>
      </c>
      <c r="M623" s="19">
        <v>-2.5000000000000001E-3</v>
      </c>
      <c r="N623" s="19">
        <v>-2.5000000000000001E-3</v>
      </c>
      <c r="O623" s="19">
        <v>-2.5300000000000001E-3</v>
      </c>
      <c r="P623" s="19">
        <v>-2.5500000000000002E-3</v>
      </c>
      <c r="Q623" s="19"/>
      <c r="R623" s="19">
        <f t="shared" si="65"/>
        <v>0</v>
      </c>
      <c r="S623" s="19">
        <f t="shared" si="66"/>
        <v>0</v>
      </c>
      <c r="T623" s="19">
        <f t="shared" si="67"/>
        <v>0</v>
      </c>
      <c r="U623" s="19">
        <f t="shared" si="68"/>
        <v>0</v>
      </c>
      <c r="V623" s="21">
        <f t="shared" si="69"/>
        <v>0</v>
      </c>
    </row>
    <row r="624" spans="1:22" ht="13.5" x14ac:dyDescent="0.35">
      <c r="A624" s="18">
        <v>911560</v>
      </c>
      <c r="B624" s="19" t="s">
        <v>647</v>
      </c>
      <c r="C624" s="19">
        <v>345</v>
      </c>
      <c r="D624" s="19">
        <v>102</v>
      </c>
      <c r="E624" s="19">
        <v>12</v>
      </c>
      <c r="F624" s="19">
        <v>120.67</v>
      </c>
      <c r="G624" s="19">
        <v>0</v>
      </c>
      <c r="H624" s="19">
        <v>466.67</v>
      </c>
      <c r="I624" s="20">
        <v>120.67</v>
      </c>
      <c r="J624" s="19">
        <f t="shared" si="63"/>
        <v>0</v>
      </c>
      <c r="K624" s="19">
        <f t="shared" si="64"/>
        <v>346</v>
      </c>
      <c r="L624" s="19">
        <v>-6.6E-4</v>
      </c>
      <c r="M624" s="19">
        <v>-2.7699999999999999E-3</v>
      </c>
      <c r="N624" s="19">
        <v>-2.7699999999999999E-3</v>
      </c>
      <c r="O624" s="19">
        <v>-2.8E-3</v>
      </c>
      <c r="P624" s="19">
        <v>-2.82E-3</v>
      </c>
      <c r="Q624" s="19"/>
      <c r="R624" s="19">
        <f t="shared" si="65"/>
        <v>0</v>
      </c>
      <c r="S624" s="19">
        <f t="shared" si="66"/>
        <v>0</v>
      </c>
      <c r="T624" s="19">
        <f t="shared" si="67"/>
        <v>0</v>
      </c>
      <c r="U624" s="19">
        <f t="shared" si="68"/>
        <v>0</v>
      </c>
      <c r="V624" s="21">
        <f t="shared" si="69"/>
        <v>0</v>
      </c>
    </row>
    <row r="625" spans="1:22" ht="13.5" x14ac:dyDescent="0.35">
      <c r="A625" s="18">
        <v>911597</v>
      </c>
      <c r="B625" s="19" t="s">
        <v>648</v>
      </c>
      <c r="C625" s="19">
        <v>345</v>
      </c>
      <c r="D625" s="19">
        <v>105</v>
      </c>
      <c r="E625" s="19">
        <v>15</v>
      </c>
      <c r="F625" s="19">
        <v>501</v>
      </c>
      <c r="G625" s="19">
        <v>0</v>
      </c>
      <c r="H625" s="19">
        <v>700</v>
      </c>
      <c r="I625" s="20">
        <v>501</v>
      </c>
      <c r="J625" s="19">
        <f t="shared" si="63"/>
        <v>0</v>
      </c>
      <c r="K625" s="19">
        <f t="shared" si="64"/>
        <v>199</v>
      </c>
      <c r="L625" s="19">
        <v>-6.6E-4</v>
      </c>
      <c r="M625" s="19">
        <v>2.7399999999999998E-3</v>
      </c>
      <c r="N625" s="19">
        <v>2.7399999999999998E-3</v>
      </c>
      <c r="O625" s="19">
        <v>2.7100000000000002E-3</v>
      </c>
      <c r="P625" s="19">
        <v>2.6800000000000001E-3</v>
      </c>
      <c r="Q625" s="19"/>
      <c r="R625" s="19">
        <f t="shared" si="65"/>
        <v>0</v>
      </c>
      <c r="S625" s="19">
        <f t="shared" si="66"/>
        <v>0</v>
      </c>
      <c r="T625" s="19">
        <f t="shared" si="67"/>
        <v>0</v>
      </c>
      <c r="U625" s="19">
        <f t="shared" si="68"/>
        <v>0</v>
      </c>
      <c r="V625" s="21">
        <f t="shared" si="69"/>
        <v>0</v>
      </c>
    </row>
    <row r="626" spans="1:22" ht="13.5" x14ac:dyDescent="0.35">
      <c r="A626" s="18">
        <v>911600</v>
      </c>
      <c r="B626" s="19" t="s">
        <v>649</v>
      </c>
      <c r="C626" s="19">
        <v>0.6</v>
      </c>
      <c r="D626" s="19">
        <v>101</v>
      </c>
      <c r="E626" s="19">
        <v>110</v>
      </c>
      <c r="F626" s="19">
        <v>0</v>
      </c>
      <c r="G626" s="19">
        <v>0</v>
      </c>
      <c r="H626" s="19">
        <v>0</v>
      </c>
      <c r="I626" s="20">
        <v>0</v>
      </c>
      <c r="J626" s="19">
        <f t="shared" si="63"/>
        <v>0</v>
      </c>
      <c r="K626" s="19">
        <f t="shared" si="64"/>
        <v>0</v>
      </c>
      <c r="L626" s="19">
        <v>-6.6E-4</v>
      </c>
      <c r="M626" s="19">
        <v>2.7399999999999998E-3</v>
      </c>
      <c r="N626" s="19">
        <v>2.7399999999999998E-3</v>
      </c>
      <c r="O626" s="19">
        <v>2.7100000000000002E-3</v>
      </c>
      <c r="P626" s="19">
        <v>2.6800000000000001E-3</v>
      </c>
      <c r="Q626" s="19"/>
      <c r="R626" s="19">
        <f t="shared" si="65"/>
        <v>0</v>
      </c>
      <c r="S626" s="19">
        <f t="shared" si="66"/>
        <v>0</v>
      </c>
      <c r="T626" s="19">
        <f t="shared" si="67"/>
        <v>0</v>
      </c>
      <c r="U626" s="19">
        <f t="shared" si="68"/>
        <v>0</v>
      </c>
      <c r="V626" s="21">
        <f t="shared" si="69"/>
        <v>0</v>
      </c>
    </row>
    <row r="627" spans="1:22" ht="13.5" x14ac:dyDescent="0.35">
      <c r="A627" s="18">
        <v>913000</v>
      </c>
      <c r="B627" s="19" t="s">
        <v>650</v>
      </c>
      <c r="C627" s="19">
        <v>115</v>
      </c>
      <c r="D627" s="19">
        <v>101</v>
      </c>
      <c r="E627" s="19">
        <v>1100</v>
      </c>
      <c r="F627" s="19">
        <v>0</v>
      </c>
      <c r="G627" s="19">
        <v>0</v>
      </c>
      <c r="H627" s="19">
        <v>0</v>
      </c>
      <c r="I627" s="20">
        <v>0</v>
      </c>
      <c r="J627" s="19">
        <f t="shared" si="63"/>
        <v>0</v>
      </c>
      <c r="K627" s="19">
        <f t="shared" si="64"/>
        <v>0</v>
      </c>
      <c r="L627" s="19">
        <v>-6.6E-4</v>
      </c>
      <c r="M627" s="19">
        <v>-3.7699999999999999E-3</v>
      </c>
      <c r="N627" s="19">
        <v>-3.7699999999999999E-3</v>
      </c>
      <c r="O627" s="19">
        <v>-3.8E-3</v>
      </c>
      <c r="P627" s="19">
        <v>-3.8300000000000001E-3</v>
      </c>
      <c r="Q627" s="19"/>
      <c r="R627" s="19">
        <f t="shared" si="65"/>
        <v>0</v>
      </c>
      <c r="S627" s="19">
        <f t="shared" si="66"/>
        <v>0</v>
      </c>
      <c r="T627" s="19">
        <f t="shared" si="67"/>
        <v>0</v>
      </c>
      <c r="U627" s="19">
        <f t="shared" si="68"/>
        <v>0</v>
      </c>
      <c r="V627" s="21">
        <f t="shared" si="69"/>
        <v>0</v>
      </c>
    </row>
    <row r="628" spans="1:22" ht="13.5" x14ac:dyDescent="0.35">
      <c r="A628" s="18">
        <v>913001</v>
      </c>
      <c r="B628" s="19" t="s">
        <v>651</v>
      </c>
      <c r="C628" s="19">
        <v>230</v>
      </c>
      <c r="D628" s="19">
        <v>101</v>
      </c>
      <c r="E628" s="19">
        <v>1110</v>
      </c>
      <c r="F628" s="19">
        <v>17.71</v>
      </c>
      <c r="G628" s="19">
        <v>0</v>
      </c>
      <c r="H628" s="19">
        <v>17.71</v>
      </c>
      <c r="I628" s="20">
        <v>17.71</v>
      </c>
      <c r="J628" s="19">
        <f t="shared" si="63"/>
        <v>0</v>
      </c>
      <c r="K628" s="19">
        <f t="shared" si="64"/>
        <v>0</v>
      </c>
      <c r="L628" s="19">
        <v>-6.6E-4</v>
      </c>
      <c r="M628" s="19">
        <v>-1.4599999999999999E-3</v>
      </c>
      <c r="N628" s="19">
        <v>-1.4599999999999999E-3</v>
      </c>
      <c r="O628" s="19">
        <v>-1.49E-3</v>
      </c>
      <c r="P628" s="19">
        <v>-1.5100000000000001E-3</v>
      </c>
      <c r="Q628" s="19"/>
      <c r="R628" s="19">
        <f t="shared" si="65"/>
        <v>0</v>
      </c>
      <c r="S628" s="19">
        <f t="shared" si="66"/>
        <v>0</v>
      </c>
      <c r="T628" s="19">
        <f t="shared" si="67"/>
        <v>0</v>
      </c>
      <c r="U628" s="19">
        <f t="shared" si="68"/>
        <v>0</v>
      </c>
      <c r="V628" s="21">
        <f t="shared" si="69"/>
        <v>0</v>
      </c>
    </row>
    <row r="629" spans="1:22" ht="13.5" x14ac:dyDescent="0.35">
      <c r="A629" s="18">
        <v>913005</v>
      </c>
      <c r="B629" s="19" t="s">
        <v>652</v>
      </c>
      <c r="C629" s="19">
        <v>115</v>
      </c>
      <c r="D629" s="19">
        <v>101</v>
      </c>
      <c r="E629" s="19">
        <v>1100</v>
      </c>
      <c r="F629" s="19">
        <v>0</v>
      </c>
      <c r="G629" s="19">
        <v>0</v>
      </c>
      <c r="H629" s="19">
        <v>0</v>
      </c>
      <c r="I629" s="20">
        <v>0</v>
      </c>
      <c r="J629" s="19">
        <f t="shared" si="63"/>
        <v>0</v>
      </c>
      <c r="K629" s="19">
        <f t="shared" si="64"/>
        <v>0</v>
      </c>
      <c r="L629" s="19">
        <v>-6.6E-4</v>
      </c>
      <c r="M629" s="19">
        <v>-1.6800000000000001E-3</v>
      </c>
      <c r="N629" s="19">
        <v>-1.6800000000000001E-3</v>
      </c>
      <c r="O629" s="19">
        <v>-1.7099999999999999E-3</v>
      </c>
      <c r="P629" s="19">
        <v>-1.74E-3</v>
      </c>
      <c r="Q629" s="19"/>
      <c r="R629" s="19">
        <f t="shared" si="65"/>
        <v>0</v>
      </c>
      <c r="S629" s="19">
        <f t="shared" si="66"/>
        <v>0</v>
      </c>
      <c r="T629" s="19">
        <f t="shared" si="67"/>
        <v>0</v>
      </c>
      <c r="U629" s="19">
        <f t="shared" si="68"/>
        <v>0</v>
      </c>
      <c r="V629" s="21">
        <f t="shared" si="69"/>
        <v>0</v>
      </c>
    </row>
    <row r="630" spans="1:22" ht="13.5" x14ac:dyDescent="0.35">
      <c r="A630" s="18">
        <v>913007</v>
      </c>
      <c r="B630" s="19" t="s">
        <v>653</v>
      </c>
      <c r="C630" s="19">
        <v>115</v>
      </c>
      <c r="D630" s="19">
        <v>101</v>
      </c>
      <c r="E630" s="19">
        <v>1100</v>
      </c>
      <c r="F630" s="19">
        <v>0</v>
      </c>
      <c r="G630" s="19">
        <v>0</v>
      </c>
      <c r="H630" s="19">
        <v>0</v>
      </c>
      <c r="I630" s="20">
        <v>0</v>
      </c>
      <c r="J630" s="19">
        <f t="shared" si="63"/>
        <v>0</v>
      </c>
      <c r="K630" s="19">
        <f t="shared" si="64"/>
        <v>0</v>
      </c>
      <c r="L630" s="19">
        <v>-6.6E-4</v>
      </c>
      <c r="M630" s="19">
        <v>-3.5000000000000001E-3</v>
      </c>
      <c r="N630" s="19">
        <v>-3.5000000000000001E-3</v>
      </c>
      <c r="O630" s="19">
        <v>-3.5300000000000002E-3</v>
      </c>
      <c r="P630" s="19">
        <v>-3.5599999999999998E-3</v>
      </c>
      <c r="Q630" s="19"/>
      <c r="R630" s="19">
        <f t="shared" si="65"/>
        <v>0</v>
      </c>
      <c r="S630" s="19">
        <f t="shared" si="66"/>
        <v>0</v>
      </c>
      <c r="T630" s="19">
        <f t="shared" si="67"/>
        <v>0</v>
      </c>
      <c r="U630" s="19">
        <f t="shared" si="68"/>
        <v>0</v>
      </c>
      <c r="V630" s="21">
        <f t="shared" si="69"/>
        <v>0</v>
      </c>
    </row>
    <row r="631" spans="1:22" ht="13.5" x14ac:dyDescent="0.35">
      <c r="A631" s="18">
        <v>913012</v>
      </c>
      <c r="B631" s="19" t="s">
        <v>654</v>
      </c>
      <c r="C631" s="19">
        <v>115</v>
      </c>
      <c r="D631" s="19">
        <v>101</v>
      </c>
      <c r="E631" s="19">
        <v>1100</v>
      </c>
      <c r="F631" s="19">
        <v>21.2</v>
      </c>
      <c r="G631" s="19">
        <v>0</v>
      </c>
      <c r="H631" s="19">
        <v>21.2</v>
      </c>
      <c r="I631" s="20">
        <v>21.2</v>
      </c>
      <c r="J631" s="19">
        <f t="shared" si="63"/>
        <v>0</v>
      </c>
      <c r="K631" s="19">
        <f t="shared" si="64"/>
        <v>0</v>
      </c>
      <c r="L631" s="19">
        <v>-6.6E-4</v>
      </c>
      <c r="M631" s="19">
        <v>-1.99E-3</v>
      </c>
      <c r="N631" s="19">
        <v>-1.99E-3</v>
      </c>
      <c r="O631" s="19">
        <v>-2.0200000000000001E-3</v>
      </c>
      <c r="P631" s="19">
        <v>-2.0500000000000002E-3</v>
      </c>
      <c r="Q631" s="19"/>
      <c r="R631" s="19">
        <f t="shared" si="65"/>
        <v>0</v>
      </c>
      <c r="S631" s="19">
        <f t="shared" si="66"/>
        <v>0</v>
      </c>
      <c r="T631" s="19">
        <f t="shared" si="67"/>
        <v>0</v>
      </c>
      <c r="U631" s="19">
        <f t="shared" si="68"/>
        <v>0</v>
      </c>
      <c r="V631" s="21">
        <f t="shared" si="69"/>
        <v>0</v>
      </c>
    </row>
    <row r="632" spans="1:22" ht="13.5" x14ac:dyDescent="0.35">
      <c r="A632" s="18">
        <v>913015</v>
      </c>
      <c r="B632" s="19" t="s">
        <v>655</v>
      </c>
      <c r="C632" s="19">
        <v>115</v>
      </c>
      <c r="D632" s="19">
        <v>101</v>
      </c>
      <c r="E632" s="19">
        <v>1100</v>
      </c>
      <c r="F632" s="19">
        <v>46.16</v>
      </c>
      <c r="G632" s="19">
        <v>0</v>
      </c>
      <c r="H632" s="19">
        <v>46.16</v>
      </c>
      <c r="I632" s="20">
        <v>46.16</v>
      </c>
      <c r="J632" s="19">
        <f t="shared" si="63"/>
        <v>0</v>
      </c>
      <c r="K632" s="19">
        <f t="shared" si="64"/>
        <v>0</v>
      </c>
      <c r="L632" s="19">
        <v>-6.6E-4</v>
      </c>
      <c r="M632" s="19">
        <v>-1.8400000000000001E-3</v>
      </c>
      <c r="N632" s="19">
        <v>-1.8400000000000001E-3</v>
      </c>
      <c r="O632" s="19">
        <v>-1.8699999999999999E-3</v>
      </c>
      <c r="P632" s="19">
        <v>-1.9E-3</v>
      </c>
      <c r="Q632" s="19"/>
      <c r="R632" s="19">
        <f t="shared" si="65"/>
        <v>0</v>
      </c>
      <c r="S632" s="19">
        <f t="shared" si="66"/>
        <v>0</v>
      </c>
      <c r="T632" s="19">
        <f t="shared" si="67"/>
        <v>0</v>
      </c>
      <c r="U632" s="19">
        <f t="shared" si="68"/>
        <v>0</v>
      </c>
      <c r="V632" s="21">
        <f t="shared" si="69"/>
        <v>0</v>
      </c>
    </row>
    <row r="633" spans="1:22" ht="13.5" x14ac:dyDescent="0.35">
      <c r="A633" s="18">
        <v>913019</v>
      </c>
      <c r="B633" s="19" t="s">
        <v>656</v>
      </c>
      <c r="C633" s="19">
        <v>69</v>
      </c>
      <c r="D633" s="19">
        <v>101</v>
      </c>
      <c r="E633" s="19">
        <v>1100</v>
      </c>
      <c r="F633" s="19">
        <v>45.8</v>
      </c>
      <c r="G633" s="19">
        <v>0</v>
      </c>
      <c r="H633" s="19">
        <v>45.8</v>
      </c>
      <c r="I633" s="20">
        <v>45.8</v>
      </c>
      <c r="J633" s="19">
        <f t="shared" si="63"/>
        <v>0</v>
      </c>
      <c r="K633" s="19">
        <f t="shared" si="64"/>
        <v>0</v>
      </c>
      <c r="L633" s="19">
        <v>-6.6E-4</v>
      </c>
      <c r="M633" s="19">
        <v>-1.7000000000000001E-4</v>
      </c>
      <c r="N633" s="19">
        <v>-1.7000000000000001E-4</v>
      </c>
      <c r="O633" s="19">
        <v>-2.1000000000000001E-4</v>
      </c>
      <c r="P633" s="19">
        <v>-2.3000000000000001E-4</v>
      </c>
      <c r="Q633" s="19"/>
      <c r="R633" s="19">
        <f t="shared" si="65"/>
        <v>0</v>
      </c>
      <c r="S633" s="19">
        <f t="shared" si="66"/>
        <v>0</v>
      </c>
      <c r="T633" s="19">
        <f t="shared" si="67"/>
        <v>0</v>
      </c>
      <c r="U633" s="19">
        <f t="shared" si="68"/>
        <v>0</v>
      </c>
      <c r="V633" s="21">
        <f t="shared" si="69"/>
        <v>0</v>
      </c>
    </row>
    <row r="634" spans="1:22" ht="13.5" x14ac:dyDescent="0.35">
      <c r="A634" s="18">
        <v>913029</v>
      </c>
      <c r="B634" s="19" t="s">
        <v>657</v>
      </c>
      <c r="C634" s="19">
        <v>69</v>
      </c>
      <c r="D634" s="19">
        <v>101</v>
      </c>
      <c r="E634" s="19">
        <v>1100</v>
      </c>
      <c r="F634" s="19">
        <v>0</v>
      </c>
      <c r="G634" s="19">
        <v>0</v>
      </c>
      <c r="H634" s="19">
        <v>0</v>
      </c>
      <c r="I634" s="20">
        <v>0</v>
      </c>
      <c r="J634" s="19">
        <f t="shared" si="63"/>
        <v>0</v>
      </c>
      <c r="K634" s="19">
        <f t="shared" si="64"/>
        <v>0</v>
      </c>
      <c r="L634" s="19">
        <v>-6.6E-4</v>
      </c>
      <c r="M634" s="19">
        <v>-2.0100000000000001E-3</v>
      </c>
      <c r="N634" s="19">
        <v>-2.0100000000000001E-3</v>
      </c>
      <c r="O634" s="19">
        <v>-2.0400000000000001E-3</v>
      </c>
      <c r="P634" s="19">
        <v>-2.0699999999999998E-3</v>
      </c>
      <c r="Q634" s="19"/>
      <c r="R634" s="19">
        <f t="shared" si="65"/>
        <v>0</v>
      </c>
      <c r="S634" s="19">
        <f t="shared" si="66"/>
        <v>0</v>
      </c>
      <c r="T634" s="19">
        <f t="shared" si="67"/>
        <v>0</v>
      </c>
      <c r="U634" s="19">
        <f t="shared" si="68"/>
        <v>0</v>
      </c>
      <c r="V634" s="21">
        <f t="shared" si="69"/>
        <v>0</v>
      </c>
    </row>
    <row r="635" spans="1:22" ht="13.5" x14ac:dyDescent="0.35">
      <c r="A635" s="18">
        <v>913031</v>
      </c>
      <c r="B635" s="19" t="s">
        <v>658</v>
      </c>
      <c r="C635" s="19">
        <v>69</v>
      </c>
      <c r="D635" s="19">
        <v>101</v>
      </c>
      <c r="E635" s="19">
        <v>1100</v>
      </c>
      <c r="F635" s="19">
        <v>113.12</v>
      </c>
      <c r="G635" s="19">
        <v>0</v>
      </c>
      <c r="H635" s="19">
        <v>113.12</v>
      </c>
      <c r="I635" s="20">
        <v>113.12</v>
      </c>
      <c r="J635" s="19">
        <f t="shared" si="63"/>
        <v>0</v>
      </c>
      <c r="K635" s="19">
        <f t="shared" si="64"/>
        <v>0</v>
      </c>
      <c r="L635" s="19">
        <v>-6.6E-4</v>
      </c>
      <c r="M635" s="19">
        <v>-2.4399999999999999E-3</v>
      </c>
      <c r="N635" s="19">
        <v>-2.4399999999999999E-3</v>
      </c>
      <c r="O635" s="19">
        <v>-2.47E-3</v>
      </c>
      <c r="P635" s="19">
        <v>-2.49E-3</v>
      </c>
      <c r="Q635" s="19"/>
      <c r="R635" s="19">
        <f t="shared" si="65"/>
        <v>0</v>
      </c>
      <c r="S635" s="19">
        <f t="shared" si="66"/>
        <v>0</v>
      </c>
      <c r="T635" s="19">
        <f t="shared" si="67"/>
        <v>0</v>
      </c>
      <c r="U635" s="19">
        <f t="shared" si="68"/>
        <v>0</v>
      </c>
      <c r="V635" s="21">
        <f t="shared" si="69"/>
        <v>0</v>
      </c>
    </row>
    <row r="636" spans="1:22" ht="13.5" x14ac:dyDescent="0.35">
      <c r="A636" s="18">
        <v>913036</v>
      </c>
      <c r="B636" s="19" t="s">
        <v>659</v>
      </c>
      <c r="C636" s="19">
        <v>69</v>
      </c>
      <c r="D636" s="19">
        <v>101</v>
      </c>
      <c r="E636" s="19">
        <v>1100</v>
      </c>
      <c r="F636" s="19">
        <v>9.51</v>
      </c>
      <c r="G636" s="19">
        <v>0</v>
      </c>
      <c r="H636" s="19">
        <v>9.51</v>
      </c>
      <c r="I636" s="20">
        <v>9.51</v>
      </c>
      <c r="J636" s="19">
        <f t="shared" si="63"/>
        <v>0</v>
      </c>
      <c r="K636" s="19">
        <f t="shared" si="64"/>
        <v>0</v>
      </c>
      <c r="L636" s="19">
        <v>-6.6E-4</v>
      </c>
      <c r="M636" s="19">
        <v>-2.0899999999999998E-3</v>
      </c>
      <c r="N636" s="19">
        <v>-2.0899999999999998E-3</v>
      </c>
      <c r="O636" s="19">
        <v>-2.1199999999999999E-3</v>
      </c>
      <c r="P636" s="19">
        <v>-2.15E-3</v>
      </c>
      <c r="Q636" s="19"/>
      <c r="R636" s="19">
        <f t="shared" si="65"/>
        <v>0</v>
      </c>
      <c r="S636" s="19">
        <f t="shared" si="66"/>
        <v>0</v>
      </c>
      <c r="T636" s="19">
        <f t="shared" si="67"/>
        <v>0</v>
      </c>
      <c r="U636" s="19">
        <f t="shared" si="68"/>
        <v>0</v>
      </c>
      <c r="V636" s="21">
        <f t="shared" si="69"/>
        <v>0</v>
      </c>
    </row>
    <row r="637" spans="1:22" ht="13.5" x14ac:dyDescent="0.35">
      <c r="A637" s="18">
        <v>913038</v>
      </c>
      <c r="B637" s="19" t="s">
        <v>660</v>
      </c>
      <c r="C637" s="19">
        <v>69</v>
      </c>
      <c r="D637" s="19">
        <v>101</v>
      </c>
      <c r="E637" s="19">
        <v>1100</v>
      </c>
      <c r="F637" s="19">
        <v>7.49</v>
      </c>
      <c r="G637" s="19">
        <v>0</v>
      </c>
      <c r="H637" s="19">
        <v>7.49</v>
      </c>
      <c r="I637" s="20">
        <v>7.49</v>
      </c>
      <c r="J637" s="19">
        <f t="shared" si="63"/>
        <v>0</v>
      </c>
      <c r="K637" s="19">
        <f t="shared" si="64"/>
        <v>0</v>
      </c>
      <c r="L637" s="19">
        <v>-6.6E-4</v>
      </c>
      <c r="M637" s="19">
        <v>-2.7999999999999998E-4</v>
      </c>
      <c r="N637" s="19">
        <v>-2.7999999999999998E-4</v>
      </c>
      <c r="O637" s="19">
        <v>-3.1E-4</v>
      </c>
      <c r="P637" s="19">
        <v>-3.3E-4</v>
      </c>
      <c r="Q637" s="19"/>
      <c r="R637" s="19">
        <f t="shared" si="65"/>
        <v>0</v>
      </c>
      <c r="S637" s="19">
        <f t="shared" si="66"/>
        <v>0</v>
      </c>
      <c r="T637" s="19">
        <f t="shared" si="67"/>
        <v>0</v>
      </c>
      <c r="U637" s="19">
        <f t="shared" si="68"/>
        <v>0</v>
      </c>
      <c r="V637" s="21">
        <f t="shared" si="69"/>
        <v>0</v>
      </c>
    </row>
    <row r="638" spans="1:22" ht="13.5" x14ac:dyDescent="0.35">
      <c r="A638" s="18">
        <v>913047</v>
      </c>
      <c r="B638" s="19" t="s">
        <v>661</v>
      </c>
      <c r="C638" s="19">
        <v>69</v>
      </c>
      <c r="D638" s="19">
        <v>101</v>
      </c>
      <c r="E638" s="19">
        <v>1100</v>
      </c>
      <c r="F638" s="19">
        <v>8.5299999999999994</v>
      </c>
      <c r="G638" s="19">
        <v>0</v>
      </c>
      <c r="H638" s="19">
        <v>8.5299999999999994</v>
      </c>
      <c r="I638" s="20">
        <v>8.5299999999999994</v>
      </c>
      <c r="J638" s="19">
        <f t="shared" si="63"/>
        <v>0</v>
      </c>
      <c r="K638" s="19">
        <f t="shared" si="64"/>
        <v>0</v>
      </c>
      <c r="L638" s="19">
        <v>-6.6E-4</v>
      </c>
      <c r="M638" s="19">
        <v>-2.0899999999999998E-3</v>
      </c>
      <c r="N638" s="19">
        <v>-2.0899999999999998E-3</v>
      </c>
      <c r="O638" s="19">
        <v>-2.1199999999999999E-3</v>
      </c>
      <c r="P638" s="19">
        <v>-2.15E-3</v>
      </c>
      <c r="Q638" s="19"/>
      <c r="R638" s="19">
        <f t="shared" si="65"/>
        <v>0</v>
      </c>
      <c r="S638" s="19">
        <f t="shared" si="66"/>
        <v>0</v>
      </c>
      <c r="T638" s="19">
        <f t="shared" si="67"/>
        <v>0</v>
      </c>
      <c r="U638" s="19">
        <f t="shared" si="68"/>
        <v>0</v>
      </c>
      <c r="V638" s="21">
        <f t="shared" si="69"/>
        <v>0</v>
      </c>
    </row>
    <row r="639" spans="1:22" ht="13.5" x14ac:dyDescent="0.35">
      <c r="A639" s="18">
        <v>913049</v>
      </c>
      <c r="B639" s="19" t="s">
        <v>662</v>
      </c>
      <c r="C639" s="19">
        <v>69</v>
      </c>
      <c r="D639" s="19">
        <v>101</v>
      </c>
      <c r="E639" s="19">
        <v>1100</v>
      </c>
      <c r="F639" s="19">
        <v>15.67</v>
      </c>
      <c r="G639" s="19">
        <v>0</v>
      </c>
      <c r="H639" s="19">
        <v>15.67</v>
      </c>
      <c r="I639" s="20">
        <v>15.67</v>
      </c>
      <c r="J639" s="19">
        <f t="shared" si="63"/>
        <v>0</v>
      </c>
      <c r="K639" s="19">
        <f t="shared" si="64"/>
        <v>0</v>
      </c>
      <c r="L639" s="19">
        <v>-6.6E-4</v>
      </c>
      <c r="M639" s="19">
        <v>-2.0500000000000002E-3</v>
      </c>
      <c r="N639" s="19">
        <v>-2.0500000000000002E-3</v>
      </c>
      <c r="O639" s="19">
        <v>-2.0799999999999998E-3</v>
      </c>
      <c r="P639" s="19">
        <v>-2.1099999999999999E-3</v>
      </c>
      <c r="Q639" s="19"/>
      <c r="R639" s="19">
        <f t="shared" si="65"/>
        <v>0</v>
      </c>
      <c r="S639" s="19">
        <f t="shared" si="66"/>
        <v>0</v>
      </c>
      <c r="T639" s="19">
        <f t="shared" si="67"/>
        <v>0</v>
      </c>
      <c r="U639" s="19">
        <f t="shared" si="68"/>
        <v>0</v>
      </c>
      <c r="V639" s="21">
        <f t="shared" si="69"/>
        <v>0</v>
      </c>
    </row>
    <row r="640" spans="1:22" ht="13.5" x14ac:dyDescent="0.35">
      <c r="A640" s="18">
        <v>913054</v>
      </c>
      <c r="B640" s="19" t="s">
        <v>663</v>
      </c>
      <c r="C640" s="19">
        <v>69</v>
      </c>
      <c r="D640" s="19">
        <v>101</v>
      </c>
      <c r="E640" s="19">
        <v>1100</v>
      </c>
      <c r="F640" s="19">
        <v>0</v>
      </c>
      <c r="G640" s="19">
        <v>0</v>
      </c>
      <c r="H640" s="19">
        <v>0</v>
      </c>
      <c r="I640" s="20">
        <v>0</v>
      </c>
      <c r="J640" s="19">
        <f t="shared" si="63"/>
        <v>0</v>
      </c>
      <c r="K640" s="19">
        <f t="shared" si="64"/>
        <v>0</v>
      </c>
      <c r="L640" s="19">
        <v>-6.6E-4</v>
      </c>
      <c r="M640" s="19">
        <v>-2.8800000000000002E-3</v>
      </c>
      <c r="N640" s="19">
        <v>-2.8800000000000002E-3</v>
      </c>
      <c r="O640" s="19">
        <v>-2.9099999999999998E-3</v>
      </c>
      <c r="P640" s="19">
        <v>-2.9299999999999999E-3</v>
      </c>
      <c r="Q640" s="19"/>
      <c r="R640" s="19">
        <f t="shared" si="65"/>
        <v>0</v>
      </c>
      <c r="S640" s="19">
        <f t="shared" si="66"/>
        <v>0</v>
      </c>
      <c r="T640" s="19">
        <f t="shared" si="67"/>
        <v>0</v>
      </c>
      <c r="U640" s="19">
        <f t="shared" si="68"/>
        <v>0</v>
      </c>
      <c r="V640" s="21">
        <f t="shared" si="69"/>
        <v>0</v>
      </c>
    </row>
    <row r="641" spans="1:22" ht="13.5" x14ac:dyDescent="0.35">
      <c r="A641" s="18">
        <v>913118</v>
      </c>
      <c r="B641" s="19" t="s">
        <v>664</v>
      </c>
      <c r="C641" s="19">
        <v>115</v>
      </c>
      <c r="D641" s="19">
        <v>101</v>
      </c>
      <c r="E641" s="19">
        <v>1100</v>
      </c>
      <c r="F641" s="19">
        <v>8.65</v>
      </c>
      <c r="G641" s="19">
        <v>0</v>
      </c>
      <c r="H641" s="19">
        <v>8.65</v>
      </c>
      <c r="I641" s="20">
        <v>8.65</v>
      </c>
      <c r="J641" s="19">
        <f t="shared" si="63"/>
        <v>0</v>
      </c>
      <c r="K641" s="19">
        <f t="shared" si="64"/>
        <v>0</v>
      </c>
      <c r="L641" s="19">
        <v>-6.6E-4</v>
      </c>
      <c r="M641" s="19">
        <v>-2.16E-3</v>
      </c>
      <c r="N641" s="19">
        <v>-2.16E-3</v>
      </c>
      <c r="O641" s="19">
        <v>-2.2000000000000001E-3</v>
      </c>
      <c r="P641" s="19">
        <v>-2.2200000000000002E-3</v>
      </c>
      <c r="Q641" s="19"/>
      <c r="R641" s="19">
        <f t="shared" si="65"/>
        <v>0</v>
      </c>
      <c r="S641" s="19">
        <f t="shared" si="66"/>
        <v>0</v>
      </c>
      <c r="T641" s="19">
        <f t="shared" si="67"/>
        <v>0</v>
      </c>
      <c r="U641" s="19">
        <f t="shared" si="68"/>
        <v>0</v>
      </c>
      <c r="V641" s="21">
        <f t="shared" si="69"/>
        <v>0</v>
      </c>
    </row>
    <row r="642" spans="1:22" ht="13.5" x14ac:dyDescent="0.35">
      <c r="A642" s="18">
        <v>913264</v>
      </c>
      <c r="B642" s="19" t="s">
        <v>665</v>
      </c>
      <c r="C642" s="19">
        <v>345</v>
      </c>
      <c r="D642" s="19">
        <v>101</v>
      </c>
      <c r="E642" s="19">
        <v>1110</v>
      </c>
      <c r="F642" s="19">
        <v>17.920000000000002</v>
      </c>
      <c r="G642" s="19">
        <v>0</v>
      </c>
      <c r="H642" s="19">
        <v>17.920000000000002</v>
      </c>
      <c r="I642" s="20">
        <v>17.920000000000002</v>
      </c>
      <c r="J642" s="19">
        <f t="shared" si="63"/>
        <v>0</v>
      </c>
      <c r="K642" s="19">
        <f t="shared" si="64"/>
        <v>0</v>
      </c>
      <c r="L642" s="19">
        <v>-6.6E-4</v>
      </c>
      <c r="M642" s="19">
        <v>3.8000000000000002E-4</v>
      </c>
      <c r="N642" s="19">
        <v>3.8000000000000002E-4</v>
      </c>
      <c r="O642" s="19">
        <v>3.5E-4</v>
      </c>
      <c r="P642" s="19">
        <v>3.3E-4</v>
      </c>
      <c r="Q642" s="19"/>
      <c r="R642" s="19">
        <f t="shared" si="65"/>
        <v>0</v>
      </c>
      <c r="S642" s="19">
        <f t="shared" si="66"/>
        <v>0</v>
      </c>
      <c r="T642" s="19">
        <f t="shared" si="67"/>
        <v>0</v>
      </c>
      <c r="U642" s="19">
        <f t="shared" si="68"/>
        <v>0</v>
      </c>
      <c r="V642" s="21">
        <f t="shared" si="69"/>
        <v>0</v>
      </c>
    </row>
    <row r="643" spans="1:22" ht="13.5" x14ac:dyDescent="0.35">
      <c r="A643" s="18">
        <v>913285</v>
      </c>
      <c r="B643" s="19" t="s">
        <v>666</v>
      </c>
      <c r="C643" s="19">
        <v>115</v>
      </c>
      <c r="D643" s="19">
        <v>101</v>
      </c>
      <c r="E643" s="19">
        <v>1110</v>
      </c>
      <c r="F643" s="19">
        <v>10</v>
      </c>
      <c r="G643" s="19">
        <v>0</v>
      </c>
      <c r="H643" s="19">
        <v>10</v>
      </c>
      <c r="I643" s="20">
        <v>10</v>
      </c>
      <c r="J643" s="19">
        <f t="shared" si="63"/>
        <v>0</v>
      </c>
      <c r="K643" s="19">
        <f t="shared" si="64"/>
        <v>0</v>
      </c>
      <c r="L643" s="19">
        <v>-6.6E-4</v>
      </c>
      <c r="M643" s="19">
        <v>4.6000000000000001E-4</v>
      </c>
      <c r="N643" s="19">
        <v>4.6000000000000001E-4</v>
      </c>
      <c r="O643" s="19">
        <v>4.2999999999999999E-4</v>
      </c>
      <c r="P643" s="19">
        <v>4.0000000000000002E-4</v>
      </c>
      <c r="Q643" s="19"/>
      <c r="R643" s="19">
        <f t="shared" si="65"/>
        <v>0</v>
      </c>
      <c r="S643" s="19">
        <f t="shared" si="66"/>
        <v>0</v>
      </c>
      <c r="T643" s="19">
        <f t="shared" si="67"/>
        <v>0</v>
      </c>
      <c r="U643" s="19">
        <f t="shared" si="68"/>
        <v>0</v>
      </c>
      <c r="V643" s="21">
        <f t="shared" si="69"/>
        <v>0</v>
      </c>
    </row>
    <row r="644" spans="1:22" ht="13.5" x14ac:dyDescent="0.35">
      <c r="A644" s="18">
        <v>913286</v>
      </c>
      <c r="B644" s="19" t="s">
        <v>665</v>
      </c>
      <c r="C644" s="19">
        <v>115</v>
      </c>
      <c r="D644" s="19">
        <v>101</v>
      </c>
      <c r="E644" s="19">
        <v>1100</v>
      </c>
      <c r="F644" s="19">
        <v>0</v>
      </c>
      <c r="G644" s="19">
        <v>0</v>
      </c>
      <c r="H644" s="19">
        <v>0</v>
      </c>
      <c r="I644" s="20">
        <v>0</v>
      </c>
      <c r="J644" s="19">
        <f t="shared" si="63"/>
        <v>0</v>
      </c>
      <c r="K644" s="19">
        <f t="shared" si="64"/>
        <v>0</v>
      </c>
      <c r="L644" s="19">
        <v>-6.6E-4</v>
      </c>
      <c r="M644" s="19">
        <v>-4.3200000000000001E-3</v>
      </c>
      <c r="N644" s="19">
        <v>-4.3200000000000001E-3</v>
      </c>
      <c r="O644" s="19">
        <v>-4.3600000000000002E-3</v>
      </c>
      <c r="P644" s="19">
        <v>-4.3800000000000002E-3</v>
      </c>
      <c r="Q644" s="19"/>
      <c r="R644" s="19">
        <f t="shared" si="65"/>
        <v>0</v>
      </c>
      <c r="S644" s="19">
        <f t="shared" si="66"/>
        <v>0</v>
      </c>
      <c r="T644" s="19">
        <f t="shared" si="67"/>
        <v>0</v>
      </c>
      <c r="U644" s="19">
        <f t="shared" si="68"/>
        <v>0</v>
      </c>
      <c r="V644" s="21">
        <f t="shared" si="69"/>
        <v>0</v>
      </c>
    </row>
    <row r="645" spans="1:22" ht="13.5" x14ac:dyDescent="0.35">
      <c r="A645" s="18">
        <v>913295</v>
      </c>
      <c r="B645" s="19" t="s">
        <v>667</v>
      </c>
      <c r="C645" s="19">
        <v>115</v>
      </c>
      <c r="D645" s="19">
        <v>101</v>
      </c>
      <c r="E645" s="19">
        <v>1100</v>
      </c>
      <c r="F645" s="19">
        <v>0</v>
      </c>
      <c r="G645" s="19">
        <v>0</v>
      </c>
      <c r="H645" s="19">
        <v>0</v>
      </c>
      <c r="I645" s="20">
        <v>0</v>
      </c>
      <c r="J645" s="19">
        <f t="shared" si="63"/>
        <v>0</v>
      </c>
      <c r="K645" s="19">
        <f t="shared" si="64"/>
        <v>0</v>
      </c>
      <c r="L645" s="19">
        <v>-6.6E-4</v>
      </c>
      <c r="M645" s="19">
        <v>-1.6000000000000001E-3</v>
      </c>
      <c r="N645" s="19">
        <v>-1.6000000000000001E-3</v>
      </c>
      <c r="O645" s="19">
        <v>-1.6299999999999999E-3</v>
      </c>
      <c r="P645" s="19">
        <v>-1.65E-3</v>
      </c>
      <c r="Q645" s="19"/>
      <c r="R645" s="19">
        <f t="shared" si="65"/>
        <v>0</v>
      </c>
      <c r="S645" s="19">
        <f t="shared" si="66"/>
        <v>0</v>
      </c>
      <c r="T645" s="19">
        <f t="shared" si="67"/>
        <v>0</v>
      </c>
      <c r="U645" s="19">
        <f t="shared" si="68"/>
        <v>0</v>
      </c>
      <c r="V645" s="21">
        <f t="shared" si="69"/>
        <v>0</v>
      </c>
    </row>
    <row r="646" spans="1:22" ht="13.5" x14ac:dyDescent="0.35">
      <c r="A646" s="18">
        <v>913300</v>
      </c>
      <c r="B646" s="19" t="s">
        <v>668</v>
      </c>
      <c r="C646" s="19">
        <v>115</v>
      </c>
      <c r="D646" s="19">
        <v>101</v>
      </c>
      <c r="E646" s="19">
        <v>1110</v>
      </c>
      <c r="F646" s="19">
        <v>17.57</v>
      </c>
      <c r="G646" s="19">
        <v>0</v>
      </c>
      <c r="H646" s="19">
        <v>17.57</v>
      </c>
      <c r="I646" s="20">
        <v>17.57</v>
      </c>
      <c r="J646" s="19">
        <f t="shared" si="63"/>
        <v>0</v>
      </c>
      <c r="K646" s="19">
        <f t="shared" si="64"/>
        <v>0</v>
      </c>
      <c r="L646" s="19">
        <v>-6.6E-4</v>
      </c>
      <c r="M646" s="19">
        <v>-1.6299999999999999E-3</v>
      </c>
      <c r="N646" s="19">
        <v>-1.6299999999999999E-3</v>
      </c>
      <c r="O646" s="19">
        <v>-1.66E-3</v>
      </c>
      <c r="P646" s="19">
        <v>-1.6900000000000001E-3</v>
      </c>
      <c r="Q646" s="19"/>
      <c r="R646" s="19">
        <f t="shared" si="65"/>
        <v>0</v>
      </c>
      <c r="S646" s="19">
        <f t="shared" si="66"/>
        <v>0</v>
      </c>
      <c r="T646" s="19">
        <f t="shared" si="67"/>
        <v>0</v>
      </c>
      <c r="U646" s="19">
        <f t="shared" si="68"/>
        <v>0</v>
      </c>
      <c r="V646" s="21">
        <f t="shared" si="69"/>
        <v>0</v>
      </c>
    </row>
    <row r="647" spans="1:22" ht="13.5" x14ac:dyDescent="0.35">
      <c r="A647" s="18">
        <v>913316</v>
      </c>
      <c r="B647" s="19" t="s">
        <v>669</v>
      </c>
      <c r="C647" s="19">
        <v>69</v>
      </c>
      <c r="D647" s="19">
        <v>101</v>
      </c>
      <c r="E647" s="19">
        <v>1100</v>
      </c>
      <c r="F647" s="19">
        <v>15.23</v>
      </c>
      <c r="G647" s="19">
        <v>0</v>
      </c>
      <c r="H647" s="19">
        <v>15.23</v>
      </c>
      <c r="I647" s="20">
        <v>15.23</v>
      </c>
      <c r="J647" s="19">
        <f t="shared" si="63"/>
        <v>0</v>
      </c>
      <c r="K647" s="19">
        <f t="shared" si="64"/>
        <v>0</v>
      </c>
      <c r="L647" s="19">
        <v>-6.6E-4</v>
      </c>
      <c r="M647" s="19">
        <v>-3.0000000000000001E-5</v>
      </c>
      <c r="N647" s="19">
        <v>-3.0000000000000001E-5</v>
      </c>
      <c r="O647" s="19">
        <v>-6.0000000000000002E-5</v>
      </c>
      <c r="P647" s="19">
        <v>-9.0000000000000006E-5</v>
      </c>
      <c r="Q647" s="19"/>
      <c r="R647" s="19">
        <f t="shared" si="65"/>
        <v>0</v>
      </c>
      <c r="S647" s="19">
        <f t="shared" si="66"/>
        <v>0</v>
      </c>
      <c r="T647" s="19">
        <f t="shared" si="67"/>
        <v>0</v>
      </c>
      <c r="U647" s="19">
        <f t="shared" si="68"/>
        <v>0</v>
      </c>
      <c r="V647" s="21">
        <f t="shared" si="69"/>
        <v>0</v>
      </c>
    </row>
    <row r="648" spans="1:22" ht="13.5" x14ac:dyDescent="0.35">
      <c r="A648" s="18">
        <v>913328</v>
      </c>
      <c r="B648" s="19" t="s">
        <v>670</v>
      </c>
      <c r="C648" s="19">
        <v>69</v>
      </c>
      <c r="D648" s="19">
        <v>101</v>
      </c>
      <c r="E648" s="19">
        <v>1110</v>
      </c>
      <c r="F648" s="19">
        <v>9.93</v>
      </c>
      <c r="G648" s="19">
        <v>0</v>
      </c>
      <c r="H648" s="19">
        <v>9.93</v>
      </c>
      <c r="I648" s="20">
        <v>9.93</v>
      </c>
      <c r="J648" s="19">
        <f t="shared" si="63"/>
        <v>0</v>
      </c>
      <c r="K648" s="19">
        <f t="shared" si="64"/>
        <v>0</v>
      </c>
      <c r="L648" s="19">
        <v>-6.6E-4</v>
      </c>
      <c r="M648" s="19">
        <v>-3.47E-3</v>
      </c>
      <c r="N648" s="19">
        <v>-3.47E-3</v>
      </c>
      <c r="O648" s="19">
        <v>-3.5100000000000001E-3</v>
      </c>
      <c r="P648" s="19">
        <v>-3.5300000000000002E-3</v>
      </c>
      <c r="Q648" s="19"/>
      <c r="R648" s="19">
        <f t="shared" si="65"/>
        <v>0</v>
      </c>
      <c r="S648" s="19">
        <f t="shared" si="66"/>
        <v>0</v>
      </c>
      <c r="T648" s="19">
        <f t="shared" si="67"/>
        <v>0</v>
      </c>
      <c r="U648" s="19">
        <f t="shared" si="68"/>
        <v>0</v>
      </c>
      <c r="V648" s="21">
        <f t="shared" si="69"/>
        <v>0</v>
      </c>
    </row>
    <row r="649" spans="1:22" ht="13.5" x14ac:dyDescent="0.35">
      <c r="A649" s="18">
        <v>913968</v>
      </c>
      <c r="B649" s="19" t="s">
        <v>671</v>
      </c>
      <c r="C649" s="19">
        <v>115</v>
      </c>
      <c r="D649" s="19">
        <v>101</v>
      </c>
      <c r="E649" s="19">
        <v>1120</v>
      </c>
      <c r="F649" s="19">
        <v>0</v>
      </c>
      <c r="G649" s="19">
        <v>0</v>
      </c>
      <c r="H649" s="19">
        <v>0</v>
      </c>
      <c r="I649" s="20">
        <v>0</v>
      </c>
      <c r="J649" s="19">
        <f t="shared" si="63"/>
        <v>0</v>
      </c>
      <c r="K649" s="19">
        <f t="shared" si="64"/>
        <v>0</v>
      </c>
      <c r="L649" s="19">
        <v>-6.6E-4</v>
      </c>
      <c r="M649" s="19">
        <v>3.4199999999999999E-3</v>
      </c>
      <c r="N649" s="19">
        <v>3.4199999999999999E-3</v>
      </c>
      <c r="O649" s="19">
        <v>3.3899999999999998E-3</v>
      </c>
      <c r="P649" s="19">
        <v>3.3600000000000001E-3</v>
      </c>
      <c r="Q649" s="19"/>
      <c r="R649" s="19">
        <f t="shared" si="65"/>
        <v>0</v>
      </c>
      <c r="S649" s="19">
        <f t="shared" si="66"/>
        <v>0</v>
      </c>
      <c r="T649" s="19">
        <f t="shared" si="67"/>
        <v>0</v>
      </c>
      <c r="U649" s="19">
        <f t="shared" si="68"/>
        <v>0</v>
      </c>
      <c r="V649" s="21">
        <f t="shared" si="69"/>
        <v>0</v>
      </c>
    </row>
    <row r="650" spans="1:22" ht="13.5" x14ac:dyDescent="0.35">
      <c r="A650" s="18">
        <v>914734</v>
      </c>
      <c r="B650" s="19" t="s">
        <v>672</v>
      </c>
      <c r="C650" s="19">
        <v>345</v>
      </c>
      <c r="D650" s="19">
        <v>101</v>
      </c>
      <c r="E650" s="19">
        <v>1140</v>
      </c>
      <c r="F650" s="19">
        <v>840</v>
      </c>
      <c r="G650" s="19">
        <v>0</v>
      </c>
      <c r="H650" s="19">
        <v>840</v>
      </c>
      <c r="I650" s="20">
        <v>840</v>
      </c>
      <c r="J650" s="19">
        <f t="shared" si="63"/>
        <v>0</v>
      </c>
      <c r="K650" s="19">
        <f t="shared" si="64"/>
        <v>0</v>
      </c>
      <c r="L650" s="19">
        <v>-6.6E-4</v>
      </c>
      <c r="M650" s="19">
        <v>-2.9069999999999999E-2</v>
      </c>
      <c r="N650" s="19">
        <v>-2.9069999999999999E-2</v>
      </c>
      <c r="O650" s="19">
        <v>-2.9100000000000001E-2</v>
      </c>
      <c r="P650" s="19">
        <v>-2.913E-2</v>
      </c>
      <c r="Q650" s="19"/>
      <c r="R650" s="19">
        <f t="shared" si="65"/>
        <v>0</v>
      </c>
      <c r="S650" s="19">
        <f t="shared" si="66"/>
        <v>0</v>
      </c>
      <c r="T650" s="19">
        <f t="shared" si="67"/>
        <v>0</v>
      </c>
      <c r="U650" s="19">
        <f t="shared" si="68"/>
        <v>0</v>
      </c>
      <c r="V650" s="21">
        <f t="shared" si="69"/>
        <v>0</v>
      </c>
    </row>
    <row r="651" spans="1:22" ht="13.5" x14ac:dyDescent="0.35">
      <c r="A651" s="18">
        <v>914757</v>
      </c>
      <c r="B651" s="19" t="s">
        <v>673</v>
      </c>
      <c r="C651" s="19">
        <v>115</v>
      </c>
      <c r="D651" s="19">
        <v>101</v>
      </c>
      <c r="E651" s="19">
        <v>1140</v>
      </c>
      <c r="F651" s="19">
        <v>170</v>
      </c>
      <c r="G651" s="19">
        <v>0</v>
      </c>
      <c r="H651" s="19">
        <v>170</v>
      </c>
      <c r="I651" s="20">
        <v>170</v>
      </c>
      <c r="J651" s="19">
        <f t="shared" si="63"/>
        <v>0</v>
      </c>
      <c r="K651" s="19">
        <f t="shared" si="64"/>
        <v>0</v>
      </c>
      <c r="L651" s="19">
        <v>-6.6E-4</v>
      </c>
      <c r="M651" s="19">
        <v>-1.7139999999999999E-2</v>
      </c>
      <c r="N651" s="19">
        <v>-1.7139999999999999E-2</v>
      </c>
      <c r="O651" s="19">
        <v>-1.7170000000000001E-2</v>
      </c>
      <c r="P651" s="19">
        <v>-1.72E-2</v>
      </c>
      <c r="Q651" s="19"/>
      <c r="R651" s="19">
        <f t="shared" si="65"/>
        <v>0</v>
      </c>
      <c r="S651" s="19">
        <f t="shared" si="66"/>
        <v>0</v>
      </c>
      <c r="T651" s="19">
        <f t="shared" si="67"/>
        <v>0</v>
      </c>
      <c r="U651" s="19">
        <f t="shared" si="68"/>
        <v>0</v>
      </c>
      <c r="V651" s="21">
        <f t="shared" si="69"/>
        <v>0</v>
      </c>
    </row>
    <row r="652" spans="1:22" ht="13.5" x14ac:dyDescent="0.35">
      <c r="A652" s="18">
        <v>915464</v>
      </c>
      <c r="B652" s="19" t="s">
        <v>674</v>
      </c>
      <c r="C652" s="19">
        <v>115</v>
      </c>
      <c r="D652" s="19">
        <v>101</v>
      </c>
      <c r="E652" s="19">
        <v>1150</v>
      </c>
      <c r="F652" s="19">
        <v>0</v>
      </c>
      <c r="G652" s="19">
        <v>0</v>
      </c>
      <c r="H652" s="19">
        <v>0</v>
      </c>
      <c r="I652" s="20">
        <v>0</v>
      </c>
      <c r="J652" s="19">
        <f t="shared" si="63"/>
        <v>0</v>
      </c>
      <c r="K652" s="19">
        <f t="shared" si="64"/>
        <v>0</v>
      </c>
      <c r="L652" s="19">
        <v>-6.6E-4</v>
      </c>
      <c r="M652" s="19">
        <v>4.2909999999999997E-2</v>
      </c>
      <c r="N652" s="19">
        <v>4.2909999999999997E-2</v>
      </c>
      <c r="O652" s="19">
        <v>4.2880000000000001E-2</v>
      </c>
      <c r="P652" s="19">
        <v>4.2860000000000002E-2</v>
      </c>
      <c r="Q652" s="19"/>
      <c r="R652" s="19">
        <f t="shared" si="65"/>
        <v>0</v>
      </c>
      <c r="S652" s="19">
        <f t="shared" si="66"/>
        <v>0</v>
      </c>
      <c r="T652" s="19">
        <f t="shared" si="67"/>
        <v>0</v>
      </c>
      <c r="U652" s="19">
        <f t="shared" si="68"/>
        <v>0</v>
      </c>
      <c r="V652" s="21">
        <f t="shared" si="69"/>
        <v>0</v>
      </c>
    </row>
    <row r="653" spans="1:22" ht="13.5" x14ac:dyDescent="0.35">
      <c r="A653" s="18">
        <v>915728</v>
      </c>
      <c r="B653" s="19" t="s">
        <v>675</v>
      </c>
      <c r="C653" s="19">
        <v>115</v>
      </c>
      <c r="D653" s="19">
        <v>101</v>
      </c>
      <c r="E653" s="19">
        <v>1160</v>
      </c>
      <c r="F653" s="19">
        <v>112.11</v>
      </c>
      <c r="G653" s="19">
        <v>0</v>
      </c>
      <c r="H653" s="19">
        <v>880</v>
      </c>
      <c r="I653" s="20">
        <v>112.11</v>
      </c>
      <c r="J653" s="19">
        <f t="shared" si="63"/>
        <v>0</v>
      </c>
      <c r="K653" s="19">
        <f t="shared" si="64"/>
        <v>767.89</v>
      </c>
      <c r="L653" s="19">
        <v>-6.6E-4</v>
      </c>
      <c r="M653" s="19">
        <v>2.8559999999999999E-2</v>
      </c>
      <c r="N653" s="19">
        <v>2.8559999999999999E-2</v>
      </c>
      <c r="O653" s="19">
        <v>2.853E-2</v>
      </c>
      <c r="P653" s="19">
        <v>2.8510000000000001E-2</v>
      </c>
      <c r="Q653" s="19"/>
      <c r="R653" s="19">
        <f t="shared" si="65"/>
        <v>0</v>
      </c>
      <c r="S653" s="19">
        <f t="shared" si="66"/>
        <v>0</v>
      </c>
      <c r="T653" s="19">
        <f t="shared" si="67"/>
        <v>0</v>
      </c>
      <c r="U653" s="19">
        <f t="shared" si="68"/>
        <v>0</v>
      </c>
      <c r="V653" s="21">
        <f t="shared" si="69"/>
        <v>0</v>
      </c>
    </row>
    <row r="654" spans="1:22" ht="13.5" x14ac:dyDescent="0.35">
      <c r="A654" s="18">
        <v>916284</v>
      </c>
      <c r="B654" s="19" t="s">
        <v>676</v>
      </c>
      <c r="C654" s="19">
        <v>115</v>
      </c>
      <c r="D654" s="19">
        <v>101</v>
      </c>
      <c r="E654" s="19">
        <v>1370</v>
      </c>
      <c r="F654" s="19">
        <v>0</v>
      </c>
      <c r="G654" s="19">
        <v>0</v>
      </c>
      <c r="H654" s="19">
        <v>0</v>
      </c>
      <c r="I654" s="20">
        <v>0</v>
      </c>
      <c r="J654" s="19">
        <f t="shared" ref="J654:J714" si="70">I654-F654</f>
        <v>0</v>
      </c>
      <c r="K654" s="19">
        <f t="shared" ref="K654:K714" si="71">H654-I654</f>
        <v>0</v>
      </c>
      <c r="L654" s="19">
        <v>-6.6E-4</v>
      </c>
      <c r="M654" s="19">
        <v>-1.6800000000000001E-3</v>
      </c>
      <c r="N654" s="19">
        <v>-1.6800000000000001E-3</v>
      </c>
      <c r="O654" s="19">
        <v>-1.7099999999999999E-3</v>
      </c>
      <c r="P654" s="19">
        <v>-1.74E-3</v>
      </c>
      <c r="Q654" s="19"/>
      <c r="R654" s="19">
        <f t="shared" ref="R654:R714" si="72">L654*J654</f>
        <v>0</v>
      </c>
      <c r="S654" s="19">
        <f t="shared" ref="S654:S714" si="73">M654*J654</f>
        <v>0</v>
      </c>
      <c r="T654" s="19">
        <f t="shared" ref="T654:T714" si="74">N654*J654</f>
        <v>0</v>
      </c>
      <c r="U654" s="19">
        <f t="shared" ref="U654:U714" si="75">O654*J654</f>
        <v>0</v>
      </c>
      <c r="V654" s="21">
        <f t="shared" ref="V654:V714" si="76">P654*J654</f>
        <v>0</v>
      </c>
    </row>
    <row r="655" spans="1:22" ht="13.5" x14ac:dyDescent="0.35">
      <c r="A655" s="18">
        <v>916337</v>
      </c>
      <c r="B655" s="19" t="s">
        <v>677</v>
      </c>
      <c r="C655" s="19">
        <v>115</v>
      </c>
      <c r="D655" s="19">
        <v>101</v>
      </c>
      <c r="E655" s="19">
        <v>1370</v>
      </c>
      <c r="F655" s="19">
        <v>4.8899999999999997</v>
      </c>
      <c r="G655" s="19">
        <v>0</v>
      </c>
      <c r="H655" s="19">
        <v>4.8899999999999997</v>
      </c>
      <c r="I655" s="20">
        <v>4.8899999999999997</v>
      </c>
      <c r="J655" s="19">
        <f t="shared" si="70"/>
        <v>0</v>
      </c>
      <c r="K655" s="19">
        <f t="shared" si="71"/>
        <v>0</v>
      </c>
      <c r="L655" s="19">
        <v>-6.6E-4</v>
      </c>
      <c r="M655" s="19">
        <v>-1.73E-3</v>
      </c>
      <c r="N655" s="19">
        <v>-1.73E-3</v>
      </c>
      <c r="O655" s="19">
        <v>-1.7600000000000001E-3</v>
      </c>
      <c r="P655" s="19">
        <v>-1.7899999999999999E-3</v>
      </c>
      <c r="Q655" s="19"/>
      <c r="R655" s="19">
        <f t="shared" si="72"/>
        <v>0</v>
      </c>
      <c r="S655" s="19">
        <f t="shared" si="73"/>
        <v>0</v>
      </c>
      <c r="T655" s="19">
        <f t="shared" si="74"/>
        <v>0</v>
      </c>
      <c r="U655" s="19">
        <f t="shared" si="75"/>
        <v>0</v>
      </c>
      <c r="V655" s="21">
        <f t="shared" si="76"/>
        <v>0</v>
      </c>
    </row>
    <row r="656" spans="1:22" ht="13.5" x14ac:dyDescent="0.35">
      <c r="A656" s="18">
        <v>916364</v>
      </c>
      <c r="B656" s="19" t="s">
        <v>678</v>
      </c>
      <c r="C656" s="19">
        <v>115</v>
      </c>
      <c r="D656" s="19">
        <v>101</v>
      </c>
      <c r="E656" s="19">
        <v>1330</v>
      </c>
      <c r="F656" s="19">
        <v>0</v>
      </c>
      <c r="G656" s="19">
        <v>0</v>
      </c>
      <c r="H656" s="19">
        <v>0</v>
      </c>
      <c r="I656" s="20">
        <v>0</v>
      </c>
      <c r="J656" s="19">
        <f t="shared" si="70"/>
        <v>0</v>
      </c>
      <c r="K656" s="19">
        <f t="shared" si="71"/>
        <v>0</v>
      </c>
      <c r="L656" s="19">
        <v>-6.6E-4</v>
      </c>
      <c r="M656" s="19">
        <v>-2.0799999999999998E-3</v>
      </c>
      <c r="N656" s="19">
        <v>-2.0799999999999998E-3</v>
      </c>
      <c r="O656" s="19">
        <v>-2.1099999999999999E-3</v>
      </c>
      <c r="P656" s="19">
        <v>-2.14E-3</v>
      </c>
      <c r="Q656" s="19"/>
      <c r="R656" s="19">
        <f t="shared" si="72"/>
        <v>0</v>
      </c>
      <c r="S656" s="19">
        <f t="shared" si="73"/>
        <v>0</v>
      </c>
      <c r="T656" s="19">
        <f t="shared" si="74"/>
        <v>0</v>
      </c>
      <c r="U656" s="19">
        <f t="shared" si="75"/>
        <v>0</v>
      </c>
      <c r="V656" s="21">
        <f t="shared" si="76"/>
        <v>0</v>
      </c>
    </row>
    <row r="657" spans="1:22" ht="13.5" x14ac:dyDescent="0.35">
      <c r="A657" s="18">
        <v>917004</v>
      </c>
      <c r="B657" s="19" t="s">
        <v>679</v>
      </c>
      <c r="C657" s="19">
        <v>115</v>
      </c>
      <c r="D657" s="19">
        <v>101</v>
      </c>
      <c r="E657" s="19">
        <v>1400</v>
      </c>
      <c r="F657" s="19">
        <v>53.5</v>
      </c>
      <c r="G657" s="19">
        <v>0</v>
      </c>
      <c r="H657" s="19">
        <v>53.5</v>
      </c>
      <c r="I657" s="20">
        <v>53.5</v>
      </c>
      <c r="J657" s="19">
        <f t="shared" si="70"/>
        <v>0</v>
      </c>
      <c r="K657" s="19">
        <f t="shared" si="71"/>
        <v>0</v>
      </c>
      <c r="L657" s="19">
        <v>-6.6E-4</v>
      </c>
      <c r="M657" s="19">
        <v>-3.2739999999999998E-2</v>
      </c>
      <c r="N657" s="19">
        <v>-3.2739999999999998E-2</v>
      </c>
      <c r="O657" s="19">
        <v>-3.2770000000000001E-2</v>
      </c>
      <c r="P657" s="19">
        <v>-3.2800000000000003E-2</v>
      </c>
      <c r="Q657" s="19"/>
      <c r="R657" s="19">
        <f t="shared" si="72"/>
        <v>0</v>
      </c>
      <c r="S657" s="19">
        <f t="shared" si="73"/>
        <v>0</v>
      </c>
      <c r="T657" s="19">
        <f t="shared" si="74"/>
        <v>0</v>
      </c>
      <c r="U657" s="19">
        <f t="shared" si="75"/>
        <v>0</v>
      </c>
      <c r="V657" s="21">
        <f t="shared" si="76"/>
        <v>0</v>
      </c>
    </row>
    <row r="658" spans="1:22" ht="13.5" x14ac:dyDescent="0.35">
      <c r="A658" s="18">
        <v>917008</v>
      </c>
      <c r="B658" s="19" t="s">
        <v>680</v>
      </c>
      <c r="C658" s="19">
        <v>115</v>
      </c>
      <c r="D658" s="19">
        <v>101</v>
      </c>
      <c r="E658" s="19">
        <v>1400</v>
      </c>
      <c r="F658" s="19">
        <v>9.98</v>
      </c>
      <c r="G658" s="19">
        <v>0</v>
      </c>
      <c r="H658" s="19">
        <v>9.98</v>
      </c>
      <c r="I658" s="20">
        <v>9.98</v>
      </c>
      <c r="J658" s="19">
        <f t="shared" si="70"/>
        <v>0</v>
      </c>
      <c r="K658" s="19">
        <f t="shared" si="71"/>
        <v>0</v>
      </c>
      <c r="L658" s="19">
        <v>-6.6E-4</v>
      </c>
      <c r="M658" s="19">
        <v>-4.3130000000000002E-2</v>
      </c>
      <c r="N658" s="19">
        <v>-4.3130000000000002E-2</v>
      </c>
      <c r="O658" s="19">
        <v>-4.3159999999999997E-2</v>
      </c>
      <c r="P658" s="19">
        <v>-4.3180000000000003E-2</v>
      </c>
      <c r="Q658" s="19"/>
      <c r="R658" s="19">
        <f t="shared" si="72"/>
        <v>0</v>
      </c>
      <c r="S658" s="19">
        <f t="shared" si="73"/>
        <v>0</v>
      </c>
      <c r="T658" s="19">
        <f t="shared" si="74"/>
        <v>0</v>
      </c>
      <c r="U658" s="19">
        <f t="shared" si="75"/>
        <v>0</v>
      </c>
      <c r="V658" s="21">
        <f t="shared" si="76"/>
        <v>0</v>
      </c>
    </row>
    <row r="659" spans="1:22" ht="13.5" x14ac:dyDescent="0.35">
      <c r="A659" s="18">
        <v>917011</v>
      </c>
      <c r="B659" s="19" t="s">
        <v>681</v>
      </c>
      <c r="C659" s="19">
        <v>115</v>
      </c>
      <c r="D659" s="19">
        <v>101</v>
      </c>
      <c r="E659" s="19">
        <v>1400</v>
      </c>
      <c r="F659" s="19">
        <v>44</v>
      </c>
      <c r="G659" s="19">
        <v>0</v>
      </c>
      <c r="H659" s="19">
        <v>44</v>
      </c>
      <c r="I659" s="20">
        <v>44</v>
      </c>
      <c r="J659" s="19">
        <f t="shared" si="70"/>
        <v>0</v>
      </c>
      <c r="K659" s="19">
        <f t="shared" si="71"/>
        <v>0</v>
      </c>
      <c r="L659" s="19">
        <v>-6.6E-4</v>
      </c>
      <c r="M659" s="19">
        <v>-2.562E-2</v>
      </c>
      <c r="N659" s="19">
        <v>-2.562E-2</v>
      </c>
      <c r="O659" s="19">
        <v>-2.5649999999999999E-2</v>
      </c>
      <c r="P659" s="19">
        <v>-2.5669999999999998E-2</v>
      </c>
      <c r="Q659" s="19"/>
      <c r="R659" s="19">
        <f t="shared" si="72"/>
        <v>0</v>
      </c>
      <c r="S659" s="19">
        <f t="shared" si="73"/>
        <v>0</v>
      </c>
      <c r="T659" s="19">
        <f t="shared" si="74"/>
        <v>0</v>
      </c>
      <c r="U659" s="19">
        <f t="shared" si="75"/>
        <v>0</v>
      </c>
      <c r="V659" s="21">
        <f t="shared" si="76"/>
        <v>0</v>
      </c>
    </row>
    <row r="660" spans="1:22" ht="13.5" x14ac:dyDescent="0.35">
      <c r="A660" s="18">
        <v>917305</v>
      </c>
      <c r="B660" s="19" t="s">
        <v>682</v>
      </c>
      <c r="C660" s="19">
        <v>115</v>
      </c>
      <c r="D660" s="19">
        <v>101</v>
      </c>
      <c r="E660" s="19">
        <v>1410</v>
      </c>
      <c r="F660" s="19">
        <v>3.5</v>
      </c>
      <c r="G660" s="19">
        <v>0</v>
      </c>
      <c r="H660" s="19">
        <v>3.5</v>
      </c>
      <c r="I660" s="20">
        <v>3.5</v>
      </c>
      <c r="J660" s="19">
        <f t="shared" si="70"/>
        <v>0</v>
      </c>
      <c r="K660" s="19">
        <f t="shared" si="71"/>
        <v>0</v>
      </c>
      <c r="L660" s="19">
        <v>-6.6E-4</v>
      </c>
      <c r="M660" s="19">
        <v>-1.2070000000000001E-2</v>
      </c>
      <c r="N660" s="19">
        <v>-1.2070000000000001E-2</v>
      </c>
      <c r="O660" s="19">
        <v>-1.21E-2</v>
      </c>
      <c r="P660" s="19">
        <v>-1.213E-2</v>
      </c>
      <c r="Q660" s="19"/>
      <c r="R660" s="19">
        <f t="shared" si="72"/>
        <v>0</v>
      </c>
      <c r="S660" s="19">
        <f t="shared" si="73"/>
        <v>0</v>
      </c>
      <c r="T660" s="19">
        <f t="shared" si="74"/>
        <v>0</v>
      </c>
      <c r="U660" s="19">
        <f t="shared" si="75"/>
        <v>0</v>
      </c>
      <c r="V660" s="21">
        <f t="shared" si="76"/>
        <v>0</v>
      </c>
    </row>
    <row r="661" spans="1:22" ht="13.5" x14ac:dyDescent="0.35">
      <c r="A661" s="18">
        <v>917306</v>
      </c>
      <c r="B661" s="19" t="s">
        <v>683</v>
      </c>
      <c r="C661" s="19">
        <v>115</v>
      </c>
      <c r="D661" s="19">
        <v>101</v>
      </c>
      <c r="E661" s="19">
        <v>1410</v>
      </c>
      <c r="F661" s="19">
        <v>2.2000000000000002</v>
      </c>
      <c r="G661" s="19">
        <v>0</v>
      </c>
      <c r="H661" s="19">
        <v>2.2000000000000002</v>
      </c>
      <c r="I661" s="20">
        <v>2.2000000000000002</v>
      </c>
      <c r="J661" s="19">
        <f t="shared" si="70"/>
        <v>0</v>
      </c>
      <c r="K661" s="19">
        <f t="shared" si="71"/>
        <v>0</v>
      </c>
      <c r="L661" s="19">
        <v>-6.6E-4</v>
      </c>
      <c r="M661" s="19">
        <v>-2.4639999999999999E-2</v>
      </c>
      <c r="N661" s="19">
        <v>-2.4639999999999999E-2</v>
      </c>
      <c r="O661" s="19">
        <v>-2.4670000000000001E-2</v>
      </c>
      <c r="P661" s="19">
        <v>-2.47E-2</v>
      </c>
      <c r="Q661" s="19"/>
      <c r="R661" s="19">
        <f t="shared" si="72"/>
        <v>0</v>
      </c>
      <c r="S661" s="19">
        <f t="shared" si="73"/>
        <v>0</v>
      </c>
      <c r="T661" s="19">
        <f t="shared" si="74"/>
        <v>0</v>
      </c>
      <c r="U661" s="19">
        <f t="shared" si="75"/>
        <v>0</v>
      </c>
      <c r="V661" s="21">
        <f t="shared" si="76"/>
        <v>0</v>
      </c>
    </row>
    <row r="662" spans="1:22" ht="13.5" x14ac:dyDescent="0.35">
      <c r="A662" s="18">
        <v>917313</v>
      </c>
      <c r="B662" s="19" t="s">
        <v>684</v>
      </c>
      <c r="C662" s="19">
        <v>115</v>
      </c>
      <c r="D662" s="19">
        <v>101</v>
      </c>
      <c r="E662" s="19">
        <v>1410</v>
      </c>
      <c r="F662" s="19">
        <v>11.8</v>
      </c>
      <c r="G662" s="19">
        <v>0</v>
      </c>
      <c r="H662" s="19">
        <v>11.8</v>
      </c>
      <c r="I662" s="20">
        <v>11.8</v>
      </c>
      <c r="J662" s="19">
        <f t="shared" si="70"/>
        <v>0</v>
      </c>
      <c r="K662" s="19">
        <f t="shared" si="71"/>
        <v>0</v>
      </c>
      <c r="L662" s="19">
        <v>-6.6E-4</v>
      </c>
      <c r="M662" s="19">
        <v>-1.389E-2</v>
      </c>
      <c r="N662" s="19">
        <v>-1.389E-2</v>
      </c>
      <c r="O662" s="19">
        <v>-1.392E-2</v>
      </c>
      <c r="P662" s="19">
        <v>-1.3950000000000001E-2</v>
      </c>
      <c r="Q662" s="19"/>
      <c r="R662" s="19">
        <f t="shared" si="72"/>
        <v>0</v>
      </c>
      <c r="S662" s="19">
        <f t="shared" si="73"/>
        <v>0</v>
      </c>
      <c r="T662" s="19">
        <f t="shared" si="74"/>
        <v>0</v>
      </c>
      <c r="U662" s="19">
        <f t="shared" si="75"/>
        <v>0</v>
      </c>
      <c r="V662" s="21">
        <f t="shared" si="76"/>
        <v>0</v>
      </c>
    </row>
    <row r="663" spans="1:22" ht="13.5" x14ac:dyDescent="0.35">
      <c r="A663" s="18">
        <v>917315</v>
      </c>
      <c r="B663" s="19" t="s">
        <v>685</v>
      </c>
      <c r="C663" s="19">
        <v>115</v>
      </c>
      <c r="D663" s="19">
        <v>101</v>
      </c>
      <c r="E663" s="19">
        <v>1410</v>
      </c>
      <c r="F663" s="19">
        <v>8.42</v>
      </c>
      <c r="G663" s="19">
        <v>0</v>
      </c>
      <c r="H663" s="19">
        <v>8.42</v>
      </c>
      <c r="I663" s="20">
        <v>8.42</v>
      </c>
      <c r="J663" s="19">
        <f t="shared" si="70"/>
        <v>0</v>
      </c>
      <c r="K663" s="19">
        <f t="shared" si="71"/>
        <v>0</v>
      </c>
      <c r="L663" s="19">
        <v>-6.6E-4</v>
      </c>
      <c r="M663" s="19">
        <v>-1.438E-2</v>
      </c>
      <c r="N663" s="19">
        <v>-1.438E-2</v>
      </c>
      <c r="O663" s="19">
        <v>-1.4409999999999999E-2</v>
      </c>
      <c r="P663" s="19">
        <v>-1.444E-2</v>
      </c>
      <c r="Q663" s="19"/>
      <c r="R663" s="19">
        <f t="shared" si="72"/>
        <v>0</v>
      </c>
      <c r="S663" s="19">
        <f t="shared" si="73"/>
        <v>0</v>
      </c>
      <c r="T663" s="19">
        <f t="shared" si="74"/>
        <v>0</v>
      </c>
      <c r="U663" s="19">
        <f t="shared" si="75"/>
        <v>0</v>
      </c>
      <c r="V663" s="21">
        <f t="shared" si="76"/>
        <v>0</v>
      </c>
    </row>
    <row r="664" spans="1:22" ht="13.5" x14ac:dyDescent="0.35">
      <c r="A664" s="18">
        <v>917327</v>
      </c>
      <c r="B664" s="19" t="s">
        <v>686</v>
      </c>
      <c r="C664" s="19">
        <v>115</v>
      </c>
      <c r="D664" s="19">
        <v>101</v>
      </c>
      <c r="E664" s="19">
        <v>1410</v>
      </c>
      <c r="F664" s="19">
        <v>16.82</v>
      </c>
      <c r="G664" s="19">
        <v>0</v>
      </c>
      <c r="H664" s="19">
        <v>16.82</v>
      </c>
      <c r="I664" s="20">
        <v>16.82</v>
      </c>
      <c r="J664" s="19">
        <f t="shared" si="70"/>
        <v>0</v>
      </c>
      <c r="K664" s="19">
        <f t="shared" si="71"/>
        <v>0</v>
      </c>
      <c r="L664" s="19">
        <v>-6.6E-4</v>
      </c>
      <c r="M664" s="19">
        <v>-1.5869999999999999E-2</v>
      </c>
      <c r="N664" s="19">
        <v>-1.5869999999999999E-2</v>
      </c>
      <c r="O664" s="19">
        <v>-1.5900000000000001E-2</v>
      </c>
      <c r="P664" s="19">
        <v>-1.592E-2</v>
      </c>
      <c r="Q664" s="19"/>
      <c r="R664" s="19">
        <f t="shared" si="72"/>
        <v>0</v>
      </c>
      <c r="S664" s="19">
        <f t="shared" si="73"/>
        <v>0</v>
      </c>
      <c r="T664" s="19">
        <f t="shared" si="74"/>
        <v>0</v>
      </c>
      <c r="U664" s="19">
        <f t="shared" si="75"/>
        <v>0</v>
      </c>
      <c r="V664" s="21">
        <f t="shared" si="76"/>
        <v>0</v>
      </c>
    </row>
    <row r="665" spans="1:22" ht="13.5" x14ac:dyDescent="0.35">
      <c r="A665" s="18">
        <v>917331</v>
      </c>
      <c r="B665" s="19" t="s">
        <v>687</v>
      </c>
      <c r="C665" s="19">
        <v>115</v>
      </c>
      <c r="D665" s="19">
        <v>101</v>
      </c>
      <c r="E665" s="19">
        <v>1410</v>
      </c>
      <c r="F665" s="19">
        <v>9.1300000000000008</v>
      </c>
      <c r="G665" s="19">
        <v>0</v>
      </c>
      <c r="H665" s="19">
        <v>9.1300000000000008</v>
      </c>
      <c r="I665" s="20">
        <v>9.1300000000000008</v>
      </c>
      <c r="J665" s="19">
        <f t="shared" si="70"/>
        <v>0</v>
      </c>
      <c r="K665" s="19">
        <f t="shared" si="71"/>
        <v>0</v>
      </c>
      <c r="L665" s="19">
        <v>-6.6E-4</v>
      </c>
      <c r="M665" s="19">
        <v>-2.6419999999999999E-2</v>
      </c>
      <c r="N665" s="19">
        <v>-2.6419999999999999E-2</v>
      </c>
      <c r="O665" s="19">
        <v>-2.6450000000000001E-2</v>
      </c>
      <c r="P665" s="19">
        <v>-2.647E-2</v>
      </c>
      <c r="Q665" s="19"/>
      <c r="R665" s="19">
        <f t="shared" si="72"/>
        <v>0</v>
      </c>
      <c r="S665" s="19">
        <f t="shared" si="73"/>
        <v>0</v>
      </c>
      <c r="T665" s="19">
        <f t="shared" si="74"/>
        <v>0</v>
      </c>
      <c r="U665" s="19">
        <f t="shared" si="75"/>
        <v>0</v>
      </c>
      <c r="V665" s="21">
        <f t="shared" si="76"/>
        <v>0</v>
      </c>
    </row>
    <row r="666" spans="1:22" ht="13.5" x14ac:dyDescent="0.35">
      <c r="A666" s="18">
        <v>917332</v>
      </c>
      <c r="B666" s="19" t="s">
        <v>688</v>
      </c>
      <c r="C666" s="19">
        <v>115</v>
      </c>
      <c r="D666" s="19">
        <v>101</v>
      </c>
      <c r="E666" s="19">
        <v>1410</v>
      </c>
      <c r="F666" s="19">
        <v>73.67</v>
      </c>
      <c r="G666" s="19">
        <v>0</v>
      </c>
      <c r="H666" s="19">
        <v>73.67</v>
      </c>
      <c r="I666" s="20">
        <v>73.67</v>
      </c>
      <c r="J666" s="19">
        <f t="shared" si="70"/>
        <v>0</v>
      </c>
      <c r="K666" s="19">
        <f t="shared" si="71"/>
        <v>0</v>
      </c>
      <c r="L666" s="19">
        <v>-6.6E-4</v>
      </c>
      <c r="M666" s="19">
        <v>-1.49E-2</v>
      </c>
      <c r="N666" s="19">
        <v>-1.49E-2</v>
      </c>
      <c r="O666" s="19">
        <v>-1.4930000000000001E-2</v>
      </c>
      <c r="P666" s="19">
        <v>-1.4959999999999999E-2</v>
      </c>
      <c r="Q666" s="19"/>
      <c r="R666" s="19">
        <f t="shared" si="72"/>
        <v>0</v>
      </c>
      <c r="S666" s="19">
        <f t="shared" si="73"/>
        <v>0</v>
      </c>
      <c r="T666" s="19">
        <f t="shared" si="74"/>
        <v>0</v>
      </c>
      <c r="U666" s="19">
        <f t="shared" si="75"/>
        <v>0</v>
      </c>
      <c r="V666" s="21">
        <f t="shared" si="76"/>
        <v>0</v>
      </c>
    </row>
    <row r="667" spans="1:22" ht="13.5" x14ac:dyDescent="0.35">
      <c r="A667" s="18">
        <v>917340</v>
      </c>
      <c r="B667" s="19" t="s">
        <v>689</v>
      </c>
      <c r="C667" s="19">
        <v>115</v>
      </c>
      <c r="D667" s="19">
        <v>101</v>
      </c>
      <c r="E667" s="19">
        <v>1410</v>
      </c>
      <c r="F667" s="19">
        <v>6.93</v>
      </c>
      <c r="G667" s="19">
        <v>0</v>
      </c>
      <c r="H667" s="19">
        <v>6.93</v>
      </c>
      <c r="I667" s="20">
        <v>6.93</v>
      </c>
      <c r="J667" s="19">
        <f t="shared" si="70"/>
        <v>0</v>
      </c>
      <c r="K667" s="19">
        <f t="shared" si="71"/>
        <v>0</v>
      </c>
      <c r="L667" s="19">
        <v>-6.6E-4</v>
      </c>
      <c r="M667" s="19">
        <v>-5.2859999999999997E-2</v>
      </c>
      <c r="N667" s="19">
        <v>-5.2859999999999997E-2</v>
      </c>
      <c r="O667" s="19">
        <v>-5.289E-2</v>
      </c>
      <c r="P667" s="19">
        <v>-5.2909999999999999E-2</v>
      </c>
      <c r="Q667" s="19"/>
      <c r="R667" s="19">
        <f t="shared" si="72"/>
        <v>0</v>
      </c>
      <c r="S667" s="19">
        <f t="shared" si="73"/>
        <v>0</v>
      </c>
      <c r="T667" s="19">
        <f t="shared" si="74"/>
        <v>0</v>
      </c>
      <c r="U667" s="19">
        <f t="shared" si="75"/>
        <v>0</v>
      </c>
      <c r="V667" s="21">
        <f t="shared" si="76"/>
        <v>0</v>
      </c>
    </row>
    <row r="668" spans="1:22" ht="13.5" x14ac:dyDescent="0.35">
      <c r="A668" s="18">
        <v>917342</v>
      </c>
      <c r="B668" s="19" t="s">
        <v>690</v>
      </c>
      <c r="C668" s="19">
        <v>115</v>
      </c>
      <c r="D668" s="19">
        <v>101</v>
      </c>
      <c r="E668" s="19">
        <v>1410</v>
      </c>
      <c r="F668" s="19">
        <v>7.81</v>
      </c>
      <c r="G668" s="19">
        <v>0</v>
      </c>
      <c r="H668" s="19">
        <v>7.81</v>
      </c>
      <c r="I668" s="20">
        <v>7.81</v>
      </c>
      <c r="J668" s="19">
        <f t="shared" si="70"/>
        <v>0</v>
      </c>
      <c r="K668" s="19">
        <f t="shared" si="71"/>
        <v>0</v>
      </c>
      <c r="L668" s="19">
        <v>-6.6E-4</v>
      </c>
      <c r="M668" s="19">
        <v>-2.1499999999999998E-2</v>
      </c>
      <c r="N668" s="19">
        <v>-2.1499999999999998E-2</v>
      </c>
      <c r="O668" s="19">
        <v>-2.1530000000000001E-2</v>
      </c>
      <c r="P668" s="19">
        <v>-2.155E-2</v>
      </c>
      <c r="Q668" s="19"/>
      <c r="R668" s="19">
        <f t="shared" si="72"/>
        <v>0</v>
      </c>
      <c r="S668" s="19">
        <f t="shared" si="73"/>
        <v>0</v>
      </c>
      <c r="T668" s="19">
        <f t="shared" si="74"/>
        <v>0</v>
      </c>
      <c r="U668" s="19">
        <f t="shared" si="75"/>
        <v>0</v>
      </c>
      <c r="V668" s="21">
        <f t="shared" si="76"/>
        <v>0</v>
      </c>
    </row>
    <row r="669" spans="1:22" ht="13.5" x14ac:dyDescent="0.35">
      <c r="A669" s="18">
        <v>917348</v>
      </c>
      <c r="B669" s="19" t="s">
        <v>691</v>
      </c>
      <c r="C669" s="19">
        <v>115</v>
      </c>
      <c r="D669" s="19">
        <v>101</v>
      </c>
      <c r="E669" s="19">
        <v>1410</v>
      </c>
      <c r="F669" s="19">
        <v>69.099999999999994</v>
      </c>
      <c r="G669" s="19">
        <v>0</v>
      </c>
      <c r="H669" s="19">
        <v>69.099999999999994</v>
      </c>
      <c r="I669" s="20">
        <v>69.099999999999994</v>
      </c>
      <c r="J669" s="19">
        <f t="shared" si="70"/>
        <v>0</v>
      </c>
      <c r="K669" s="19">
        <f t="shared" si="71"/>
        <v>0</v>
      </c>
      <c r="L669" s="19">
        <v>-6.6E-4</v>
      </c>
      <c r="M669" s="19">
        <v>-1.1259999999999999E-2</v>
      </c>
      <c r="N669" s="19">
        <v>-1.1259999999999999E-2</v>
      </c>
      <c r="O669" s="19">
        <v>-1.1299999999999999E-2</v>
      </c>
      <c r="P669" s="19">
        <v>-1.132E-2</v>
      </c>
      <c r="Q669" s="19"/>
      <c r="R669" s="19">
        <f t="shared" si="72"/>
        <v>0</v>
      </c>
      <c r="S669" s="19">
        <f t="shared" si="73"/>
        <v>0</v>
      </c>
      <c r="T669" s="19">
        <f t="shared" si="74"/>
        <v>0</v>
      </c>
      <c r="U669" s="19">
        <f t="shared" si="75"/>
        <v>0</v>
      </c>
      <c r="V669" s="21">
        <f t="shared" si="76"/>
        <v>0</v>
      </c>
    </row>
    <row r="670" spans="1:22" ht="13.5" x14ac:dyDescent="0.35">
      <c r="A670" s="18">
        <v>917349</v>
      </c>
      <c r="B670" s="19" t="s">
        <v>692</v>
      </c>
      <c r="C670" s="19">
        <v>115</v>
      </c>
      <c r="D670" s="19">
        <v>101</v>
      </c>
      <c r="E670" s="19">
        <v>1410</v>
      </c>
      <c r="F670" s="19">
        <v>12.44</v>
      </c>
      <c r="G670" s="19">
        <v>0</v>
      </c>
      <c r="H670" s="19">
        <v>12.44</v>
      </c>
      <c r="I670" s="20">
        <v>12.44</v>
      </c>
      <c r="J670" s="19">
        <f t="shared" si="70"/>
        <v>0</v>
      </c>
      <c r="K670" s="19">
        <f t="shared" si="71"/>
        <v>0</v>
      </c>
      <c r="L670" s="19">
        <v>-6.6E-4</v>
      </c>
      <c r="M670" s="19">
        <v>-2.1520000000000001E-2</v>
      </c>
      <c r="N670" s="19">
        <v>-2.1520000000000001E-2</v>
      </c>
      <c r="O670" s="19">
        <v>-2.155E-2</v>
      </c>
      <c r="P670" s="19">
        <v>-2.1579999999999998E-2</v>
      </c>
      <c r="Q670" s="19"/>
      <c r="R670" s="19">
        <f t="shared" si="72"/>
        <v>0</v>
      </c>
      <c r="S670" s="19">
        <f t="shared" si="73"/>
        <v>0</v>
      </c>
      <c r="T670" s="19">
        <f t="shared" si="74"/>
        <v>0</v>
      </c>
      <c r="U670" s="19">
        <f t="shared" si="75"/>
        <v>0</v>
      </c>
      <c r="V670" s="21">
        <f t="shared" si="76"/>
        <v>0</v>
      </c>
    </row>
    <row r="671" spans="1:22" ht="13.5" x14ac:dyDescent="0.35">
      <c r="A671" s="18">
        <v>917354</v>
      </c>
      <c r="B671" s="19" t="s">
        <v>693</v>
      </c>
      <c r="C671" s="19">
        <v>115</v>
      </c>
      <c r="D671" s="19">
        <v>101</v>
      </c>
      <c r="E671" s="19">
        <v>1410</v>
      </c>
      <c r="F671" s="19">
        <v>8.6199999999999992</v>
      </c>
      <c r="G671" s="19">
        <v>0</v>
      </c>
      <c r="H671" s="19">
        <v>8.6199999999999992</v>
      </c>
      <c r="I671" s="20">
        <v>8.6199999999999992</v>
      </c>
      <c r="J671" s="19">
        <f t="shared" si="70"/>
        <v>0</v>
      </c>
      <c r="K671" s="19">
        <f t="shared" si="71"/>
        <v>0</v>
      </c>
      <c r="L671" s="19">
        <v>-6.6E-4</v>
      </c>
      <c r="M671" s="19">
        <v>-2.5219999999999999E-2</v>
      </c>
      <c r="N671" s="19">
        <v>-2.5219999999999999E-2</v>
      </c>
      <c r="O671" s="19">
        <v>-2.5250000000000002E-2</v>
      </c>
      <c r="P671" s="19">
        <v>-2.528E-2</v>
      </c>
      <c r="Q671" s="19"/>
      <c r="R671" s="19">
        <f t="shared" si="72"/>
        <v>0</v>
      </c>
      <c r="S671" s="19">
        <f t="shared" si="73"/>
        <v>0</v>
      </c>
      <c r="T671" s="19">
        <f t="shared" si="74"/>
        <v>0</v>
      </c>
      <c r="U671" s="19">
        <f t="shared" si="75"/>
        <v>0</v>
      </c>
      <c r="V671" s="21">
        <f t="shared" si="76"/>
        <v>0</v>
      </c>
    </row>
    <row r="672" spans="1:22" ht="13.5" x14ac:dyDescent="0.35">
      <c r="A672" s="18">
        <v>917355</v>
      </c>
      <c r="B672" s="19" t="s">
        <v>694</v>
      </c>
      <c r="C672" s="19">
        <v>115</v>
      </c>
      <c r="D672" s="19">
        <v>101</v>
      </c>
      <c r="E672" s="19">
        <v>1410</v>
      </c>
      <c r="F672" s="19">
        <v>11.8</v>
      </c>
      <c r="G672" s="19">
        <v>0</v>
      </c>
      <c r="H672" s="19">
        <v>11.8</v>
      </c>
      <c r="I672" s="20">
        <v>11.8</v>
      </c>
      <c r="J672" s="19">
        <f t="shared" si="70"/>
        <v>0</v>
      </c>
      <c r="K672" s="19">
        <f t="shared" si="71"/>
        <v>0</v>
      </c>
      <c r="L672" s="19">
        <v>-6.6E-4</v>
      </c>
      <c r="M672" s="19">
        <v>-8.6129999999999998E-2</v>
      </c>
      <c r="N672" s="19">
        <v>-8.6129999999999998E-2</v>
      </c>
      <c r="O672" s="19">
        <v>-8.616E-2</v>
      </c>
      <c r="P672" s="19">
        <v>-8.6190000000000003E-2</v>
      </c>
      <c r="Q672" s="19"/>
      <c r="R672" s="19">
        <f t="shared" si="72"/>
        <v>0</v>
      </c>
      <c r="S672" s="19">
        <f t="shared" si="73"/>
        <v>0</v>
      </c>
      <c r="T672" s="19">
        <f t="shared" si="74"/>
        <v>0</v>
      </c>
      <c r="U672" s="19">
        <f t="shared" si="75"/>
        <v>0</v>
      </c>
      <c r="V672" s="21">
        <f t="shared" si="76"/>
        <v>0</v>
      </c>
    </row>
    <row r="673" spans="1:22" ht="13.5" x14ac:dyDescent="0.35">
      <c r="A673" s="18">
        <v>917385</v>
      </c>
      <c r="B673" s="19" t="s">
        <v>695</v>
      </c>
      <c r="C673" s="19">
        <v>34.5</v>
      </c>
      <c r="D673" s="19">
        <v>101</v>
      </c>
      <c r="E673" s="19">
        <v>1410</v>
      </c>
      <c r="F673" s="19">
        <v>29.8</v>
      </c>
      <c r="G673" s="19">
        <v>0</v>
      </c>
      <c r="H673" s="19">
        <v>29.8</v>
      </c>
      <c r="I673" s="20">
        <v>29.8</v>
      </c>
      <c r="J673" s="19">
        <f t="shared" si="70"/>
        <v>0</v>
      </c>
      <c r="K673" s="19">
        <f t="shared" si="71"/>
        <v>0</v>
      </c>
      <c r="L673" s="19">
        <v>-6.6E-4</v>
      </c>
      <c r="M673" s="19">
        <v>-1.4919999999999999E-2</v>
      </c>
      <c r="N673" s="19">
        <v>-1.4919999999999999E-2</v>
      </c>
      <c r="O673" s="19">
        <v>-1.495E-2</v>
      </c>
      <c r="P673" s="19">
        <v>-1.498E-2</v>
      </c>
      <c r="Q673" s="19"/>
      <c r="R673" s="19">
        <f t="shared" si="72"/>
        <v>0</v>
      </c>
      <c r="S673" s="19">
        <f t="shared" si="73"/>
        <v>0</v>
      </c>
      <c r="T673" s="19">
        <f t="shared" si="74"/>
        <v>0</v>
      </c>
      <c r="U673" s="19">
        <f t="shared" si="75"/>
        <v>0</v>
      </c>
      <c r="V673" s="21">
        <f t="shared" si="76"/>
        <v>0</v>
      </c>
    </row>
    <row r="674" spans="1:22" ht="13.5" x14ac:dyDescent="0.35">
      <c r="A674" s="18">
        <v>917458</v>
      </c>
      <c r="B674" s="19" t="s">
        <v>696</v>
      </c>
      <c r="C674" s="19">
        <v>115</v>
      </c>
      <c r="D674" s="19">
        <v>101</v>
      </c>
      <c r="E674" s="19">
        <v>12</v>
      </c>
      <c r="F674" s="19">
        <v>0</v>
      </c>
      <c r="G674" s="19">
        <v>0</v>
      </c>
      <c r="H674" s="19">
        <v>0</v>
      </c>
      <c r="I674" s="20">
        <v>0</v>
      </c>
      <c r="J674" s="19">
        <f t="shared" si="70"/>
        <v>0</v>
      </c>
      <c r="K674" s="19">
        <f t="shared" si="71"/>
        <v>0</v>
      </c>
      <c r="L674" s="19">
        <v>-6.6E-4</v>
      </c>
      <c r="M674" s="19">
        <v>-1.0449999999999999E-2</v>
      </c>
      <c r="N674" s="19">
        <v>-1.0449999999999999E-2</v>
      </c>
      <c r="O674" s="19">
        <v>-1.048E-2</v>
      </c>
      <c r="P674" s="19">
        <v>-1.0500000000000001E-2</v>
      </c>
      <c r="Q674" s="19"/>
      <c r="R674" s="19">
        <f t="shared" si="72"/>
        <v>0</v>
      </c>
      <c r="S674" s="19">
        <f t="shared" si="73"/>
        <v>0</v>
      </c>
      <c r="T674" s="19">
        <f t="shared" si="74"/>
        <v>0</v>
      </c>
      <c r="U674" s="19">
        <f t="shared" si="75"/>
        <v>0</v>
      </c>
      <c r="V674" s="21">
        <f t="shared" si="76"/>
        <v>0</v>
      </c>
    </row>
    <row r="675" spans="1:22" ht="13.5" x14ac:dyDescent="0.35">
      <c r="A675" s="18">
        <v>917463</v>
      </c>
      <c r="B675" s="19" t="s">
        <v>697</v>
      </c>
      <c r="C675" s="19">
        <v>115</v>
      </c>
      <c r="D675" s="19">
        <v>101</v>
      </c>
      <c r="E675" s="19">
        <v>1410</v>
      </c>
      <c r="F675" s="19">
        <v>7.88</v>
      </c>
      <c r="G675" s="19">
        <v>0</v>
      </c>
      <c r="H675" s="19">
        <v>7.88</v>
      </c>
      <c r="I675" s="20">
        <v>7.88</v>
      </c>
      <c r="J675" s="19">
        <f t="shared" si="70"/>
        <v>0</v>
      </c>
      <c r="K675" s="19">
        <f t="shared" si="71"/>
        <v>0</v>
      </c>
      <c r="L675" s="19">
        <v>-6.6E-4</v>
      </c>
      <c r="M675" s="19">
        <v>-1.8169999999999999E-2</v>
      </c>
      <c r="N675" s="19">
        <v>-1.8169999999999999E-2</v>
      </c>
      <c r="O675" s="19">
        <v>-1.8200000000000001E-2</v>
      </c>
      <c r="P675" s="19">
        <v>-1.823E-2</v>
      </c>
      <c r="Q675" s="19"/>
      <c r="R675" s="19">
        <f t="shared" si="72"/>
        <v>0</v>
      </c>
      <c r="S675" s="19">
        <f t="shared" si="73"/>
        <v>0</v>
      </c>
      <c r="T675" s="19">
        <f t="shared" si="74"/>
        <v>0</v>
      </c>
      <c r="U675" s="19">
        <f t="shared" si="75"/>
        <v>0</v>
      </c>
      <c r="V675" s="21">
        <f t="shared" si="76"/>
        <v>0</v>
      </c>
    </row>
    <row r="676" spans="1:22" ht="13.5" x14ac:dyDescent="0.35">
      <c r="A676" s="18">
        <v>918192</v>
      </c>
      <c r="B676" s="19" t="s">
        <v>698</v>
      </c>
      <c r="C676" s="19">
        <v>115</v>
      </c>
      <c r="D676" s="19">
        <v>101</v>
      </c>
      <c r="E676" s="19">
        <v>1420</v>
      </c>
      <c r="F676" s="19">
        <v>21</v>
      </c>
      <c r="G676" s="19">
        <v>0</v>
      </c>
      <c r="H676" s="19">
        <v>21</v>
      </c>
      <c r="I676" s="20">
        <v>21</v>
      </c>
      <c r="J676" s="19">
        <f t="shared" si="70"/>
        <v>0</v>
      </c>
      <c r="K676" s="19">
        <f t="shared" si="71"/>
        <v>0</v>
      </c>
      <c r="L676" s="19">
        <v>-6.6E-4</v>
      </c>
      <c r="M676" s="19">
        <v>-8.6129999999999998E-2</v>
      </c>
      <c r="N676" s="19">
        <v>-8.6129999999999998E-2</v>
      </c>
      <c r="O676" s="19">
        <v>-8.616E-2</v>
      </c>
      <c r="P676" s="19">
        <v>-8.6190000000000003E-2</v>
      </c>
      <c r="Q676" s="19"/>
      <c r="R676" s="19">
        <f t="shared" si="72"/>
        <v>0</v>
      </c>
      <c r="S676" s="19">
        <f t="shared" si="73"/>
        <v>0</v>
      </c>
      <c r="T676" s="19">
        <f t="shared" si="74"/>
        <v>0</v>
      </c>
      <c r="U676" s="19">
        <f t="shared" si="75"/>
        <v>0</v>
      </c>
      <c r="V676" s="21">
        <f t="shared" si="76"/>
        <v>0</v>
      </c>
    </row>
    <row r="677" spans="1:22" ht="13.5" x14ac:dyDescent="0.35">
      <c r="A677" s="18">
        <v>919030</v>
      </c>
      <c r="B677" s="19" t="s">
        <v>699</v>
      </c>
      <c r="C677" s="19">
        <v>115</v>
      </c>
      <c r="D677" s="19">
        <v>101</v>
      </c>
      <c r="E677" s="19">
        <v>1020</v>
      </c>
      <c r="F677" s="19">
        <v>3.75</v>
      </c>
      <c r="G677" s="19">
        <v>0</v>
      </c>
      <c r="H677" s="19">
        <v>3.75</v>
      </c>
      <c r="I677" s="20">
        <v>3.75</v>
      </c>
      <c r="J677" s="19">
        <f t="shared" si="70"/>
        <v>0</v>
      </c>
      <c r="K677" s="19">
        <f t="shared" si="71"/>
        <v>0</v>
      </c>
      <c r="L677" s="19">
        <v>-6.6E-4</v>
      </c>
      <c r="M677" s="19">
        <v>-1.67E-3</v>
      </c>
      <c r="N677" s="19">
        <v>-1.67E-3</v>
      </c>
      <c r="O677" s="19">
        <v>-1.6999999999999999E-3</v>
      </c>
      <c r="P677" s="19">
        <v>-1.72E-3</v>
      </c>
      <c r="Q677" s="19"/>
      <c r="R677" s="19">
        <f t="shared" si="72"/>
        <v>0</v>
      </c>
      <c r="S677" s="19">
        <f t="shared" si="73"/>
        <v>0</v>
      </c>
      <c r="T677" s="19">
        <f t="shared" si="74"/>
        <v>0</v>
      </c>
      <c r="U677" s="19">
        <f t="shared" si="75"/>
        <v>0</v>
      </c>
      <c r="V677" s="21">
        <f t="shared" si="76"/>
        <v>0</v>
      </c>
    </row>
    <row r="678" spans="1:22" ht="13.5" x14ac:dyDescent="0.35">
      <c r="A678" s="18">
        <v>919389</v>
      </c>
      <c r="B678" s="19" t="s">
        <v>700</v>
      </c>
      <c r="C678" s="19">
        <v>345</v>
      </c>
      <c r="D678" s="19">
        <v>101</v>
      </c>
      <c r="E678" s="19">
        <v>1730</v>
      </c>
      <c r="F678" s="19">
        <v>300</v>
      </c>
      <c r="G678" s="19">
        <v>0</v>
      </c>
      <c r="H678" s="19">
        <v>300</v>
      </c>
      <c r="I678" s="20">
        <v>300</v>
      </c>
      <c r="J678" s="19">
        <f t="shared" si="70"/>
        <v>0</v>
      </c>
      <c r="K678" s="19">
        <f t="shared" si="71"/>
        <v>0</v>
      </c>
      <c r="L678" s="19">
        <v>-6.6E-4</v>
      </c>
      <c r="M678" s="19">
        <v>-3.5500000000000002E-3</v>
      </c>
      <c r="N678" s="19">
        <v>-3.5500000000000002E-3</v>
      </c>
      <c r="O678" s="19">
        <v>-3.5799999999999998E-3</v>
      </c>
      <c r="P678" s="19">
        <v>-3.6099999999999999E-3</v>
      </c>
      <c r="Q678" s="19"/>
      <c r="R678" s="19">
        <f t="shared" si="72"/>
        <v>0</v>
      </c>
      <c r="S678" s="19">
        <f t="shared" si="73"/>
        <v>0</v>
      </c>
      <c r="T678" s="19">
        <f t="shared" si="74"/>
        <v>0</v>
      </c>
      <c r="U678" s="19">
        <f t="shared" si="75"/>
        <v>0</v>
      </c>
      <c r="V678" s="21">
        <f t="shared" si="76"/>
        <v>0</v>
      </c>
    </row>
    <row r="679" spans="1:22" ht="13.5" x14ac:dyDescent="0.35">
      <c r="A679" s="18">
        <v>919514</v>
      </c>
      <c r="B679" s="19" t="s">
        <v>701</v>
      </c>
      <c r="C679" s="19">
        <v>115</v>
      </c>
      <c r="D679" s="19">
        <v>101</v>
      </c>
      <c r="E679" s="19">
        <v>1630</v>
      </c>
      <c r="F679" s="19">
        <v>0</v>
      </c>
      <c r="G679" s="19">
        <v>0</v>
      </c>
      <c r="H679" s="19">
        <v>0</v>
      </c>
      <c r="I679" s="20">
        <v>0</v>
      </c>
      <c r="J679" s="19">
        <f t="shared" si="70"/>
        <v>0</v>
      </c>
      <c r="K679" s="19">
        <f t="shared" si="71"/>
        <v>0</v>
      </c>
      <c r="L679" s="19">
        <v>-6.6E-4</v>
      </c>
      <c r="M679" s="19">
        <v>-5.6499999999999996E-3</v>
      </c>
      <c r="N679" s="19">
        <v>-5.6499999999999996E-3</v>
      </c>
      <c r="O679" s="19">
        <v>-5.6800000000000002E-3</v>
      </c>
      <c r="P679" s="19">
        <v>-5.7099999999999998E-3</v>
      </c>
      <c r="Q679" s="19"/>
      <c r="R679" s="19">
        <f t="shared" si="72"/>
        <v>0</v>
      </c>
      <c r="S679" s="19">
        <f t="shared" si="73"/>
        <v>0</v>
      </c>
      <c r="T679" s="19">
        <f t="shared" si="74"/>
        <v>0</v>
      </c>
      <c r="U679" s="19">
        <f t="shared" si="75"/>
        <v>0</v>
      </c>
      <c r="V679" s="21">
        <f t="shared" si="76"/>
        <v>0</v>
      </c>
    </row>
    <row r="680" spans="1:22" ht="13.5" x14ac:dyDescent="0.35">
      <c r="A680" s="18">
        <v>919849</v>
      </c>
      <c r="B680" s="19" t="s">
        <v>702</v>
      </c>
      <c r="C680" s="19">
        <v>115</v>
      </c>
      <c r="D680" s="19">
        <v>101</v>
      </c>
      <c r="E680" s="19">
        <v>1630</v>
      </c>
      <c r="F680" s="19">
        <v>0</v>
      </c>
      <c r="G680" s="19">
        <v>0</v>
      </c>
      <c r="H680" s="19">
        <v>0</v>
      </c>
      <c r="I680" s="20">
        <v>0</v>
      </c>
      <c r="J680" s="19">
        <f t="shared" si="70"/>
        <v>0</v>
      </c>
      <c r="K680" s="19">
        <f t="shared" si="71"/>
        <v>0</v>
      </c>
      <c r="L680" s="19">
        <v>-6.6E-4</v>
      </c>
      <c r="M680" s="19">
        <v>-4.9300000000000004E-3</v>
      </c>
      <c r="N680" s="19">
        <v>-4.9300000000000004E-3</v>
      </c>
      <c r="O680" s="19">
        <v>-4.96E-3</v>
      </c>
      <c r="P680" s="19">
        <v>-4.9800000000000001E-3</v>
      </c>
      <c r="Q680" s="19"/>
      <c r="R680" s="19">
        <f t="shared" si="72"/>
        <v>0</v>
      </c>
      <c r="S680" s="19">
        <f t="shared" si="73"/>
        <v>0</v>
      </c>
      <c r="T680" s="19">
        <f t="shared" si="74"/>
        <v>0</v>
      </c>
      <c r="U680" s="19">
        <f t="shared" si="75"/>
        <v>0</v>
      </c>
      <c r="V680" s="21">
        <f t="shared" si="76"/>
        <v>0</v>
      </c>
    </row>
    <row r="681" spans="1:22" ht="13.5" x14ac:dyDescent="0.35">
      <c r="A681" s="18">
        <v>919993</v>
      </c>
      <c r="B681" s="19" t="s">
        <v>703</v>
      </c>
      <c r="C681" s="19">
        <v>115</v>
      </c>
      <c r="D681" s="19">
        <v>101</v>
      </c>
      <c r="E681" s="19">
        <v>1650</v>
      </c>
      <c r="F681" s="19">
        <v>0</v>
      </c>
      <c r="G681" s="19">
        <v>0</v>
      </c>
      <c r="H681" s="19">
        <v>0</v>
      </c>
      <c r="I681" s="20">
        <v>0</v>
      </c>
      <c r="J681" s="19">
        <f t="shared" si="70"/>
        <v>0</v>
      </c>
      <c r="K681" s="19">
        <f t="shared" si="71"/>
        <v>0</v>
      </c>
      <c r="L681" s="19">
        <v>-6.6E-4</v>
      </c>
      <c r="M681" s="19">
        <v>-2.1199999999999999E-3</v>
      </c>
      <c r="N681" s="19">
        <v>-2.1199999999999999E-3</v>
      </c>
      <c r="O681" s="19">
        <v>-2.15E-3</v>
      </c>
      <c r="P681" s="19">
        <v>-2.1700000000000001E-3</v>
      </c>
      <c r="Q681" s="19"/>
      <c r="R681" s="19">
        <f t="shared" si="72"/>
        <v>0</v>
      </c>
      <c r="S681" s="19">
        <f t="shared" si="73"/>
        <v>0</v>
      </c>
      <c r="T681" s="19">
        <f t="shared" si="74"/>
        <v>0</v>
      </c>
      <c r="U681" s="19">
        <f t="shared" si="75"/>
        <v>0</v>
      </c>
      <c r="V681" s="21">
        <f t="shared" si="76"/>
        <v>0</v>
      </c>
    </row>
    <row r="682" spans="1:22" ht="13.5" x14ac:dyDescent="0.35">
      <c r="A682" s="18">
        <v>920038</v>
      </c>
      <c r="B682" s="19" t="s">
        <v>704</v>
      </c>
      <c r="C682" s="19">
        <v>115</v>
      </c>
      <c r="D682" s="19">
        <v>101</v>
      </c>
      <c r="E682" s="19">
        <v>1650</v>
      </c>
      <c r="F682" s="19">
        <v>0</v>
      </c>
      <c r="G682" s="19">
        <v>0</v>
      </c>
      <c r="H682" s="19">
        <v>0</v>
      </c>
      <c r="I682" s="20">
        <v>0</v>
      </c>
      <c r="J682" s="19">
        <f t="shared" si="70"/>
        <v>0</v>
      </c>
      <c r="K682" s="19">
        <f t="shared" si="71"/>
        <v>0</v>
      </c>
      <c r="L682" s="19">
        <v>-6.6E-4</v>
      </c>
      <c r="M682" s="19">
        <v>-3.3400000000000001E-3</v>
      </c>
      <c r="N682" s="19">
        <v>-3.3400000000000001E-3</v>
      </c>
      <c r="O682" s="19">
        <v>-3.3700000000000002E-3</v>
      </c>
      <c r="P682" s="19">
        <v>-3.3999999999999998E-3</v>
      </c>
      <c r="Q682" s="19"/>
      <c r="R682" s="19">
        <f t="shared" si="72"/>
        <v>0</v>
      </c>
      <c r="S682" s="19">
        <f t="shared" si="73"/>
        <v>0</v>
      </c>
      <c r="T682" s="19">
        <f t="shared" si="74"/>
        <v>0</v>
      </c>
      <c r="U682" s="19">
        <f t="shared" si="75"/>
        <v>0</v>
      </c>
      <c r="V682" s="21">
        <f t="shared" si="76"/>
        <v>0</v>
      </c>
    </row>
    <row r="683" spans="1:22" ht="13.5" x14ac:dyDescent="0.35">
      <c r="A683" s="18">
        <v>920290</v>
      </c>
      <c r="B683" s="19" t="s">
        <v>705</v>
      </c>
      <c r="C683" s="19">
        <v>115</v>
      </c>
      <c r="D683" s="19">
        <v>101</v>
      </c>
      <c r="E683" s="19">
        <v>1670</v>
      </c>
      <c r="F683" s="19">
        <v>0</v>
      </c>
      <c r="G683" s="19">
        <v>0</v>
      </c>
      <c r="H683" s="19">
        <v>0</v>
      </c>
      <c r="I683" s="20">
        <v>0</v>
      </c>
      <c r="J683" s="19">
        <f t="shared" si="70"/>
        <v>0</v>
      </c>
      <c r="K683" s="19">
        <f t="shared" si="71"/>
        <v>0</v>
      </c>
      <c r="L683" s="19">
        <v>-6.6E-4</v>
      </c>
      <c r="M683" s="19">
        <v>-3.2599999999999999E-3</v>
      </c>
      <c r="N683" s="19">
        <v>-3.2599999999999999E-3</v>
      </c>
      <c r="O683" s="19">
        <v>-3.29E-3</v>
      </c>
      <c r="P683" s="19">
        <v>-3.32E-3</v>
      </c>
      <c r="Q683" s="19"/>
      <c r="R683" s="19">
        <f t="shared" si="72"/>
        <v>0</v>
      </c>
      <c r="S683" s="19">
        <f t="shared" si="73"/>
        <v>0</v>
      </c>
      <c r="T683" s="19">
        <f t="shared" si="74"/>
        <v>0</v>
      </c>
      <c r="U683" s="19">
        <f t="shared" si="75"/>
        <v>0</v>
      </c>
      <c r="V683" s="21">
        <f t="shared" si="76"/>
        <v>0</v>
      </c>
    </row>
    <row r="684" spans="1:22" ht="13.5" x14ac:dyDescent="0.35">
      <c r="A684" s="18">
        <v>920307</v>
      </c>
      <c r="B684" s="19" t="s">
        <v>706</v>
      </c>
      <c r="C684" s="19">
        <v>115</v>
      </c>
      <c r="D684" s="19">
        <v>101</v>
      </c>
      <c r="E684" s="19">
        <v>1690</v>
      </c>
      <c r="F684" s="19">
        <v>20.38</v>
      </c>
      <c r="G684" s="19">
        <v>0</v>
      </c>
      <c r="H684" s="19">
        <v>135</v>
      </c>
      <c r="I684" s="20">
        <v>20.38</v>
      </c>
      <c r="J684" s="19">
        <f t="shared" si="70"/>
        <v>0</v>
      </c>
      <c r="K684" s="19">
        <f t="shared" si="71"/>
        <v>114.62</v>
      </c>
      <c r="L684" s="19">
        <v>-6.6E-4</v>
      </c>
      <c r="M684" s="19">
        <v>-3.31E-3</v>
      </c>
      <c r="N684" s="19">
        <v>-3.31E-3</v>
      </c>
      <c r="O684" s="19">
        <v>-3.3400000000000001E-3</v>
      </c>
      <c r="P684" s="19">
        <v>-3.3700000000000002E-3</v>
      </c>
      <c r="Q684" s="19"/>
      <c r="R684" s="19">
        <f t="shared" si="72"/>
        <v>0</v>
      </c>
      <c r="S684" s="19">
        <f t="shared" si="73"/>
        <v>0</v>
      </c>
      <c r="T684" s="19">
        <f t="shared" si="74"/>
        <v>0</v>
      </c>
      <c r="U684" s="19">
        <f t="shared" si="75"/>
        <v>0</v>
      </c>
      <c r="V684" s="21">
        <f t="shared" si="76"/>
        <v>0</v>
      </c>
    </row>
    <row r="685" spans="1:22" ht="13.5" x14ac:dyDescent="0.35">
      <c r="A685" s="18">
        <v>920318</v>
      </c>
      <c r="B685" s="19" t="s">
        <v>707</v>
      </c>
      <c r="C685" s="19">
        <v>115</v>
      </c>
      <c r="D685" s="19">
        <v>101</v>
      </c>
      <c r="E685" s="19">
        <v>1690</v>
      </c>
      <c r="F685" s="19">
        <v>0</v>
      </c>
      <c r="G685" s="19">
        <v>0</v>
      </c>
      <c r="H685" s="19">
        <v>0</v>
      </c>
      <c r="I685" s="20">
        <v>0</v>
      </c>
      <c r="J685" s="19">
        <f t="shared" si="70"/>
        <v>0</v>
      </c>
      <c r="K685" s="19">
        <f t="shared" si="71"/>
        <v>0</v>
      </c>
      <c r="L685" s="19">
        <v>-6.6E-4</v>
      </c>
      <c r="M685" s="19">
        <v>-3.3899999999999998E-3</v>
      </c>
      <c r="N685" s="19">
        <v>-3.3899999999999998E-3</v>
      </c>
      <c r="O685" s="19">
        <v>-3.4199999999999999E-3</v>
      </c>
      <c r="P685" s="19">
        <v>-3.4499999999999999E-3</v>
      </c>
      <c r="Q685" s="19"/>
      <c r="R685" s="19">
        <f t="shared" si="72"/>
        <v>0</v>
      </c>
      <c r="S685" s="19">
        <f t="shared" si="73"/>
        <v>0</v>
      </c>
      <c r="T685" s="19">
        <f t="shared" si="74"/>
        <v>0</v>
      </c>
      <c r="U685" s="19">
        <f t="shared" si="75"/>
        <v>0</v>
      </c>
      <c r="V685" s="21">
        <f t="shared" si="76"/>
        <v>0</v>
      </c>
    </row>
    <row r="686" spans="1:22" ht="13.5" x14ac:dyDescent="0.35">
      <c r="A686" s="18">
        <v>920515</v>
      </c>
      <c r="B686" s="19" t="s">
        <v>708</v>
      </c>
      <c r="C686" s="19">
        <v>69</v>
      </c>
      <c r="D686" s="19">
        <v>101</v>
      </c>
      <c r="E686" s="19">
        <v>1670</v>
      </c>
      <c r="F686" s="19">
        <v>0</v>
      </c>
      <c r="G686" s="19">
        <v>0</v>
      </c>
      <c r="H686" s="19">
        <v>0</v>
      </c>
      <c r="I686" s="20">
        <v>0</v>
      </c>
      <c r="J686" s="19">
        <f t="shared" si="70"/>
        <v>0</v>
      </c>
      <c r="K686" s="19">
        <f t="shared" si="71"/>
        <v>0</v>
      </c>
      <c r="L686" s="19">
        <v>-6.6E-4</v>
      </c>
      <c r="M686" s="19">
        <v>-3.62E-3</v>
      </c>
      <c r="N686" s="19">
        <v>-3.62E-3</v>
      </c>
      <c r="O686" s="19">
        <v>-3.65E-3</v>
      </c>
      <c r="P686" s="19">
        <v>-3.6800000000000001E-3</v>
      </c>
      <c r="Q686" s="19"/>
      <c r="R686" s="19">
        <f t="shared" si="72"/>
        <v>0</v>
      </c>
      <c r="S686" s="19">
        <f t="shared" si="73"/>
        <v>0</v>
      </c>
      <c r="T686" s="19">
        <f t="shared" si="74"/>
        <v>0</v>
      </c>
      <c r="U686" s="19">
        <f t="shared" si="75"/>
        <v>0</v>
      </c>
      <c r="V686" s="21">
        <f t="shared" si="76"/>
        <v>0</v>
      </c>
    </row>
    <row r="687" spans="1:22" ht="13.5" x14ac:dyDescent="0.35">
      <c r="A687" s="18">
        <v>920821</v>
      </c>
      <c r="B687" s="19" t="s">
        <v>709</v>
      </c>
      <c r="C687" s="19">
        <v>115</v>
      </c>
      <c r="D687" s="19">
        <v>101</v>
      </c>
      <c r="E687" s="19">
        <v>1730</v>
      </c>
      <c r="F687" s="19">
        <v>0</v>
      </c>
      <c r="G687" s="19">
        <v>0</v>
      </c>
      <c r="H687" s="19">
        <v>0</v>
      </c>
      <c r="I687" s="20">
        <v>0</v>
      </c>
      <c r="J687" s="19">
        <f t="shared" si="70"/>
        <v>0</v>
      </c>
      <c r="K687" s="19">
        <f t="shared" si="71"/>
        <v>0</v>
      </c>
      <c r="L687" s="19">
        <v>-6.6E-4</v>
      </c>
      <c r="M687" s="19">
        <v>-3.5799999999999998E-3</v>
      </c>
      <c r="N687" s="19">
        <v>-3.5799999999999998E-3</v>
      </c>
      <c r="O687" s="19">
        <v>-3.62E-3</v>
      </c>
      <c r="P687" s="19">
        <v>-3.64E-3</v>
      </c>
      <c r="Q687" s="19"/>
      <c r="R687" s="19">
        <f t="shared" si="72"/>
        <v>0</v>
      </c>
      <c r="S687" s="19">
        <f t="shared" si="73"/>
        <v>0</v>
      </c>
      <c r="T687" s="19">
        <f t="shared" si="74"/>
        <v>0</v>
      </c>
      <c r="U687" s="19">
        <f t="shared" si="75"/>
        <v>0</v>
      </c>
      <c r="V687" s="21">
        <f t="shared" si="76"/>
        <v>0</v>
      </c>
    </row>
    <row r="688" spans="1:22" ht="13.5" x14ac:dyDescent="0.35">
      <c r="A688" s="18">
        <v>923136</v>
      </c>
      <c r="B688" s="19" t="s">
        <v>710</v>
      </c>
      <c r="C688" s="19">
        <v>13.8</v>
      </c>
      <c r="D688" s="19">
        <v>101</v>
      </c>
      <c r="E688" s="19">
        <v>1802</v>
      </c>
      <c r="F688" s="19">
        <v>6.53</v>
      </c>
      <c r="G688" s="19">
        <v>0</v>
      </c>
      <c r="H688" s="19">
        <v>6.53</v>
      </c>
      <c r="I688" s="20">
        <v>6.53</v>
      </c>
      <c r="J688" s="19">
        <f t="shared" si="70"/>
        <v>0</v>
      </c>
      <c r="K688" s="19">
        <f t="shared" si="71"/>
        <v>0</v>
      </c>
      <c r="L688" s="19">
        <v>-6.6E-4</v>
      </c>
      <c r="M688" s="19">
        <v>-3.5599999999999998E-3</v>
      </c>
      <c r="N688" s="19">
        <v>-3.5599999999999998E-3</v>
      </c>
      <c r="O688" s="19">
        <v>-3.5899999999999999E-3</v>
      </c>
      <c r="P688" s="19">
        <v>-3.62E-3</v>
      </c>
      <c r="Q688" s="19"/>
      <c r="R688" s="19">
        <f t="shared" si="72"/>
        <v>0</v>
      </c>
      <c r="S688" s="19">
        <f t="shared" si="73"/>
        <v>0</v>
      </c>
      <c r="T688" s="19">
        <f t="shared" si="74"/>
        <v>0</v>
      </c>
      <c r="U688" s="19">
        <f t="shared" si="75"/>
        <v>0</v>
      </c>
      <c r="V688" s="21">
        <f t="shared" si="76"/>
        <v>0</v>
      </c>
    </row>
    <row r="689" spans="1:22" ht="13.5" x14ac:dyDescent="0.35">
      <c r="A689" s="18">
        <v>923144</v>
      </c>
      <c r="B689" s="19" t="s">
        <v>711</v>
      </c>
      <c r="C689" s="19">
        <v>13.8</v>
      </c>
      <c r="D689" s="19">
        <v>101</v>
      </c>
      <c r="E689" s="19">
        <v>1812</v>
      </c>
      <c r="F689" s="19">
        <v>0</v>
      </c>
      <c r="G689" s="19">
        <v>0</v>
      </c>
      <c r="H689" s="19">
        <v>0</v>
      </c>
      <c r="I689" s="20">
        <v>0</v>
      </c>
      <c r="J689" s="19">
        <f t="shared" si="70"/>
        <v>0</v>
      </c>
      <c r="K689" s="19">
        <f t="shared" si="71"/>
        <v>0</v>
      </c>
      <c r="L689" s="19">
        <v>-6.6E-4</v>
      </c>
      <c r="M689" s="19">
        <v>-3.5500000000000002E-3</v>
      </c>
      <c r="N689" s="19">
        <v>-3.5500000000000002E-3</v>
      </c>
      <c r="O689" s="19">
        <v>-3.5799999999999998E-3</v>
      </c>
      <c r="P689" s="19">
        <v>-3.5999999999999999E-3</v>
      </c>
      <c r="Q689" s="19"/>
      <c r="R689" s="19">
        <f t="shared" si="72"/>
        <v>0</v>
      </c>
      <c r="S689" s="19">
        <f t="shared" si="73"/>
        <v>0</v>
      </c>
      <c r="T689" s="19">
        <f t="shared" si="74"/>
        <v>0</v>
      </c>
      <c r="U689" s="19">
        <f t="shared" si="75"/>
        <v>0</v>
      </c>
      <c r="V689" s="21">
        <f t="shared" si="76"/>
        <v>0</v>
      </c>
    </row>
    <row r="690" spans="1:22" ht="13.5" x14ac:dyDescent="0.35">
      <c r="A690" s="18">
        <v>923312</v>
      </c>
      <c r="B690" s="19" t="s">
        <v>712</v>
      </c>
      <c r="C690" s="19">
        <v>115</v>
      </c>
      <c r="D690" s="19">
        <v>101</v>
      </c>
      <c r="E690" s="19">
        <v>1800</v>
      </c>
      <c r="F690" s="19">
        <v>0</v>
      </c>
      <c r="G690" s="19">
        <v>0</v>
      </c>
      <c r="H690" s="19">
        <v>0</v>
      </c>
      <c r="I690" s="20">
        <v>0</v>
      </c>
      <c r="J690" s="19">
        <f t="shared" si="70"/>
        <v>0</v>
      </c>
      <c r="K690" s="19">
        <f t="shared" si="71"/>
        <v>0</v>
      </c>
      <c r="L690" s="19">
        <v>-6.6E-4</v>
      </c>
      <c r="M690" s="19">
        <v>-3.5699999999999998E-3</v>
      </c>
      <c r="N690" s="19">
        <v>-3.5699999999999998E-3</v>
      </c>
      <c r="O690" s="19">
        <v>-3.5999999999999999E-3</v>
      </c>
      <c r="P690" s="19">
        <v>-3.63E-3</v>
      </c>
      <c r="Q690" s="19"/>
      <c r="R690" s="19">
        <f t="shared" si="72"/>
        <v>0</v>
      </c>
      <c r="S690" s="19">
        <f t="shared" si="73"/>
        <v>0</v>
      </c>
      <c r="T690" s="19">
        <f t="shared" si="74"/>
        <v>0</v>
      </c>
      <c r="U690" s="19">
        <f t="shared" si="75"/>
        <v>0</v>
      </c>
      <c r="V690" s="21">
        <f t="shared" si="76"/>
        <v>0</v>
      </c>
    </row>
    <row r="691" spans="1:22" ht="13.5" x14ac:dyDescent="0.35">
      <c r="A691" s="18">
        <v>923313</v>
      </c>
      <c r="B691" s="19" t="s">
        <v>713</v>
      </c>
      <c r="C691" s="19">
        <v>115</v>
      </c>
      <c r="D691" s="19">
        <v>101</v>
      </c>
      <c r="E691" s="19">
        <v>1800</v>
      </c>
      <c r="F691" s="19">
        <v>0</v>
      </c>
      <c r="G691" s="19">
        <v>0</v>
      </c>
      <c r="H691" s="19">
        <v>0</v>
      </c>
      <c r="I691" s="20">
        <v>0</v>
      </c>
      <c r="J691" s="19">
        <f t="shared" si="70"/>
        <v>0</v>
      </c>
      <c r="K691" s="19">
        <f t="shared" si="71"/>
        <v>0</v>
      </c>
      <c r="L691" s="19">
        <v>-6.6E-4</v>
      </c>
      <c r="M691" s="19">
        <v>-3.5599999999999998E-3</v>
      </c>
      <c r="N691" s="19">
        <v>-3.5599999999999998E-3</v>
      </c>
      <c r="O691" s="19">
        <v>-3.5899999999999999E-3</v>
      </c>
      <c r="P691" s="19">
        <v>-3.62E-3</v>
      </c>
      <c r="Q691" s="19"/>
      <c r="R691" s="19">
        <f t="shared" si="72"/>
        <v>0</v>
      </c>
      <c r="S691" s="19">
        <f t="shared" si="73"/>
        <v>0</v>
      </c>
      <c r="T691" s="19">
        <f t="shared" si="74"/>
        <v>0</v>
      </c>
      <c r="U691" s="19">
        <f t="shared" si="75"/>
        <v>0</v>
      </c>
      <c r="V691" s="21">
        <f t="shared" si="76"/>
        <v>0</v>
      </c>
    </row>
    <row r="692" spans="1:22" ht="13.5" x14ac:dyDescent="0.35">
      <c r="A692" s="18">
        <v>923414</v>
      </c>
      <c r="B692" s="19" t="s">
        <v>714</v>
      </c>
      <c r="C692" s="19">
        <v>115</v>
      </c>
      <c r="D692" s="19">
        <v>101</v>
      </c>
      <c r="E692" s="19">
        <v>1800</v>
      </c>
      <c r="F692" s="19">
        <v>0</v>
      </c>
      <c r="G692" s="19">
        <v>0</v>
      </c>
      <c r="H692" s="19">
        <v>0</v>
      </c>
      <c r="I692" s="20">
        <v>0</v>
      </c>
      <c r="J692" s="19">
        <f t="shared" si="70"/>
        <v>0</v>
      </c>
      <c r="K692" s="19">
        <f t="shared" si="71"/>
        <v>0</v>
      </c>
      <c r="L692" s="19">
        <v>-6.6E-4</v>
      </c>
      <c r="M692" s="19">
        <v>-3.5300000000000002E-3</v>
      </c>
      <c r="N692" s="19">
        <v>-3.5300000000000002E-3</v>
      </c>
      <c r="O692" s="19">
        <v>-3.5599999999999998E-3</v>
      </c>
      <c r="P692" s="19">
        <v>-3.5899999999999999E-3</v>
      </c>
      <c r="Q692" s="19"/>
      <c r="R692" s="19">
        <f t="shared" si="72"/>
        <v>0</v>
      </c>
      <c r="S692" s="19">
        <f t="shared" si="73"/>
        <v>0</v>
      </c>
      <c r="T692" s="19">
        <f t="shared" si="74"/>
        <v>0</v>
      </c>
      <c r="U692" s="19">
        <f t="shared" si="75"/>
        <v>0</v>
      </c>
      <c r="V692" s="21">
        <f t="shared" si="76"/>
        <v>0</v>
      </c>
    </row>
    <row r="693" spans="1:22" ht="13.5" x14ac:dyDescent="0.35">
      <c r="A693" s="18">
        <v>926260</v>
      </c>
      <c r="B693" s="19" t="s">
        <v>715</v>
      </c>
      <c r="C693" s="19">
        <v>345</v>
      </c>
      <c r="D693" s="19">
        <v>102</v>
      </c>
      <c r="E693" s="19">
        <v>12</v>
      </c>
      <c r="F693" s="19">
        <v>0</v>
      </c>
      <c r="G693" s="19">
        <v>0</v>
      </c>
      <c r="H693" s="19">
        <v>0</v>
      </c>
      <c r="I693" s="20">
        <v>0</v>
      </c>
      <c r="J693" s="19">
        <f t="shared" si="70"/>
        <v>0</v>
      </c>
      <c r="K693" s="19">
        <f t="shared" si="71"/>
        <v>0</v>
      </c>
      <c r="L693" s="19">
        <v>-6.6E-4</v>
      </c>
      <c r="M693" s="19">
        <v>-2.7699999999999999E-3</v>
      </c>
      <c r="N693" s="19">
        <v>-2.7699999999999999E-3</v>
      </c>
      <c r="O693" s="19">
        <v>-2.8E-3</v>
      </c>
      <c r="P693" s="19">
        <v>-2.82E-3</v>
      </c>
      <c r="Q693" s="19"/>
      <c r="R693" s="19">
        <f t="shared" si="72"/>
        <v>0</v>
      </c>
      <c r="S693" s="19">
        <f t="shared" si="73"/>
        <v>0</v>
      </c>
      <c r="T693" s="19">
        <f t="shared" si="74"/>
        <v>0</v>
      </c>
      <c r="U693" s="19">
        <f t="shared" si="75"/>
        <v>0</v>
      </c>
      <c r="V693" s="21">
        <f t="shared" si="76"/>
        <v>0</v>
      </c>
    </row>
    <row r="694" spans="1:22" ht="13.5" x14ac:dyDescent="0.35">
      <c r="A694" s="18">
        <v>926261</v>
      </c>
      <c r="B694" s="19" t="s">
        <v>716</v>
      </c>
      <c r="C694" s="19">
        <v>345</v>
      </c>
      <c r="D694" s="19">
        <v>102</v>
      </c>
      <c r="E694" s="19">
        <v>12</v>
      </c>
      <c r="F694" s="19">
        <v>0</v>
      </c>
      <c r="G694" s="19">
        <v>0</v>
      </c>
      <c r="H694" s="19">
        <v>0</v>
      </c>
      <c r="I694" s="20">
        <v>0</v>
      </c>
      <c r="J694" s="19">
        <f t="shared" si="70"/>
        <v>0</v>
      </c>
      <c r="K694" s="19">
        <f t="shared" si="71"/>
        <v>0</v>
      </c>
      <c r="L694" s="19">
        <v>-6.6E-4</v>
      </c>
      <c r="M694" s="19">
        <v>-2.7699999999999999E-3</v>
      </c>
      <c r="N694" s="19">
        <v>-2.7699999999999999E-3</v>
      </c>
      <c r="O694" s="19">
        <v>-2.8E-3</v>
      </c>
      <c r="P694" s="19">
        <v>-2.82E-3</v>
      </c>
      <c r="Q694" s="19"/>
      <c r="R694" s="19">
        <f t="shared" si="72"/>
        <v>0</v>
      </c>
      <c r="S694" s="19">
        <f t="shared" si="73"/>
        <v>0</v>
      </c>
      <c r="T694" s="19">
        <f t="shared" si="74"/>
        <v>0</v>
      </c>
      <c r="U694" s="19">
        <f t="shared" si="75"/>
        <v>0</v>
      </c>
      <c r="V694" s="21">
        <f t="shared" si="76"/>
        <v>0</v>
      </c>
    </row>
    <row r="695" spans="1:22" ht="13.5" x14ac:dyDescent="0.35">
      <c r="A695" s="18">
        <v>990819</v>
      </c>
      <c r="B695" s="19" t="s">
        <v>717</v>
      </c>
      <c r="C695" s="19">
        <v>115</v>
      </c>
      <c r="D695" s="19">
        <v>101</v>
      </c>
      <c r="E695" s="19">
        <v>1000</v>
      </c>
      <c r="F695" s="19">
        <v>351.9</v>
      </c>
      <c r="G695" s="19">
        <v>0</v>
      </c>
      <c r="H695" s="19">
        <v>351.9</v>
      </c>
      <c r="I695" s="20">
        <v>351.9</v>
      </c>
      <c r="J695" s="19">
        <f t="shared" si="70"/>
        <v>0</v>
      </c>
      <c r="K695" s="19">
        <f t="shared" si="71"/>
        <v>0</v>
      </c>
      <c r="L695" s="19">
        <v>-6.6E-4</v>
      </c>
      <c r="M695" s="19">
        <v>6.3699999999999998E-3</v>
      </c>
      <c r="N695" s="19">
        <v>6.3699999999999998E-3</v>
      </c>
      <c r="O695" s="19">
        <v>6.3299999999999997E-3</v>
      </c>
      <c r="P695" s="19">
        <v>6.3099999999999996E-3</v>
      </c>
      <c r="Q695" s="19"/>
      <c r="R695" s="19">
        <f t="shared" si="72"/>
        <v>0</v>
      </c>
      <c r="S695" s="19">
        <f t="shared" si="73"/>
        <v>0</v>
      </c>
      <c r="T695" s="19">
        <f t="shared" si="74"/>
        <v>0</v>
      </c>
      <c r="U695" s="19">
        <f t="shared" si="75"/>
        <v>0</v>
      </c>
      <c r="V695" s="21">
        <f t="shared" si="76"/>
        <v>0</v>
      </c>
    </row>
    <row r="696" spans="1:22" ht="13.5" x14ac:dyDescent="0.35">
      <c r="A696" s="18">
        <v>990831</v>
      </c>
      <c r="B696" s="19" t="s">
        <v>718</v>
      </c>
      <c r="C696" s="19">
        <v>115</v>
      </c>
      <c r="D696" s="19">
        <v>101</v>
      </c>
      <c r="E696" s="19">
        <v>1000</v>
      </c>
      <c r="F696" s="19">
        <v>6.65</v>
      </c>
      <c r="G696" s="19">
        <v>0</v>
      </c>
      <c r="H696" s="19">
        <v>6.65</v>
      </c>
      <c r="I696" s="20">
        <v>6.65</v>
      </c>
      <c r="J696" s="19">
        <f t="shared" si="70"/>
        <v>0</v>
      </c>
      <c r="K696" s="19">
        <f t="shared" si="71"/>
        <v>0</v>
      </c>
      <c r="L696" s="19">
        <v>-6.6E-4</v>
      </c>
      <c r="M696" s="19">
        <v>6.8799999999999998E-3</v>
      </c>
      <c r="N696" s="19">
        <v>6.8799999999999998E-3</v>
      </c>
      <c r="O696" s="19">
        <v>6.8500000000000002E-3</v>
      </c>
      <c r="P696" s="19">
        <v>6.8199999999999997E-3</v>
      </c>
      <c r="Q696" s="19"/>
      <c r="R696" s="19">
        <f t="shared" si="72"/>
        <v>0</v>
      </c>
      <c r="S696" s="19">
        <f t="shared" si="73"/>
        <v>0</v>
      </c>
      <c r="T696" s="19">
        <f t="shared" si="74"/>
        <v>0</v>
      </c>
      <c r="U696" s="19">
        <f t="shared" si="75"/>
        <v>0</v>
      </c>
      <c r="V696" s="21">
        <f t="shared" si="76"/>
        <v>0</v>
      </c>
    </row>
    <row r="697" spans="1:22" ht="13.5" x14ac:dyDescent="0.35">
      <c r="A697" s="18">
        <v>990926</v>
      </c>
      <c r="B697" s="19" t="s">
        <v>719</v>
      </c>
      <c r="C697" s="19">
        <v>115</v>
      </c>
      <c r="D697" s="19">
        <v>101</v>
      </c>
      <c r="E697" s="19">
        <v>1000</v>
      </c>
      <c r="F697" s="19">
        <v>269.87</v>
      </c>
      <c r="G697" s="19">
        <v>0</v>
      </c>
      <c r="H697" s="19">
        <v>326.37</v>
      </c>
      <c r="I697" s="20">
        <v>269.87</v>
      </c>
      <c r="J697" s="19">
        <f t="shared" si="70"/>
        <v>0</v>
      </c>
      <c r="K697" s="19">
        <f t="shared" si="71"/>
        <v>56.5</v>
      </c>
      <c r="L697" s="19">
        <v>-6.6E-4</v>
      </c>
      <c r="M697" s="19">
        <v>6.5900000000000004E-3</v>
      </c>
      <c r="N697" s="19">
        <v>6.5900000000000004E-3</v>
      </c>
      <c r="O697" s="19">
        <v>6.5599999999999999E-3</v>
      </c>
      <c r="P697" s="19">
        <v>6.5300000000000002E-3</v>
      </c>
      <c r="Q697" s="19"/>
      <c r="R697" s="19">
        <f t="shared" si="72"/>
        <v>0</v>
      </c>
      <c r="S697" s="19">
        <f t="shared" si="73"/>
        <v>0</v>
      </c>
      <c r="T697" s="19">
        <f t="shared" si="74"/>
        <v>0</v>
      </c>
      <c r="U697" s="19">
        <f t="shared" si="75"/>
        <v>0</v>
      </c>
      <c r="V697" s="21">
        <f t="shared" si="76"/>
        <v>0</v>
      </c>
    </row>
    <row r="698" spans="1:22" ht="13.5" x14ac:dyDescent="0.35">
      <c r="A698" s="18">
        <v>991134</v>
      </c>
      <c r="B698" s="19" t="s">
        <v>720</v>
      </c>
      <c r="C698" s="19">
        <v>345</v>
      </c>
      <c r="D698" s="19">
        <v>101</v>
      </c>
      <c r="E698" s="19">
        <v>1030</v>
      </c>
      <c r="F698" s="19">
        <v>82.02</v>
      </c>
      <c r="G698" s="19">
        <v>0</v>
      </c>
      <c r="H698" s="19">
        <v>413</v>
      </c>
      <c r="I698" s="20">
        <v>82.02</v>
      </c>
      <c r="J698" s="19">
        <f t="shared" si="70"/>
        <v>0</v>
      </c>
      <c r="K698" s="19">
        <f t="shared" si="71"/>
        <v>330.98</v>
      </c>
      <c r="L698" s="19">
        <v>-6.6E-4</v>
      </c>
      <c r="M698" s="19">
        <v>2.7E-2</v>
      </c>
      <c r="N698" s="19">
        <v>2.7E-2</v>
      </c>
      <c r="O698" s="19">
        <v>2.6970000000000001E-2</v>
      </c>
      <c r="P698" s="19">
        <v>2.6939999999999999E-2</v>
      </c>
      <c r="Q698" s="19"/>
      <c r="R698" s="19">
        <f t="shared" si="72"/>
        <v>0</v>
      </c>
      <c r="S698" s="19">
        <f t="shared" si="73"/>
        <v>0</v>
      </c>
      <c r="T698" s="19">
        <f t="shared" si="74"/>
        <v>0</v>
      </c>
      <c r="U698" s="19">
        <f t="shared" si="75"/>
        <v>0</v>
      </c>
      <c r="V698" s="21">
        <f t="shared" si="76"/>
        <v>0</v>
      </c>
    </row>
    <row r="699" spans="1:22" ht="13.5" x14ac:dyDescent="0.35">
      <c r="A699" s="18">
        <v>991144</v>
      </c>
      <c r="B699" s="19" t="s">
        <v>721</v>
      </c>
      <c r="C699" s="19">
        <v>115</v>
      </c>
      <c r="D699" s="19">
        <v>101</v>
      </c>
      <c r="E699" s="19">
        <v>1030</v>
      </c>
      <c r="F699" s="19">
        <v>0</v>
      </c>
      <c r="G699" s="19">
        <v>0</v>
      </c>
      <c r="H699" s="19">
        <v>0</v>
      </c>
      <c r="I699" s="20">
        <v>0</v>
      </c>
      <c r="J699" s="19">
        <f t="shared" si="70"/>
        <v>0</v>
      </c>
      <c r="K699" s="19">
        <f t="shared" si="71"/>
        <v>0</v>
      </c>
      <c r="L699" s="19">
        <v>-6.6E-4</v>
      </c>
      <c r="M699" s="19">
        <v>3.3320000000000002E-2</v>
      </c>
      <c r="N699" s="19">
        <v>3.3320000000000002E-2</v>
      </c>
      <c r="O699" s="19">
        <v>3.329E-2</v>
      </c>
      <c r="P699" s="19">
        <v>3.3259999999999998E-2</v>
      </c>
      <c r="Q699" s="19"/>
      <c r="R699" s="19">
        <f t="shared" si="72"/>
        <v>0</v>
      </c>
      <c r="S699" s="19">
        <f t="shared" si="73"/>
        <v>0</v>
      </c>
      <c r="T699" s="19">
        <f t="shared" si="74"/>
        <v>0</v>
      </c>
      <c r="U699" s="19">
        <f t="shared" si="75"/>
        <v>0</v>
      </c>
      <c r="V699" s="21">
        <f t="shared" si="76"/>
        <v>0</v>
      </c>
    </row>
    <row r="700" spans="1:22" ht="13.5" x14ac:dyDescent="0.35">
      <c r="A700" s="18">
        <v>991152</v>
      </c>
      <c r="B700" s="19" t="s">
        <v>722</v>
      </c>
      <c r="C700" s="19">
        <v>115</v>
      </c>
      <c r="D700" s="19">
        <v>101</v>
      </c>
      <c r="E700" s="19">
        <v>1030</v>
      </c>
      <c r="F700" s="19">
        <v>0</v>
      </c>
      <c r="G700" s="19">
        <v>0</v>
      </c>
      <c r="H700" s="19">
        <v>0</v>
      </c>
      <c r="I700" s="20">
        <v>0</v>
      </c>
      <c r="J700" s="19">
        <f t="shared" si="70"/>
        <v>0</v>
      </c>
      <c r="K700" s="19">
        <f t="shared" si="71"/>
        <v>0</v>
      </c>
      <c r="L700" s="19">
        <v>-6.6E-4</v>
      </c>
      <c r="M700" s="19">
        <v>2.8080000000000001E-2</v>
      </c>
      <c r="N700" s="19">
        <v>2.8080000000000001E-2</v>
      </c>
      <c r="O700" s="19">
        <v>2.8049999999999999E-2</v>
      </c>
      <c r="P700" s="19">
        <v>2.802E-2</v>
      </c>
      <c r="Q700" s="19"/>
      <c r="R700" s="19">
        <f t="shared" si="72"/>
        <v>0</v>
      </c>
      <c r="S700" s="19">
        <f t="shared" si="73"/>
        <v>0</v>
      </c>
      <c r="T700" s="19">
        <f t="shared" si="74"/>
        <v>0</v>
      </c>
      <c r="U700" s="19">
        <f t="shared" si="75"/>
        <v>0</v>
      </c>
      <c r="V700" s="21">
        <f t="shared" si="76"/>
        <v>0</v>
      </c>
    </row>
    <row r="701" spans="1:22" ht="13.5" x14ac:dyDescent="0.35">
      <c r="A701" s="18">
        <v>991204</v>
      </c>
      <c r="B701" s="19" t="s">
        <v>723</v>
      </c>
      <c r="C701" s="19">
        <v>115</v>
      </c>
      <c r="D701" s="19">
        <v>101</v>
      </c>
      <c r="E701" s="19">
        <v>1040</v>
      </c>
      <c r="F701" s="19">
        <v>0</v>
      </c>
      <c r="G701" s="19">
        <v>0</v>
      </c>
      <c r="H701" s="19">
        <v>0</v>
      </c>
      <c r="I701" s="20">
        <v>0</v>
      </c>
      <c r="J701" s="19">
        <f t="shared" si="70"/>
        <v>0</v>
      </c>
      <c r="K701" s="19">
        <f t="shared" si="71"/>
        <v>0</v>
      </c>
      <c r="L701" s="19">
        <v>-6.6E-4</v>
      </c>
      <c r="M701" s="19">
        <v>2.7130000000000001E-2</v>
      </c>
      <c r="N701" s="19">
        <v>2.7130000000000001E-2</v>
      </c>
      <c r="O701" s="19">
        <v>2.7099999999999999E-2</v>
      </c>
      <c r="P701" s="19">
        <v>2.707E-2</v>
      </c>
      <c r="Q701" s="19"/>
      <c r="R701" s="19">
        <f t="shared" si="72"/>
        <v>0</v>
      </c>
      <c r="S701" s="19">
        <f t="shared" si="73"/>
        <v>0</v>
      </c>
      <c r="T701" s="19">
        <f t="shared" si="74"/>
        <v>0</v>
      </c>
      <c r="U701" s="19">
        <f t="shared" si="75"/>
        <v>0</v>
      </c>
      <c r="V701" s="21">
        <f t="shared" si="76"/>
        <v>0</v>
      </c>
    </row>
    <row r="702" spans="1:22" ht="13.5" x14ac:dyDescent="0.35">
      <c r="A702" s="18">
        <v>991264</v>
      </c>
      <c r="B702" s="19" t="s">
        <v>631</v>
      </c>
      <c r="C702" s="19">
        <v>115</v>
      </c>
      <c r="D702" s="19">
        <v>101</v>
      </c>
      <c r="E702" s="19">
        <v>1050</v>
      </c>
      <c r="F702" s="19">
        <v>0</v>
      </c>
      <c r="G702" s="19">
        <v>0</v>
      </c>
      <c r="H702" s="19">
        <v>0</v>
      </c>
      <c r="I702" s="20">
        <v>0</v>
      </c>
      <c r="J702" s="19">
        <f t="shared" si="70"/>
        <v>0</v>
      </c>
      <c r="K702" s="19">
        <f t="shared" si="71"/>
        <v>0</v>
      </c>
      <c r="L702" s="19">
        <v>-6.6E-4</v>
      </c>
      <c r="M702" s="19">
        <v>2.8570000000000002E-2</v>
      </c>
      <c r="N702" s="19">
        <v>2.8570000000000002E-2</v>
      </c>
      <c r="O702" s="19">
        <v>2.8539999999999999E-2</v>
      </c>
      <c r="P702" s="19">
        <v>2.8510000000000001E-2</v>
      </c>
      <c r="Q702" s="19"/>
      <c r="R702" s="19">
        <f t="shared" si="72"/>
        <v>0</v>
      </c>
      <c r="S702" s="19">
        <f t="shared" si="73"/>
        <v>0</v>
      </c>
      <c r="T702" s="19">
        <f t="shared" si="74"/>
        <v>0</v>
      </c>
      <c r="U702" s="19">
        <f t="shared" si="75"/>
        <v>0</v>
      </c>
      <c r="V702" s="21">
        <f t="shared" si="76"/>
        <v>0</v>
      </c>
    </row>
    <row r="703" spans="1:22" ht="13.5" x14ac:dyDescent="0.35">
      <c r="A703" s="18">
        <v>991273</v>
      </c>
      <c r="B703" s="19" t="s">
        <v>724</v>
      </c>
      <c r="C703" s="19">
        <v>115</v>
      </c>
      <c r="D703" s="19">
        <v>101</v>
      </c>
      <c r="E703" s="19">
        <v>1050</v>
      </c>
      <c r="F703" s="19">
        <v>2.46</v>
      </c>
      <c r="G703" s="19">
        <v>0</v>
      </c>
      <c r="H703" s="19">
        <v>2.46</v>
      </c>
      <c r="I703" s="20">
        <v>2.46</v>
      </c>
      <c r="J703" s="19">
        <f t="shared" si="70"/>
        <v>0</v>
      </c>
      <c r="K703" s="19">
        <f t="shared" si="71"/>
        <v>0</v>
      </c>
      <c r="L703" s="19">
        <v>-6.6E-4</v>
      </c>
      <c r="M703" s="19">
        <v>2.8570000000000002E-2</v>
      </c>
      <c r="N703" s="19">
        <v>2.8570000000000002E-2</v>
      </c>
      <c r="O703" s="19">
        <v>2.8539999999999999E-2</v>
      </c>
      <c r="P703" s="19">
        <v>2.8510000000000001E-2</v>
      </c>
      <c r="Q703" s="19"/>
      <c r="R703" s="19">
        <f t="shared" si="72"/>
        <v>0</v>
      </c>
      <c r="S703" s="19">
        <f t="shared" si="73"/>
        <v>0</v>
      </c>
      <c r="T703" s="19">
        <f t="shared" si="74"/>
        <v>0</v>
      </c>
      <c r="U703" s="19">
        <f t="shared" si="75"/>
        <v>0</v>
      </c>
      <c r="V703" s="21">
        <f t="shared" si="76"/>
        <v>0</v>
      </c>
    </row>
    <row r="704" spans="1:22" ht="13.5" x14ac:dyDescent="0.35">
      <c r="A704" s="18">
        <v>991802</v>
      </c>
      <c r="B704" s="19" t="s">
        <v>725</v>
      </c>
      <c r="C704" s="19">
        <v>345</v>
      </c>
      <c r="D704" s="19">
        <v>101</v>
      </c>
      <c r="E704" s="19">
        <v>1000</v>
      </c>
      <c r="F704" s="19">
        <v>507</v>
      </c>
      <c r="G704" s="19">
        <v>0</v>
      </c>
      <c r="H704" s="19">
        <v>507</v>
      </c>
      <c r="I704" s="20">
        <v>507</v>
      </c>
      <c r="J704" s="19">
        <f t="shared" si="70"/>
        <v>0</v>
      </c>
      <c r="K704" s="19">
        <f t="shared" si="71"/>
        <v>0</v>
      </c>
      <c r="L704" s="19">
        <v>-6.6E-4</v>
      </c>
      <c r="M704" s="19">
        <v>4.6299999999999996E-3</v>
      </c>
      <c r="N704" s="19">
        <v>4.6299999999999996E-3</v>
      </c>
      <c r="O704" s="19">
        <v>4.5999999999999999E-3</v>
      </c>
      <c r="P704" s="19">
        <v>4.5799999999999999E-3</v>
      </c>
      <c r="Q704" s="19"/>
      <c r="R704" s="19">
        <f t="shared" si="72"/>
        <v>0</v>
      </c>
      <c r="S704" s="19">
        <f t="shared" si="73"/>
        <v>0</v>
      </c>
      <c r="T704" s="19">
        <f t="shared" si="74"/>
        <v>0</v>
      </c>
      <c r="U704" s="19">
        <f t="shared" si="75"/>
        <v>0</v>
      </c>
      <c r="V704" s="21">
        <f t="shared" si="76"/>
        <v>0</v>
      </c>
    </row>
    <row r="705" spans="1:22" ht="13.5" x14ac:dyDescent="0.35">
      <c r="A705" s="18">
        <v>993007</v>
      </c>
      <c r="B705" s="19" t="s">
        <v>726</v>
      </c>
      <c r="C705" s="19">
        <v>115</v>
      </c>
      <c r="D705" s="19">
        <v>101</v>
      </c>
      <c r="E705" s="19">
        <v>1100</v>
      </c>
      <c r="F705" s="19">
        <v>0</v>
      </c>
      <c r="G705" s="19">
        <v>0</v>
      </c>
      <c r="H705" s="19">
        <v>0</v>
      </c>
      <c r="I705" s="20">
        <v>0</v>
      </c>
      <c r="J705" s="19">
        <f t="shared" si="70"/>
        <v>0</v>
      </c>
      <c r="K705" s="19">
        <f t="shared" si="71"/>
        <v>0</v>
      </c>
      <c r="L705" s="19">
        <v>-6.6E-4</v>
      </c>
      <c r="M705" s="19">
        <v>-3.5000000000000001E-3</v>
      </c>
      <c r="N705" s="19">
        <v>-3.5000000000000001E-3</v>
      </c>
      <c r="O705" s="19">
        <v>-3.5300000000000002E-3</v>
      </c>
      <c r="P705" s="19">
        <v>-3.5599999999999998E-3</v>
      </c>
      <c r="Q705" s="19"/>
      <c r="R705" s="19">
        <f t="shared" si="72"/>
        <v>0</v>
      </c>
      <c r="S705" s="19">
        <f t="shared" si="73"/>
        <v>0</v>
      </c>
      <c r="T705" s="19">
        <f t="shared" si="74"/>
        <v>0</v>
      </c>
      <c r="U705" s="19">
        <f t="shared" si="75"/>
        <v>0</v>
      </c>
      <c r="V705" s="21">
        <f t="shared" si="76"/>
        <v>0</v>
      </c>
    </row>
    <row r="706" spans="1:22" ht="13.5" x14ac:dyDescent="0.35">
      <c r="A706" s="18">
        <v>994734</v>
      </c>
      <c r="B706" s="19" t="s">
        <v>727</v>
      </c>
      <c r="C706" s="19">
        <v>345</v>
      </c>
      <c r="D706" s="19">
        <v>101</v>
      </c>
      <c r="E706" s="19">
        <v>1140</v>
      </c>
      <c r="F706" s="19">
        <v>752.2</v>
      </c>
      <c r="G706" s="19">
        <v>0</v>
      </c>
      <c r="H706" s="19">
        <v>2520</v>
      </c>
      <c r="I706" s="20">
        <f>752.2</f>
        <v>752.2</v>
      </c>
      <c r="J706" s="19">
        <f t="shared" si="70"/>
        <v>0</v>
      </c>
      <c r="K706" s="19">
        <f t="shared" si="71"/>
        <v>1767.8</v>
      </c>
      <c r="L706" s="19">
        <v>-6.6E-4</v>
      </c>
      <c r="M706" s="19">
        <v>-2.9069999999999999E-2</v>
      </c>
      <c r="N706" s="19">
        <v>-2.9069999999999999E-2</v>
      </c>
      <c r="O706" s="19">
        <v>-2.9100000000000001E-2</v>
      </c>
      <c r="P706" s="19">
        <v>-2.913E-2</v>
      </c>
      <c r="Q706" s="19"/>
      <c r="R706" s="19">
        <f t="shared" si="72"/>
        <v>0</v>
      </c>
      <c r="S706" s="19">
        <f t="shared" si="73"/>
        <v>0</v>
      </c>
      <c r="T706" s="19">
        <f t="shared" si="74"/>
        <v>0</v>
      </c>
      <c r="U706" s="19">
        <f t="shared" si="75"/>
        <v>0</v>
      </c>
      <c r="V706" s="21">
        <f t="shared" si="76"/>
        <v>0</v>
      </c>
    </row>
    <row r="707" spans="1:22" ht="13.5" x14ac:dyDescent="0.35">
      <c r="A707" s="18">
        <v>995728</v>
      </c>
      <c r="B707" s="19" t="s">
        <v>728</v>
      </c>
      <c r="C707" s="19">
        <v>115</v>
      </c>
      <c r="D707" s="19">
        <v>101</v>
      </c>
      <c r="E707" s="19">
        <v>1160</v>
      </c>
      <c r="F707" s="19">
        <v>0</v>
      </c>
      <c r="G707" s="19">
        <v>0</v>
      </c>
      <c r="H707" s="19">
        <v>0</v>
      </c>
      <c r="I707" s="20">
        <v>0</v>
      </c>
      <c r="J707" s="19">
        <f t="shared" si="70"/>
        <v>0</v>
      </c>
      <c r="K707" s="19">
        <f t="shared" si="71"/>
        <v>0</v>
      </c>
      <c r="L707" s="19">
        <v>-6.6E-4</v>
      </c>
      <c r="M707" s="19">
        <v>2.8559999999999999E-2</v>
      </c>
      <c r="N707" s="19">
        <v>2.8559999999999999E-2</v>
      </c>
      <c r="O707" s="19">
        <v>2.853E-2</v>
      </c>
      <c r="P707" s="19">
        <v>2.8510000000000001E-2</v>
      </c>
      <c r="Q707" s="19"/>
      <c r="R707" s="19">
        <f t="shared" si="72"/>
        <v>0</v>
      </c>
      <c r="S707" s="19">
        <f t="shared" si="73"/>
        <v>0</v>
      </c>
      <c r="T707" s="19">
        <f t="shared" si="74"/>
        <v>0</v>
      </c>
      <c r="U707" s="19">
        <f t="shared" si="75"/>
        <v>0</v>
      </c>
      <c r="V707" s="21">
        <f t="shared" si="76"/>
        <v>0</v>
      </c>
    </row>
    <row r="708" spans="1:22" ht="13.5" x14ac:dyDescent="0.35">
      <c r="A708" s="18">
        <v>996045</v>
      </c>
      <c r="B708" s="19" t="s">
        <v>729</v>
      </c>
      <c r="C708" s="19">
        <v>345</v>
      </c>
      <c r="D708" s="19">
        <v>101</v>
      </c>
      <c r="E708" s="19">
        <v>1330</v>
      </c>
      <c r="F708" s="19">
        <v>0</v>
      </c>
      <c r="G708" s="19">
        <v>0</v>
      </c>
      <c r="H708" s="19">
        <v>0</v>
      </c>
      <c r="I708" s="20">
        <v>0</v>
      </c>
      <c r="J708" s="19">
        <f t="shared" si="70"/>
        <v>0</v>
      </c>
      <c r="K708" s="19">
        <f t="shared" si="71"/>
        <v>0</v>
      </c>
      <c r="L708" s="19">
        <v>-6.6E-4</v>
      </c>
      <c r="M708" s="19">
        <v>-1.9499999999999999E-3</v>
      </c>
      <c r="N708" s="19">
        <v>-1.9499999999999999E-3</v>
      </c>
      <c r="O708" s="19">
        <v>-1.98E-3</v>
      </c>
      <c r="P708" s="19">
        <v>-2.0100000000000001E-3</v>
      </c>
      <c r="Q708" s="19"/>
      <c r="R708" s="19">
        <f t="shared" si="72"/>
        <v>0</v>
      </c>
      <c r="S708" s="19">
        <f t="shared" si="73"/>
        <v>0</v>
      </c>
      <c r="T708" s="19">
        <f t="shared" si="74"/>
        <v>0</v>
      </c>
      <c r="U708" s="19">
        <f t="shared" si="75"/>
        <v>0</v>
      </c>
      <c r="V708" s="21">
        <f t="shared" si="76"/>
        <v>0</v>
      </c>
    </row>
    <row r="709" spans="1:22" ht="13.5" x14ac:dyDescent="0.35">
      <c r="A709" s="18">
        <v>996240</v>
      </c>
      <c r="B709" s="19" t="s">
        <v>730</v>
      </c>
      <c r="C709" s="19">
        <v>115</v>
      </c>
      <c r="D709" s="19">
        <v>101</v>
      </c>
      <c r="E709" s="19">
        <v>1330</v>
      </c>
      <c r="F709" s="19">
        <v>0</v>
      </c>
      <c r="G709" s="19">
        <v>0</v>
      </c>
      <c r="H709" s="19">
        <v>0</v>
      </c>
      <c r="I709" s="20">
        <v>0</v>
      </c>
      <c r="J709" s="19">
        <f t="shared" si="70"/>
        <v>0</v>
      </c>
      <c r="K709" s="19">
        <f t="shared" si="71"/>
        <v>0</v>
      </c>
      <c r="L709" s="19">
        <v>-6.6E-4</v>
      </c>
      <c r="M709" s="19">
        <v>-2.2300000000000002E-3</v>
      </c>
      <c r="N709" s="19">
        <v>-2.2300000000000002E-3</v>
      </c>
      <c r="O709" s="19">
        <v>-2.2599999999999999E-3</v>
      </c>
      <c r="P709" s="19">
        <v>-2.2799999999999999E-3</v>
      </c>
      <c r="Q709" s="19"/>
      <c r="R709" s="19">
        <f t="shared" si="72"/>
        <v>0</v>
      </c>
      <c r="S709" s="19">
        <f t="shared" si="73"/>
        <v>0</v>
      </c>
      <c r="T709" s="19">
        <f t="shared" si="74"/>
        <v>0</v>
      </c>
      <c r="U709" s="19">
        <f t="shared" si="75"/>
        <v>0</v>
      </c>
      <c r="V709" s="21">
        <f t="shared" si="76"/>
        <v>0</v>
      </c>
    </row>
    <row r="710" spans="1:22" ht="13.5" x14ac:dyDescent="0.35">
      <c r="A710" s="18">
        <v>996336</v>
      </c>
      <c r="B710" s="19" t="s">
        <v>731</v>
      </c>
      <c r="C710" s="19">
        <v>115</v>
      </c>
      <c r="D710" s="19">
        <v>101</v>
      </c>
      <c r="E710" s="19">
        <v>1370</v>
      </c>
      <c r="F710" s="19">
        <v>0</v>
      </c>
      <c r="G710" s="19">
        <v>0</v>
      </c>
      <c r="H710" s="19">
        <v>0</v>
      </c>
      <c r="I710" s="20">
        <v>0</v>
      </c>
      <c r="J710" s="19">
        <f t="shared" si="70"/>
        <v>0</v>
      </c>
      <c r="K710" s="19">
        <f t="shared" si="71"/>
        <v>0</v>
      </c>
      <c r="L710" s="19">
        <v>-6.6E-4</v>
      </c>
      <c r="M710" s="19">
        <v>-1.73E-3</v>
      </c>
      <c r="N710" s="19">
        <v>-1.73E-3</v>
      </c>
      <c r="O710" s="19">
        <v>-1.7600000000000001E-3</v>
      </c>
      <c r="P710" s="19">
        <v>-1.7899999999999999E-3</v>
      </c>
      <c r="Q710" s="19"/>
      <c r="R710" s="19">
        <f t="shared" si="72"/>
        <v>0</v>
      </c>
      <c r="S710" s="19">
        <f t="shared" si="73"/>
        <v>0</v>
      </c>
      <c r="T710" s="19">
        <f t="shared" si="74"/>
        <v>0</v>
      </c>
      <c r="U710" s="19">
        <f t="shared" si="75"/>
        <v>0</v>
      </c>
      <c r="V710" s="21">
        <f t="shared" si="76"/>
        <v>0</v>
      </c>
    </row>
    <row r="711" spans="1:22" ht="13.5" x14ac:dyDescent="0.35">
      <c r="A711" s="18">
        <v>997012</v>
      </c>
      <c r="B711" s="19" t="s">
        <v>732</v>
      </c>
      <c r="C711" s="19">
        <v>115</v>
      </c>
      <c r="D711" s="19">
        <v>101</v>
      </c>
      <c r="E711" s="19">
        <v>1400</v>
      </c>
      <c r="F711" s="19">
        <v>9.5</v>
      </c>
      <c r="G711" s="19">
        <v>0</v>
      </c>
      <c r="H711" s="19">
        <v>9.5</v>
      </c>
      <c r="I711" s="20">
        <v>9.5</v>
      </c>
      <c r="J711" s="19">
        <f t="shared" si="70"/>
        <v>0</v>
      </c>
      <c r="K711" s="19">
        <f t="shared" si="71"/>
        <v>0</v>
      </c>
      <c r="L711" s="19">
        <v>-6.6E-4</v>
      </c>
      <c r="M711" s="19">
        <v>-2.1049999999999999E-2</v>
      </c>
      <c r="N711" s="19">
        <v>-2.1049999999999999E-2</v>
      </c>
      <c r="O711" s="19">
        <v>-2.1080000000000002E-2</v>
      </c>
      <c r="P711" s="19">
        <v>-2.111E-2</v>
      </c>
      <c r="Q711" s="19"/>
      <c r="R711" s="19">
        <f t="shared" si="72"/>
        <v>0</v>
      </c>
      <c r="S711" s="19">
        <f t="shared" si="73"/>
        <v>0</v>
      </c>
      <c r="T711" s="19">
        <f t="shared" si="74"/>
        <v>0</v>
      </c>
      <c r="U711" s="19">
        <f t="shared" si="75"/>
        <v>0</v>
      </c>
      <c r="V711" s="21">
        <f t="shared" si="76"/>
        <v>0</v>
      </c>
    </row>
    <row r="712" spans="1:22" ht="13.5" x14ac:dyDescent="0.35">
      <c r="A712" s="18">
        <v>999038</v>
      </c>
      <c r="B712" s="19" t="s">
        <v>733</v>
      </c>
      <c r="C712" s="19">
        <v>345</v>
      </c>
      <c r="D712" s="19">
        <v>101</v>
      </c>
      <c r="E712" s="19">
        <v>1630</v>
      </c>
      <c r="F712" s="19">
        <v>0</v>
      </c>
      <c r="G712" s="19">
        <v>0</v>
      </c>
      <c r="H712" s="19">
        <v>0</v>
      </c>
      <c r="I712" s="20">
        <v>0</v>
      </c>
      <c r="J712" s="19">
        <f t="shared" si="70"/>
        <v>0</v>
      </c>
      <c r="K712" s="19">
        <f t="shared" si="71"/>
        <v>0</v>
      </c>
      <c r="L712" s="19">
        <v>-6.6E-4</v>
      </c>
      <c r="M712" s="19">
        <v>-5.9100000000000003E-3</v>
      </c>
      <c r="N712" s="19">
        <v>-5.9100000000000003E-3</v>
      </c>
      <c r="O712" s="19">
        <v>-5.94E-3</v>
      </c>
      <c r="P712" s="19">
        <v>-5.9699999999999996E-3</v>
      </c>
      <c r="Q712" s="19"/>
      <c r="R712" s="19">
        <f t="shared" si="72"/>
        <v>0</v>
      </c>
      <c r="S712" s="19">
        <f t="shared" si="73"/>
        <v>0</v>
      </c>
      <c r="T712" s="19">
        <f t="shared" si="74"/>
        <v>0</v>
      </c>
      <c r="U712" s="19">
        <f t="shared" si="75"/>
        <v>0</v>
      </c>
      <c r="V712" s="21">
        <f t="shared" si="76"/>
        <v>0</v>
      </c>
    </row>
    <row r="713" spans="1:22" ht="13.5" x14ac:dyDescent="0.35">
      <c r="A713" s="18">
        <v>999541</v>
      </c>
      <c r="B713" s="19" t="s">
        <v>734</v>
      </c>
      <c r="C713" s="19">
        <v>115</v>
      </c>
      <c r="D713" s="19">
        <v>101</v>
      </c>
      <c r="E713" s="19">
        <v>1630</v>
      </c>
      <c r="F713" s="19">
        <v>0</v>
      </c>
      <c r="G713" s="19">
        <v>0</v>
      </c>
      <c r="H713" s="19">
        <v>0</v>
      </c>
      <c r="I713" s="20">
        <v>0</v>
      </c>
      <c r="J713" s="19">
        <f t="shared" si="70"/>
        <v>0</v>
      </c>
      <c r="K713" s="19">
        <f t="shared" si="71"/>
        <v>0</v>
      </c>
      <c r="L713" s="19">
        <v>-6.6E-4</v>
      </c>
      <c r="M713" s="19">
        <v>-5.5399999999999998E-3</v>
      </c>
      <c r="N713" s="19">
        <v>-5.5399999999999998E-3</v>
      </c>
      <c r="O713" s="19">
        <v>-5.5799999999999999E-3</v>
      </c>
      <c r="P713" s="19">
        <v>-5.5999999999999999E-3</v>
      </c>
      <c r="Q713" s="19"/>
      <c r="R713" s="19">
        <f t="shared" si="72"/>
        <v>0</v>
      </c>
      <c r="S713" s="19">
        <f t="shared" si="73"/>
        <v>0</v>
      </c>
      <c r="T713" s="19">
        <f t="shared" si="74"/>
        <v>0</v>
      </c>
      <c r="U713" s="19">
        <f t="shared" si="75"/>
        <v>0</v>
      </c>
      <c r="V713" s="21">
        <f t="shared" si="76"/>
        <v>0</v>
      </c>
    </row>
    <row r="714" spans="1:22" ht="14" thickBot="1" x14ac:dyDescent="0.4">
      <c r="A714" s="22">
        <v>999672</v>
      </c>
      <c r="B714" s="23" t="s">
        <v>735</v>
      </c>
      <c r="C714" s="23">
        <v>115</v>
      </c>
      <c r="D714" s="23">
        <v>101</v>
      </c>
      <c r="E714" s="23">
        <v>1630</v>
      </c>
      <c r="F714" s="23">
        <v>0</v>
      </c>
      <c r="G714" s="23">
        <v>0</v>
      </c>
      <c r="H714" s="23">
        <v>0</v>
      </c>
      <c r="I714" s="24">
        <v>0</v>
      </c>
      <c r="J714" s="23">
        <f t="shared" si="70"/>
        <v>0</v>
      </c>
      <c r="K714" s="23">
        <f t="shared" si="71"/>
        <v>0</v>
      </c>
      <c r="L714" s="23">
        <v>-6.6E-4</v>
      </c>
      <c r="M714" s="23">
        <v>-7.7000000000000002E-3</v>
      </c>
      <c r="N714" s="23">
        <v>-7.7000000000000002E-3</v>
      </c>
      <c r="O714" s="23">
        <v>-7.7400000000000004E-3</v>
      </c>
      <c r="P714" s="23">
        <v>-7.7600000000000004E-3</v>
      </c>
      <c r="Q714" s="23"/>
      <c r="R714" s="23">
        <f t="shared" si="72"/>
        <v>0</v>
      </c>
      <c r="S714" s="23">
        <f t="shared" si="73"/>
        <v>0</v>
      </c>
      <c r="T714" s="23">
        <f t="shared" si="74"/>
        <v>0</v>
      </c>
      <c r="U714" s="23">
        <f t="shared" si="75"/>
        <v>0</v>
      </c>
      <c r="V714" s="25">
        <f t="shared" si="76"/>
        <v>0</v>
      </c>
    </row>
  </sheetData>
  <autoFilter ref="A13:V714" xr:uid="{FEFE9E5D-77CA-4238-8EBA-7608108E2DE7}">
    <sortState xmlns:xlrd2="http://schemas.microsoft.com/office/spreadsheetml/2017/richdata2" ref="A14:V714">
      <sortCondition descending="1" ref="L13:L714"/>
    </sortState>
  </autoFilter>
  <conditionalFormatting sqref="I14">
    <cfRule type="cellIs" dxfId="1440" priority="1" stopIfTrue="1" operator="greaterThan">
      <formula>$H$14</formula>
    </cfRule>
    <cfRule type="cellIs" dxfId="1439" priority="2" stopIfTrue="1" operator="lessThan">
      <formula>$H$14*(-1)</formula>
    </cfRule>
  </conditionalFormatting>
  <conditionalFormatting sqref="I15">
    <cfRule type="cellIs" dxfId="1438" priority="3" stopIfTrue="1" operator="greaterThan">
      <formula>$H$15</formula>
    </cfRule>
    <cfRule type="cellIs" dxfId="1437" priority="4" stopIfTrue="1" operator="lessThan">
      <formula>$H$15*(-1)</formula>
    </cfRule>
  </conditionalFormatting>
  <conditionalFormatting sqref="I16">
    <cfRule type="cellIs" dxfId="1436" priority="5" stopIfTrue="1" operator="greaterThan">
      <formula>$H$16</formula>
    </cfRule>
    <cfRule type="cellIs" dxfId="1435" priority="6" stopIfTrue="1" operator="lessThan">
      <formula>$H$16*(-1)</formula>
    </cfRule>
  </conditionalFormatting>
  <conditionalFormatting sqref="I17">
    <cfRule type="cellIs" dxfId="1434" priority="7" stopIfTrue="1" operator="greaterThan">
      <formula>$H$17</formula>
    </cfRule>
    <cfRule type="cellIs" dxfId="1433" priority="8" stopIfTrue="1" operator="lessThan">
      <formula>$H$17*(-1)</formula>
    </cfRule>
  </conditionalFormatting>
  <conditionalFormatting sqref="I18">
    <cfRule type="cellIs" dxfId="1432" priority="9" stopIfTrue="1" operator="greaterThan">
      <formula>$H$18</formula>
    </cfRule>
    <cfRule type="cellIs" dxfId="1431" priority="10" stopIfTrue="1" operator="lessThan">
      <formula>$H$18*(-1)</formula>
    </cfRule>
  </conditionalFormatting>
  <conditionalFormatting sqref="I19">
    <cfRule type="cellIs" dxfId="1430" priority="11" stopIfTrue="1" operator="greaterThan">
      <formula>$H$19</formula>
    </cfRule>
    <cfRule type="cellIs" dxfId="1429" priority="12" stopIfTrue="1" operator="lessThan">
      <formula>$H$19*(-1)</formula>
    </cfRule>
  </conditionalFormatting>
  <conditionalFormatting sqref="I20">
    <cfRule type="cellIs" dxfId="1428" priority="13" stopIfTrue="1" operator="greaterThan">
      <formula>$H$20</formula>
    </cfRule>
    <cfRule type="cellIs" dxfId="1427" priority="14" stopIfTrue="1" operator="lessThan">
      <formula>$H$20*(-1)</formula>
    </cfRule>
  </conditionalFormatting>
  <conditionalFormatting sqref="I21">
    <cfRule type="cellIs" dxfId="1426" priority="15" stopIfTrue="1" operator="greaterThan">
      <formula>$H$21</formula>
    </cfRule>
    <cfRule type="cellIs" dxfId="1425" priority="16" stopIfTrue="1" operator="lessThan">
      <formula>$H$21*(-1)</formula>
    </cfRule>
  </conditionalFormatting>
  <conditionalFormatting sqref="I22">
    <cfRule type="cellIs" dxfId="1424" priority="17" stopIfTrue="1" operator="greaterThan">
      <formula>$H$22</formula>
    </cfRule>
    <cfRule type="cellIs" dxfId="1423" priority="18" stopIfTrue="1" operator="lessThan">
      <formula>$H$22*(-1)</formula>
    </cfRule>
  </conditionalFormatting>
  <conditionalFormatting sqref="I23">
    <cfRule type="cellIs" dxfId="1422" priority="19" stopIfTrue="1" operator="greaterThan">
      <formula>$H$23</formula>
    </cfRule>
    <cfRule type="cellIs" dxfId="1421" priority="20" stopIfTrue="1" operator="lessThan">
      <formula>$H$23*(-1)</formula>
    </cfRule>
  </conditionalFormatting>
  <conditionalFormatting sqref="I24">
    <cfRule type="cellIs" dxfId="1420" priority="21" stopIfTrue="1" operator="greaterThan">
      <formula>$H$24</formula>
    </cfRule>
    <cfRule type="cellIs" dxfId="1419" priority="22" stopIfTrue="1" operator="lessThan">
      <formula>$H$24*(-1)</formula>
    </cfRule>
  </conditionalFormatting>
  <conditionalFormatting sqref="I25">
    <cfRule type="cellIs" dxfId="1418" priority="23" stopIfTrue="1" operator="greaterThan">
      <formula>$H$25</formula>
    </cfRule>
    <cfRule type="cellIs" dxfId="1417" priority="24" stopIfTrue="1" operator="lessThan">
      <formula>$H$25*(-1)</formula>
    </cfRule>
  </conditionalFormatting>
  <conditionalFormatting sqref="I26">
    <cfRule type="cellIs" dxfId="1416" priority="25" stopIfTrue="1" operator="greaterThan">
      <formula>$H$26</formula>
    </cfRule>
    <cfRule type="cellIs" dxfId="1415" priority="26" stopIfTrue="1" operator="lessThan">
      <formula>$H$26*(-1)</formula>
    </cfRule>
  </conditionalFormatting>
  <conditionalFormatting sqref="I27">
    <cfRule type="cellIs" dxfId="1414" priority="27" stopIfTrue="1" operator="greaterThan">
      <formula>$H$27</formula>
    </cfRule>
    <cfRule type="cellIs" dxfId="1413" priority="28" stopIfTrue="1" operator="lessThan">
      <formula>$H$27*(-1)</formula>
    </cfRule>
  </conditionalFormatting>
  <conditionalFormatting sqref="I28">
    <cfRule type="cellIs" dxfId="1412" priority="29" stopIfTrue="1" operator="greaterThan">
      <formula>$H$28</formula>
    </cfRule>
    <cfRule type="cellIs" dxfId="1411" priority="30" stopIfTrue="1" operator="lessThan">
      <formula>$H$28*(-1)</formula>
    </cfRule>
  </conditionalFormatting>
  <conditionalFormatting sqref="I29">
    <cfRule type="cellIs" dxfId="1410" priority="31" stopIfTrue="1" operator="greaterThan">
      <formula>$H$29</formula>
    </cfRule>
    <cfRule type="cellIs" dxfId="1409" priority="32" stopIfTrue="1" operator="lessThan">
      <formula>$H$29*(-1)</formula>
    </cfRule>
  </conditionalFormatting>
  <conditionalFormatting sqref="I30">
    <cfRule type="cellIs" dxfId="1408" priority="33" stopIfTrue="1" operator="greaterThan">
      <formula>$H$30</formula>
    </cfRule>
    <cfRule type="cellIs" dxfId="1407" priority="34" stopIfTrue="1" operator="lessThan">
      <formula>$H$30*(-1)</formula>
    </cfRule>
  </conditionalFormatting>
  <conditionalFormatting sqref="I31">
    <cfRule type="cellIs" dxfId="1406" priority="35" stopIfTrue="1" operator="greaterThan">
      <formula>$H$31</formula>
    </cfRule>
    <cfRule type="cellIs" dxfId="1405" priority="36" stopIfTrue="1" operator="lessThan">
      <formula>$H$31*(-1)</formula>
    </cfRule>
  </conditionalFormatting>
  <conditionalFormatting sqref="I32">
    <cfRule type="cellIs" dxfId="1404" priority="37" stopIfTrue="1" operator="greaterThan">
      <formula>$H$32</formula>
    </cfRule>
    <cfRule type="cellIs" dxfId="1403" priority="38" stopIfTrue="1" operator="lessThan">
      <formula>$H$32*(-1)</formula>
    </cfRule>
  </conditionalFormatting>
  <conditionalFormatting sqref="I33">
    <cfRule type="cellIs" dxfId="1402" priority="39" stopIfTrue="1" operator="greaterThan">
      <formula>$H$33</formula>
    </cfRule>
    <cfRule type="cellIs" dxfId="1401" priority="40" stopIfTrue="1" operator="lessThan">
      <formula>$H$33*(-1)</formula>
    </cfRule>
  </conditionalFormatting>
  <conditionalFormatting sqref="I34">
    <cfRule type="cellIs" dxfId="1400" priority="41" stopIfTrue="1" operator="greaterThan">
      <formula>$H$34</formula>
    </cfRule>
  </conditionalFormatting>
  <conditionalFormatting sqref="I34">
    <cfRule type="cellIs" dxfId="1399" priority="42" stopIfTrue="1" operator="lessThan">
      <formula>$H$34*(-1)</formula>
    </cfRule>
  </conditionalFormatting>
  <conditionalFormatting sqref="I35">
    <cfRule type="cellIs" dxfId="1398" priority="43" stopIfTrue="1" operator="greaterThan">
      <formula>$H$35</formula>
    </cfRule>
  </conditionalFormatting>
  <conditionalFormatting sqref="I35">
    <cfRule type="cellIs" dxfId="1397" priority="44" stopIfTrue="1" operator="lessThan">
      <formula>$H$35*(-1)</formula>
    </cfRule>
  </conditionalFormatting>
  <conditionalFormatting sqref="I36">
    <cfRule type="cellIs" dxfId="1396" priority="45" stopIfTrue="1" operator="greaterThan">
      <formula>$H$36</formula>
    </cfRule>
  </conditionalFormatting>
  <conditionalFormatting sqref="I36">
    <cfRule type="cellIs" dxfId="1395" priority="46" stopIfTrue="1" operator="lessThan">
      <formula>$H$36*(-1)</formula>
    </cfRule>
  </conditionalFormatting>
  <conditionalFormatting sqref="I37">
    <cfRule type="cellIs" dxfId="1394" priority="47" stopIfTrue="1" operator="greaterThan">
      <formula>$H$37</formula>
    </cfRule>
  </conditionalFormatting>
  <conditionalFormatting sqref="I37">
    <cfRule type="cellIs" dxfId="1393" priority="48" stopIfTrue="1" operator="lessThan">
      <formula>$H$37*(-1)</formula>
    </cfRule>
  </conditionalFormatting>
  <conditionalFormatting sqref="I38">
    <cfRule type="cellIs" dxfId="1392" priority="49" stopIfTrue="1" operator="greaterThan">
      <formula>$H$38</formula>
    </cfRule>
  </conditionalFormatting>
  <conditionalFormatting sqref="I38">
    <cfRule type="cellIs" dxfId="1391" priority="50" stopIfTrue="1" operator="lessThan">
      <formula>$H$38*(-1)</formula>
    </cfRule>
  </conditionalFormatting>
  <conditionalFormatting sqref="I39">
    <cfRule type="cellIs" dxfId="1390" priority="51" stopIfTrue="1" operator="greaterThan">
      <formula>$H$39</formula>
    </cfRule>
  </conditionalFormatting>
  <conditionalFormatting sqref="I39">
    <cfRule type="cellIs" dxfId="1389" priority="52" stopIfTrue="1" operator="lessThan">
      <formula>$H$39*(-1)</formula>
    </cfRule>
  </conditionalFormatting>
  <conditionalFormatting sqref="I40">
    <cfRule type="cellIs" dxfId="1388" priority="53" stopIfTrue="1" operator="greaterThan">
      <formula>$H$40</formula>
    </cfRule>
  </conditionalFormatting>
  <conditionalFormatting sqref="I40">
    <cfRule type="cellIs" dxfId="1387" priority="54" stopIfTrue="1" operator="lessThan">
      <formula>$H$40*(-1)</formula>
    </cfRule>
  </conditionalFormatting>
  <conditionalFormatting sqref="I41">
    <cfRule type="cellIs" dxfId="1386" priority="55" stopIfTrue="1" operator="greaterThan">
      <formula>$H$41</formula>
    </cfRule>
  </conditionalFormatting>
  <conditionalFormatting sqref="I41">
    <cfRule type="cellIs" dxfId="1385" priority="56" stopIfTrue="1" operator="lessThan">
      <formula>$H$41*(-1)</formula>
    </cfRule>
  </conditionalFormatting>
  <conditionalFormatting sqref="I42">
    <cfRule type="cellIs" dxfId="1384" priority="57" stopIfTrue="1" operator="greaterThan">
      <formula>$H$42</formula>
    </cfRule>
  </conditionalFormatting>
  <conditionalFormatting sqref="I42">
    <cfRule type="cellIs" dxfId="1383" priority="58" stopIfTrue="1" operator="lessThan">
      <formula>$H$42*(-1)</formula>
    </cfRule>
  </conditionalFormatting>
  <conditionalFormatting sqref="I43">
    <cfRule type="cellIs" dxfId="1382" priority="59" stopIfTrue="1" operator="greaterThan">
      <formula>$H$43</formula>
    </cfRule>
  </conditionalFormatting>
  <conditionalFormatting sqref="I43">
    <cfRule type="cellIs" dxfId="1381" priority="60" stopIfTrue="1" operator="lessThan">
      <formula>$H$43*(-1)</formula>
    </cfRule>
  </conditionalFormatting>
  <conditionalFormatting sqref="I44">
    <cfRule type="cellIs" dxfId="1380" priority="61" stopIfTrue="1" operator="greaterThan">
      <formula>$H$44</formula>
    </cfRule>
  </conditionalFormatting>
  <conditionalFormatting sqref="I44">
    <cfRule type="cellIs" dxfId="1379" priority="62" stopIfTrue="1" operator="lessThan">
      <formula>$H$44*(-1)</formula>
    </cfRule>
  </conditionalFormatting>
  <conditionalFormatting sqref="I45">
    <cfRule type="cellIs" dxfId="1378" priority="63" stopIfTrue="1" operator="greaterThan">
      <formula>$H$45</formula>
    </cfRule>
  </conditionalFormatting>
  <conditionalFormatting sqref="I45">
    <cfRule type="cellIs" dxfId="1377" priority="64" stopIfTrue="1" operator="lessThan">
      <formula>$H$45*(-1)</formula>
    </cfRule>
  </conditionalFormatting>
  <conditionalFormatting sqref="I46">
    <cfRule type="cellIs" dxfId="1376" priority="65" stopIfTrue="1" operator="greaterThan">
      <formula>$H$46</formula>
    </cfRule>
  </conditionalFormatting>
  <conditionalFormatting sqref="I46">
    <cfRule type="cellIs" dxfId="1375" priority="66" stopIfTrue="1" operator="lessThan">
      <formula>$H$46*(-1)</formula>
    </cfRule>
  </conditionalFormatting>
  <conditionalFormatting sqref="I47">
    <cfRule type="cellIs" dxfId="1374" priority="67" stopIfTrue="1" operator="greaterThan">
      <formula>$H$47</formula>
    </cfRule>
  </conditionalFormatting>
  <conditionalFormatting sqref="I47">
    <cfRule type="cellIs" dxfId="1373" priority="68" stopIfTrue="1" operator="lessThan">
      <formula>$H$47*(-1)</formula>
    </cfRule>
  </conditionalFormatting>
  <conditionalFormatting sqref="I48">
    <cfRule type="cellIs" dxfId="1372" priority="69" stopIfTrue="1" operator="greaterThan">
      <formula>$H$48</formula>
    </cfRule>
  </conditionalFormatting>
  <conditionalFormatting sqref="I48">
    <cfRule type="cellIs" dxfId="1371" priority="70" stopIfTrue="1" operator="lessThan">
      <formula>$H$48*(-1)</formula>
    </cfRule>
  </conditionalFormatting>
  <conditionalFormatting sqref="I49">
    <cfRule type="cellIs" dxfId="1370" priority="71" stopIfTrue="1" operator="greaterThan">
      <formula>$H$49</formula>
    </cfRule>
  </conditionalFormatting>
  <conditionalFormatting sqref="I49">
    <cfRule type="cellIs" dxfId="1369" priority="72" stopIfTrue="1" operator="lessThan">
      <formula>$H$49*(-1)</formula>
    </cfRule>
  </conditionalFormatting>
  <conditionalFormatting sqref="I50">
    <cfRule type="cellIs" dxfId="1368" priority="73" stopIfTrue="1" operator="greaterThan">
      <formula>$H$50</formula>
    </cfRule>
  </conditionalFormatting>
  <conditionalFormatting sqref="I50">
    <cfRule type="cellIs" dxfId="1367" priority="74" stopIfTrue="1" operator="lessThan">
      <formula>$H$50*(-1)</formula>
    </cfRule>
  </conditionalFormatting>
  <conditionalFormatting sqref="I51">
    <cfRule type="cellIs" dxfId="1366" priority="75" stopIfTrue="1" operator="greaterThan">
      <formula>$H$51</formula>
    </cfRule>
  </conditionalFormatting>
  <conditionalFormatting sqref="I51">
    <cfRule type="cellIs" dxfId="1365" priority="76" stopIfTrue="1" operator="lessThan">
      <formula>$H$51*(-1)</formula>
    </cfRule>
  </conditionalFormatting>
  <conditionalFormatting sqref="I52">
    <cfRule type="cellIs" dxfId="1364" priority="77" stopIfTrue="1" operator="greaterThan">
      <formula>$H$52</formula>
    </cfRule>
  </conditionalFormatting>
  <conditionalFormatting sqref="I52">
    <cfRule type="cellIs" dxfId="1363" priority="78" stopIfTrue="1" operator="lessThan">
      <formula>$H$52*(-1)</formula>
    </cfRule>
  </conditionalFormatting>
  <conditionalFormatting sqref="I53">
    <cfRule type="cellIs" dxfId="1362" priority="79" stopIfTrue="1" operator="greaterThan">
      <formula>$H$53</formula>
    </cfRule>
  </conditionalFormatting>
  <conditionalFormatting sqref="I53">
    <cfRule type="cellIs" dxfId="1361" priority="80" stopIfTrue="1" operator="lessThan">
      <formula>$H$53*(-1)</formula>
    </cfRule>
  </conditionalFormatting>
  <conditionalFormatting sqref="I54">
    <cfRule type="cellIs" dxfId="1360" priority="81" stopIfTrue="1" operator="greaterThan">
      <formula>$H$54</formula>
    </cfRule>
  </conditionalFormatting>
  <conditionalFormatting sqref="I54">
    <cfRule type="cellIs" dxfId="1359" priority="82" stopIfTrue="1" operator="lessThan">
      <formula>$H$54*(-1)</formula>
    </cfRule>
  </conditionalFormatting>
  <conditionalFormatting sqref="I55">
    <cfRule type="cellIs" dxfId="1358" priority="83" stopIfTrue="1" operator="greaterThan">
      <formula>$H$55</formula>
    </cfRule>
  </conditionalFormatting>
  <conditionalFormatting sqref="I55">
    <cfRule type="cellIs" dxfId="1357" priority="84" stopIfTrue="1" operator="lessThan">
      <formula>$H$55*(-1)</formula>
    </cfRule>
  </conditionalFormatting>
  <conditionalFormatting sqref="I56">
    <cfRule type="cellIs" dxfId="1356" priority="85" stopIfTrue="1" operator="greaterThan">
      <formula>$H$56</formula>
    </cfRule>
  </conditionalFormatting>
  <conditionalFormatting sqref="I56">
    <cfRule type="cellIs" dxfId="1355" priority="86" stopIfTrue="1" operator="lessThan">
      <formula>$H$56*(-1)</formula>
    </cfRule>
  </conditionalFormatting>
  <conditionalFormatting sqref="I57">
    <cfRule type="cellIs" dxfId="1354" priority="87" stopIfTrue="1" operator="greaterThan">
      <formula>$H$57</formula>
    </cfRule>
  </conditionalFormatting>
  <conditionalFormatting sqref="I57">
    <cfRule type="cellIs" dxfId="1353" priority="88" stopIfTrue="1" operator="lessThan">
      <formula>$H$57*(-1)</formula>
    </cfRule>
  </conditionalFormatting>
  <conditionalFormatting sqref="I58">
    <cfRule type="cellIs" dxfId="1352" priority="89" stopIfTrue="1" operator="greaterThan">
      <formula>$H$58</formula>
    </cfRule>
  </conditionalFormatting>
  <conditionalFormatting sqref="I58">
    <cfRule type="cellIs" dxfId="1351" priority="90" stopIfTrue="1" operator="lessThan">
      <formula>$H$58*(-1)</formula>
    </cfRule>
  </conditionalFormatting>
  <conditionalFormatting sqref="I59">
    <cfRule type="cellIs" dxfId="1350" priority="91" stopIfTrue="1" operator="greaterThan">
      <formula>$H$59</formula>
    </cfRule>
  </conditionalFormatting>
  <conditionalFormatting sqref="I59">
    <cfRule type="cellIs" dxfId="1349" priority="92" stopIfTrue="1" operator="lessThan">
      <formula>$H$59*(-1)</formula>
    </cfRule>
  </conditionalFormatting>
  <conditionalFormatting sqref="I60">
    <cfRule type="cellIs" dxfId="1348" priority="93" stopIfTrue="1" operator="greaterThan">
      <formula>$H$60</formula>
    </cfRule>
  </conditionalFormatting>
  <conditionalFormatting sqref="I60">
    <cfRule type="cellIs" dxfId="1347" priority="94" stopIfTrue="1" operator="lessThan">
      <formula>$H$60*(-1)</formula>
    </cfRule>
  </conditionalFormatting>
  <conditionalFormatting sqref="I61">
    <cfRule type="cellIs" dxfId="1346" priority="95" stopIfTrue="1" operator="greaterThan">
      <formula>$H$61</formula>
    </cfRule>
  </conditionalFormatting>
  <conditionalFormatting sqref="I61">
    <cfRule type="cellIs" dxfId="1345" priority="96" stopIfTrue="1" operator="lessThan">
      <formula>$H$61*(-1)</formula>
    </cfRule>
  </conditionalFormatting>
  <conditionalFormatting sqref="I62">
    <cfRule type="cellIs" dxfId="1344" priority="97" stopIfTrue="1" operator="greaterThan">
      <formula>$H$62</formula>
    </cfRule>
  </conditionalFormatting>
  <conditionalFormatting sqref="I62">
    <cfRule type="cellIs" dxfId="1343" priority="98" stopIfTrue="1" operator="lessThan">
      <formula>$H$62*(-1)</formula>
    </cfRule>
  </conditionalFormatting>
  <conditionalFormatting sqref="I63">
    <cfRule type="cellIs" dxfId="1342" priority="99" stopIfTrue="1" operator="greaterThan">
      <formula>$H$63</formula>
    </cfRule>
  </conditionalFormatting>
  <conditionalFormatting sqref="I63">
    <cfRule type="cellIs" dxfId="1341" priority="100" stopIfTrue="1" operator="lessThan">
      <formula>$H$63*(-1)</formula>
    </cfRule>
  </conditionalFormatting>
  <conditionalFormatting sqref="I64">
    <cfRule type="cellIs" dxfId="1340" priority="101" stopIfTrue="1" operator="greaterThan">
      <formula>$H$64</formula>
    </cfRule>
  </conditionalFormatting>
  <conditionalFormatting sqref="I64">
    <cfRule type="cellIs" dxfId="1339" priority="102" stopIfTrue="1" operator="lessThan">
      <formula>$H$64*(-1)</formula>
    </cfRule>
  </conditionalFormatting>
  <conditionalFormatting sqref="I65">
    <cfRule type="cellIs" dxfId="1338" priority="103" stopIfTrue="1" operator="greaterThan">
      <formula>$H$65</formula>
    </cfRule>
  </conditionalFormatting>
  <conditionalFormatting sqref="I65">
    <cfRule type="cellIs" dxfId="1337" priority="104" stopIfTrue="1" operator="lessThan">
      <formula>$H$65*(-1)</formula>
    </cfRule>
  </conditionalFormatting>
  <conditionalFormatting sqref="I66">
    <cfRule type="cellIs" dxfId="1336" priority="105" stopIfTrue="1" operator="greaterThan">
      <formula>$H$66</formula>
    </cfRule>
  </conditionalFormatting>
  <conditionalFormatting sqref="I66">
    <cfRule type="cellIs" dxfId="1335" priority="106" stopIfTrue="1" operator="lessThan">
      <formula>$H$66*(-1)</formula>
    </cfRule>
  </conditionalFormatting>
  <conditionalFormatting sqref="I67">
    <cfRule type="cellIs" dxfId="1334" priority="107" stopIfTrue="1" operator="greaterThan">
      <formula>$H$67</formula>
    </cfRule>
  </conditionalFormatting>
  <conditionalFormatting sqref="I67">
    <cfRule type="cellIs" dxfId="1333" priority="108" stopIfTrue="1" operator="lessThan">
      <formula>$H$67*(-1)</formula>
    </cfRule>
  </conditionalFormatting>
  <conditionalFormatting sqref="I68">
    <cfRule type="cellIs" dxfId="1332" priority="109" stopIfTrue="1" operator="greaterThan">
      <formula>$H$68</formula>
    </cfRule>
  </conditionalFormatting>
  <conditionalFormatting sqref="I68">
    <cfRule type="cellIs" dxfId="1331" priority="110" stopIfTrue="1" operator="lessThan">
      <formula>$H$68*(-1)</formula>
    </cfRule>
  </conditionalFormatting>
  <conditionalFormatting sqref="I69">
    <cfRule type="cellIs" dxfId="1330" priority="111" stopIfTrue="1" operator="greaterThan">
      <formula>$H$69</formula>
    </cfRule>
  </conditionalFormatting>
  <conditionalFormatting sqref="I69">
    <cfRule type="cellIs" dxfId="1329" priority="112" stopIfTrue="1" operator="lessThan">
      <formula>$H$69*(-1)</formula>
    </cfRule>
  </conditionalFormatting>
  <conditionalFormatting sqref="I70">
    <cfRule type="cellIs" dxfId="1328" priority="113" stopIfTrue="1" operator="greaterThan">
      <formula>$H$70</formula>
    </cfRule>
  </conditionalFormatting>
  <conditionalFormatting sqref="I70">
    <cfRule type="cellIs" dxfId="1327" priority="114" stopIfTrue="1" operator="lessThan">
      <formula>$H$70*(-1)</formula>
    </cfRule>
  </conditionalFormatting>
  <conditionalFormatting sqref="I71">
    <cfRule type="cellIs" dxfId="1326" priority="115" stopIfTrue="1" operator="greaterThan">
      <formula>$H$71</formula>
    </cfRule>
  </conditionalFormatting>
  <conditionalFormatting sqref="I71">
    <cfRule type="cellIs" dxfId="1325" priority="116" stopIfTrue="1" operator="lessThan">
      <formula>$H$71*(-1)</formula>
    </cfRule>
  </conditionalFormatting>
  <conditionalFormatting sqref="I72">
    <cfRule type="cellIs" dxfId="1324" priority="117" stopIfTrue="1" operator="greaterThan">
      <formula>$H$72</formula>
    </cfRule>
  </conditionalFormatting>
  <conditionalFormatting sqref="I72">
    <cfRule type="cellIs" dxfId="1323" priority="118" stopIfTrue="1" operator="lessThan">
      <formula>$H$72*(-1)</formula>
    </cfRule>
  </conditionalFormatting>
  <conditionalFormatting sqref="I73">
    <cfRule type="cellIs" dxfId="1322" priority="119" stopIfTrue="1" operator="greaterThan">
      <formula>$H$73</formula>
    </cfRule>
  </conditionalFormatting>
  <conditionalFormatting sqref="I73">
    <cfRule type="cellIs" dxfId="1321" priority="120" stopIfTrue="1" operator="lessThan">
      <formula>$H$73*(-1)</formula>
    </cfRule>
  </conditionalFormatting>
  <conditionalFormatting sqref="I74">
    <cfRule type="cellIs" dxfId="1320" priority="121" stopIfTrue="1" operator="greaterThan">
      <formula>$H$74</formula>
    </cfRule>
  </conditionalFormatting>
  <conditionalFormatting sqref="I74">
    <cfRule type="cellIs" dxfId="1319" priority="122" stopIfTrue="1" operator="lessThan">
      <formula>$H$74*(-1)</formula>
    </cfRule>
  </conditionalFormatting>
  <conditionalFormatting sqref="I75">
    <cfRule type="cellIs" dxfId="1318" priority="123" stopIfTrue="1" operator="greaterThan">
      <formula>$H$75</formula>
    </cfRule>
  </conditionalFormatting>
  <conditionalFormatting sqref="I75">
    <cfRule type="cellIs" dxfId="1317" priority="124" stopIfTrue="1" operator="lessThan">
      <formula>$H$75*(-1)</formula>
    </cfRule>
  </conditionalFormatting>
  <conditionalFormatting sqref="I76">
    <cfRule type="cellIs" dxfId="1316" priority="125" stopIfTrue="1" operator="greaterThan">
      <formula>$H$76</formula>
    </cfRule>
  </conditionalFormatting>
  <conditionalFormatting sqref="I76">
    <cfRule type="cellIs" dxfId="1315" priority="126" stopIfTrue="1" operator="lessThan">
      <formula>$H$76*(-1)</formula>
    </cfRule>
  </conditionalFormatting>
  <conditionalFormatting sqref="I77">
    <cfRule type="cellIs" dxfId="1314" priority="127" stopIfTrue="1" operator="greaterThan">
      <formula>$H$77</formula>
    </cfRule>
  </conditionalFormatting>
  <conditionalFormatting sqref="I77">
    <cfRule type="cellIs" dxfId="1313" priority="128" stopIfTrue="1" operator="lessThan">
      <formula>$H$77*(-1)</formula>
    </cfRule>
  </conditionalFormatting>
  <conditionalFormatting sqref="I78">
    <cfRule type="cellIs" dxfId="1312" priority="129" stopIfTrue="1" operator="greaterThan">
      <formula>$H$78</formula>
    </cfRule>
  </conditionalFormatting>
  <conditionalFormatting sqref="I78">
    <cfRule type="cellIs" dxfId="1311" priority="130" stopIfTrue="1" operator="lessThan">
      <formula>$H$78*(-1)</formula>
    </cfRule>
  </conditionalFormatting>
  <conditionalFormatting sqref="I79">
    <cfRule type="cellIs" dxfId="1310" priority="131" stopIfTrue="1" operator="greaterThan">
      <formula>$H$79</formula>
    </cfRule>
  </conditionalFormatting>
  <conditionalFormatting sqref="I79">
    <cfRule type="cellIs" dxfId="1309" priority="132" stopIfTrue="1" operator="lessThan">
      <formula>$H$79*(-1)</formula>
    </cfRule>
  </conditionalFormatting>
  <conditionalFormatting sqref="I80">
    <cfRule type="cellIs" dxfId="1308" priority="133" stopIfTrue="1" operator="greaterThan">
      <formula>$H$80</formula>
    </cfRule>
  </conditionalFormatting>
  <conditionalFormatting sqref="I80">
    <cfRule type="cellIs" dxfId="1307" priority="134" stopIfTrue="1" operator="lessThan">
      <formula>$H$80*(-1)</formula>
    </cfRule>
  </conditionalFormatting>
  <conditionalFormatting sqref="I81">
    <cfRule type="cellIs" dxfId="1306" priority="135" stopIfTrue="1" operator="greaterThan">
      <formula>$H$81</formula>
    </cfRule>
  </conditionalFormatting>
  <conditionalFormatting sqref="I81">
    <cfRule type="cellIs" dxfId="1305" priority="136" stopIfTrue="1" operator="lessThan">
      <formula>$H$81*(-1)</formula>
    </cfRule>
  </conditionalFormatting>
  <conditionalFormatting sqref="I82">
    <cfRule type="cellIs" dxfId="1304" priority="137" stopIfTrue="1" operator="greaterThan">
      <formula>$H$82</formula>
    </cfRule>
  </conditionalFormatting>
  <conditionalFormatting sqref="I82">
    <cfRule type="cellIs" dxfId="1303" priority="138" stopIfTrue="1" operator="lessThan">
      <formula>$H$82*(-1)</formula>
    </cfRule>
  </conditionalFormatting>
  <conditionalFormatting sqref="I83">
    <cfRule type="cellIs" dxfId="1302" priority="139" stopIfTrue="1" operator="greaterThan">
      <formula>$H$83</formula>
    </cfRule>
  </conditionalFormatting>
  <conditionalFormatting sqref="I83">
    <cfRule type="cellIs" dxfId="1301" priority="140" stopIfTrue="1" operator="lessThan">
      <formula>$H$83*(-1)</formula>
    </cfRule>
  </conditionalFormatting>
  <conditionalFormatting sqref="I84">
    <cfRule type="cellIs" dxfId="1300" priority="141" stopIfTrue="1" operator="greaterThan">
      <formula>$H$84</formula>
    </cfRule>
  </conditionalFormatting>
  <conditionalFormatting sqref="I84">
    <cfRule type="cellIs" dxfId="1299" priority="142" stopIfTrue="1" operator="lessThan">
      <formula>$H$84*(-1)</formula>
    </cfRule>
  </conditionalFormatting>
  <conditionalFormatting sqref="I85">
    <cfRule type="cellIs" dxfId="1298" priority="143" stopIfTrue="1" operator="greaterThan">
      <formula>$H$85</formula>
    </cfRule>
  </conditionalFormatting>
  <conditionalFormatting sqref="I85">
    <cfRule type="cellIs" dxfId="1297" priority="144" stopIfTrue="1" operator="lessThan">
      <formula>$H$85*(-1)</formula>
    </cfRule>
  </conditionalFormatting>
  <conditionalFormatting sqref="I86">
    <cfRule type="cellIs" dxfId="1296" priority="145" stopIfTrue="1" operator="greaterThan">
      <formula>$H$86</formula>
    </cfRule>
  </conditionalFormatting>
  <conditionalFormatting sqref="I86">
    <cfRule type="cellIs" dxfId="1295" priority="146" stopIfTrue="1" operator="lessThan">
      <formula>$H$86*(-1)</formula>
    </cfRule>
  </conditionalFormatting>
  <conditionalFormatting sqref="I87">
    <cfRule type="cellIs" dxfId="1294" priority="147" stopIfTrue="1" operator="greaterThan">
      <formula>$H$87</formula>
    </cfRule>
  </conditionalFormatting>
  <conditionalFormatting sqref="I87">
    <cfRule type="cellIs" dxfId="1293" priority="148" stopIfTrue="1" operator="lessThan">
      <formula>$H$87*(-1)</formula>
    </cfRule>
  </conditionalFormatting>
  <conditionalFormatting sqref="I88">
    <cfRule type="cellIs" dxfId="1292" priority="149" stopIfTrue="1" operator="greaterThan">
      <formula>$H$88</formula>
    </cfRule>
  </conditionalFormatting>
  <conditionalFormatting sqref="I88">
    <cfRule type="cellIs" dxfId="1291" priority="150" stopIfTrue="1" operator="lessThan">
      <formula>$H$88*(-1)</formula>
    </cfRule>
  </conditionalFormatting>
  <conditionalFormatting sqref="I89">
    <cfRule type="cellIs" dxfId="1290" priority="151" stopIfTrue="1" operator="greaterThan">
      <formula>$H$89</formula>
    </cfRule>
  </conditionalFormatting>
  <conditionalFormatting sqref="I89">
    <cfRule type="cellIs" dxfId="1289" priority="152" stopIfTrue="1" operator="lessThan">
      <formula>$H$89*(-1)</formula>
    </cfRule>
  </conditionalFormatting>
  <conditionalFormatting sqref="I90">
    <cfRule type="cellIs" dxfId="1288" priority="153" stopIfTrue="1" operator="greaterThan">
      <formula>$H$90</formula>
    </cfRule>
  </conditionalFormatting>
  <conditionalFormatting sqref="I90">
    <cfRule type="cellIs" dxfId="1287" priority="154" stopIfTrue="1" operator="lessThan">
      <formula>$H$90*(-1)</formula>
    </cfRule>
  </conditionalFormatting>
  <conditionalFormatting sqref="I91">
    <cfRule type="cellIs" dxfId="1286" priority="155" stopIfTrue="1" operator="greaterThan">
      <formula>$H$91</formula>
    </cfRule>
  </conditionalFormatting>
  <conditionalFormatting sqref="I91">
    <cfRule type="cellIs" dxfId="1285" priority="156" stopIfTrue="1" operator="lessThan">
      <formula>$H$91*(-1)</formula>
    </cfRule>
  </conditionalFormatting>
  <conditionalFormatting sqref="I92">
    <cfRule type="cellIs" dxfId="1284" priority="157" stopIfTrue="1" operator="greaterThan">
      <formula>$H$92</formula>
    </cfRule>
  </conditionalFormatting>
  <conditionalFormatting sqref="I92">
    <cfRule type="cellIs" dxfId="1283" priority="158" stopIfTrue="1" operator="lessThan">
      <formula>$H$92*(-1)</formula>
    </cfRule>
  </conditionalFormatting>
  <conditionalFormatting sqref="I93">
    <cfRule type="cellIs" dxfId="1282" priority="159" stopIfTrue="1" operator="greaterThan">
      <formula>$H$93</formula>
    </cfRule>
  </conditionalFormatting>
  <conditionalFormatting sqref="I93">
    <cfRule type="cellIs" dxfId="1281" priority="160" stopIfTrue="1" operator="lessThan">
      <formula>$H$93*(-1)</formula>
    </cfRule>
  </conditionalFormatting>
  <conditionalFormatting sqref="I94">
    <cfRule type="cellIs" dxfId="1280" priority="161" stopIfTrue="1" operator="greaterThan">
      <formula>$H$94</formula>
    </cfRule>
  </conditionalFormatting>
  <conditionalFormatting sqref="I94">
    <cfRule type="cellIs" dxfId="1279" priority="162" stopIfTrue="1" operator="lessThan">
      <formula>$H$94*(-1)</formula>
    </cfRule>
  </conditionalFormatting>
  <conditionalFormatting sqref="I95">
    <cfRule type="cellIs" dxfId="1278" priority="163" stopIfTrue="1" operator="greaterThan">
      <formula>$H$95</formula>
    </cfRule>
  </conditionalFormatting>
  <conditionalFormatting sqref="I95">
    <cfRule type="cellIs" dxfId="1277" priority="164" stopIfTrue="1" operator="lessThan">
      <formula>$H$95*(-1)</formula>
    </cfRule>
  </conditionalFormatting>
  <conditionalFormatting sqref="I96">
    <cfRule type="cellIs" dxfId="1276" priority="165" stopIfTrue="1" operator="greaterThan">
      <formula>$H$96</formula>
    </cfRule>
  </conditionalFormatting>
  <conditionalFormatting sqref="I96">
    <cfRule type="cellIs" dxfId="1275" priority="166" stopIfTrue="1" operator="lessThan">
      <formula>$H$96*(-1)</formula>
    </cfRule>
  </conditionalFormatting>
  <conditionalFormatting sqref="I97">
    <cfRule type="cellIs" dxfId="1274" priority="167" stopIfTrue="1" operator="greaterThan">
      <formula>$H$97</formula>
    </cfRule>
  </conditionalFormatting>
  <conditionalFormatting sqref="I97">
    <cfRule type="cellIs" dxfId="1273" priority="168" stopIfTrue="1" operator="lessThan">
      <formula>$H$97*(-1)</formula>
    </cfRule>
  </conditionalFormatting>
  <conditionalFormatting sqref="I98">
    <cfRule type="cellIs" dxfId="1272" priority="169" stopIfTrue="1" operator="greaterThan">
      <formula>$H$98</formula>
    </cfRule>
  </conditionalFormatting>
  <conditionalFormatting sqref="I98">
    <cfRule type="cellIs" dxfId="1271" priority="170" stopIfTrue="1" operator="lessThan">
      <formula>$H$98*(-1)</formula>
    </cfRule>
  </conditionalFormatting>
  <conditionalFormatting sqref="I99">
    <cfRule type="cellIs" dxfId="1270" priority="171" stopIfTrue="1" operator="greaterThan">
      <formula>$H$99</formula>
    </cfRule>
  </conditionalFormatting>
  <conditionalFormatting sqref="I99">
    <cfRule type="cellIs" dxfId="1269" priority="172" stopIfTrue="1" operator="lessThan">
      <formula>$H$99*(-1)</formula>
    </cfRule>
  </conditionalFormatting>
  <conditionalFormatting sqref="I100">
    <cfRule type="cellIs" dxfId="1268" priority="173" stopIfTrue="1" operator="greaterThan">
      <formula>$H$100</formula>
    </cfRule>
  </conditionalFormatting>
  <conditionalFormatting sqref="I100">
    <cfRule type="cellIs" dxfId="1267" priority="174" stopIfTrue="1" operator="lessThan">
      <formula>$H$100*(-1)</formula>
    </cfRule>
  </conditionalFormatting>
  <conditionalFormatting sqref="I101">
    <cfRule type="cellIs" dxfId="1266" priority="175" stopIfTrue="1" operator="greaterThan">
      <formula>$H$101</formula>
    </cfRule>
  </conditionalFormatting>
  <conditionalFormatting sqref="I101">
    <cfRule type="cellIs" dxfId="1265" priority="176" stopIfTrue="1" operator="lessThan">
      <formula>$H$101*(-1)</formula>
    </cfRule>
  </conditionalFormatting>
  <conditionalFormatting sqref="I102">
    <cfRule type="cellIs" dxfId="1264" priority="177" stopIfTrue="1" operator="greaterThan">
      <formula>$H$102</formula>
    </cfRule>
  </conditionalFormatting>
  <conditionalFormatting sqref="I102">
    <cfRule type="cellIs" dxfId="1263" priority="178" stopIfTrue="1" operator="lessThan">
      <formula>$H$102*(-1)</formula>
    </cfRule>
  </conditionalFormatting>
  <conditionalFormatting sqref="I103">
    <cfRule type="cellIs" dxfId="1262" priority="179" stopIfTrue="1" operator="greaterThan">
      <formula>$H$103</formula>
    </cfRule>
  </conditionalFormatting>
  <conditionalFormatting sqref="I103">
    <cfRule type="cellIs" dxfId="1261" priority="180" stopIfTrue="1" operator="lessThan">
      <formula>$H$103*(-1)</formula>
    </cfRule>
  </conditionalFormatting>
  <conditionalFormatting sqref="I104">
    <cfRule type="cellIs" dxfId="1260" priority="181" stopIfTrue="1" operator="greaterThan">
      <formula>$H$104</formula>
    </cfRule>
  </conditionalFormatting>
  <conditionalFormatting sqref="I104">
    <cfRule type="cellIs" dxfId="1259" priority="182" stopIfTrue="1" operator="lessThan">
      <formula>$H$104*(-1)</formula>
    </cfRule>
  </conditionalFormatting>
  <conditionalFormatting sqref="I105">
    <cfRule type="cellIs" dxfId="1258" priority="183" stopIfTrue="1" operator="greaterThan">
      <formula>$H$105</formula>
    </cfRule>
  </conditionalFormatting>
  <conditionalFormatting sqref="I105">
    <cfRule type="cellIs" dxfId="1257" priority="184" stopIfTrue="1" operator="lessThan">
      <formula>$H$105*(-1)</formula>
    </cfRule>
  </conditionalFormatting>
  <conditionalFormatting sqref="I106">
    <cfRule type="cellIs" dxfId="1256" priority="185" stopIfTrue="1" operator="greaterThan">
      <formula>$H$106</formula>
    </cfRule>
  </conditionalFormatting>
  <conditionalFormatting sqref="I106">
    <cfRule type="cellIs" dxfId="1255" priority="186" stopIfTrue="1" operator="lessThan">
      <formula>$H$106*(-1)</formula>
    </cfRule>
  </conditionalFormatting>
  <conditionalFormatting sqref="I107">
    <cfRule type="cellIs" dxfId="1254" priority="187" stopIfTrue="1" operator="greaterThan">
      <formula>$H$107</formula>
    </cfRule>
  </conditionalFormatting>
  <conditionalFormatting sqref="I107">
    <cfRule type="cellIs" dxfId="1253" priority="188" stopIfTrue="1" operator="lessThan">
      <formula>$H$107*(-1)</formula>
    </cfRule>
  </conditionalFormatting>
  <conditionalFormatting sqref="I108">
    <cfRule type="cellIs" dxfId="1252" priority="189" stopIfTrue="1" operator="greaterThan">
      <formula>$H$108</formula>
    </cfRule>
  </conditionalFormatting>
  <conditionalFormatting sqref="I108">
    <cfRule type="cellIs" dxfId="1251" priority="190" stopIfTrue="1" operator="lessThan">
      <formula>$H$108*(-1)</formula>
    </cfRule>
  </conditionalFormatting>
  <conditionalFormatting sqref="I109">
    <cfRule type="cellIs" dxfId="1250" priority="191" stopIfTrue="1" operator="greaterThan">
      <formula>$H$109</formula>
    </cfRule>
  </conditionalFormatting>
  <conditionalFormatting sqref="I109">
    <cfRule type="cellIs" dxfId="1249" priority="192" stopIfTrue="1" operator="lessThan">
      <formula>$H$109*(-1)</formula>
    </cfRule>
  </conditionalFormatting>
  <conditionalFormatting sqref="I110">
    <cfRule type="cellIs" dxfId="1248" priority="193" stopIfTrue="1" operator="greaterThan">
      <formula>$H$110</formula>
    </cfRule>
  </conditionalFormatting>
  <conditionalFormatting sqref="I110">
    <cfRule type="cellIs" dxfId="1247" priority="194" stopIfTrue="1" operator="lessThan">
      <formula>$H$110*(-1)</formula>
    </cfRule>
  </conditionalFormatting>
  <conditionalFormatting sqref="I111">
    <cfRule type="cellIs" dxfId="1246" priority="195" stopIfTrue="1" operator="greaterThan">
      <formula>$H$111</formula>
    </cfRule>
  </conditionalFormatting>
  <conditionalFormatting sqref="I111">
    <cfRule type="cellIs" dxfId="1245" priority="196" stopIfTrue="1" operator="lessThan">
      <formula>$H$111*(-1)</formula>
    </cfRule>
  </conditionalFormatting>
  <conditionalFormatting sqref="I112">
    <cfRule type="cellIs" dxfId="1244" priority="197" stopIfTrue="1" operator="greaterThan">
      <formula>$H$112</formula>
    </cfRule>
  </conditionalFormatting>
  <conditionalFormatting sqref="I112">
    <cfRule type="cellIs" dxfId="1243" priority="198" stopIfTrue="1" operator="lessThan">
      <formula>$H$112*(-1)</formula>
    </cfRule>
  </conditionalFormatting>
  <conditionalFormatting sqref="I113">
    <cfRule type="cellIs" dxfId="1242" priority="199" stopIfTrue="1" operator="greaterThan">
      <formula>$H$113</formula>
    </cfRule>
  </conditionalFormatting>
  <conditionalFormatting sqref="I113">
    <cfRule type="cellIs" dxfId="1241" priority="200" stopIfTrue="1" operator="lessThan">
      <formula>$H$113*(-1)</formula>
    </cfRule>
  </conditionalFormatting>
  <conditionalFormatting sqref="I114">
    <cfRule type="cellIs" dxfId="1240" priority="201" stopIfTrue="1" operator="greaterThan">
      <formula>$H$114</formula>
    </cfRule>
  </conditionalFormatting>
  <conditionalFormatting sqref="I114">
    <cfRule type="cellIs" dxfId="1239" priority="202" stopIfTrue="1" operator="lessThan">
      <formula>$H$114*(-1)</formula>
    </cfRule>
  </conditionalFormatting>
  <conditionalFormatting sqref="I115">
    <cfRule type="cellIs" dxfId="1238" priority="203" stopIfTrue="1" operator="greaterThan">
      <formula>$H$115</formula>
    </cfRule>
  </conditionalFormatting>
  <conditionalFormatting sqref="I115">
    <cfRule type="cellIs" dxfId="1237" priority="204" stopIfTrue="1" operator="lessThan">
      <formula>$H$115*(-1)</formula>
    </cfRule>
  </conditionalFormatting>
  <conditionalFormatting sqref="I116">
    <cfRule type="cellIs" dxfId="1236" priority="205" stopIfTrue="1" operator="greaterThan">
      <formula>$H$116</formula>
    </cfRule>
  </conditionalFormatting>
  <conditionalFormatting sqref="I116">
    <cfRule type="cellIs" dxfId="1235" priority="206" stopIfTrue="1" operator="lessThan">
      <formula>$H$116*(-1)</formula>
    </cfRule>
  </conditionalFormatting>
  <conditionalFormatting sqref="I117">
    <cfRule type="cellIs" dxfId="1234" priority="207" stopIfTrue="1" operator="greaterThan">
      <formula>$H$117</formula>
    </cfRule>
  </conditionalFormatting>
  <conditionalFormatting sqref="I117">
    <cfRule type="cellIs" dxfId="1233" priority="208" stopIfTrue="1" operator="lessThan">
      <formula>$H$117*(-1)</formula>
    </cfRule>
  </conditionalFormatting>
  <conditionalFormatting sqref="I118">
    <cfRule type="cellIs" dxfId="1232" priority="209" stopIfTrue="1" operator="greaterThan">
      <formula>$H$118</formula>
    </cfRule>
  </conditionalFormatting>
  <conditionalFormatting sqref="I118">
    <cfRule type="cellIs" dxfId="1231" priority="210" stopIfTrue="1" operator="lessThan">
      <formula>$H$118*(-1)</formula>
    </cfRule>
  </conditionalFormatting>
  <conditionalFormatting sqref="I119">
    <cfRule type="cellIs" dxfId="1230" priority="211" stopIfTrue="1" operator="greaterThan">
      <formula>$H$119</formula>
    </cfRule>
  </conditionalFormatting>
  <conditionalFormatting sqref="I119">
    <cfRule type="cellIs" dxfId="1229" priority="212" stopIfTrue="1" operator="lessThan">
      <formula>$H$119*(-1)</formula>
    </cfRule>
  </conditionalFormatting>
  <conditionalFormatting sqref="I120">
    <cfRule type="cellIs" dxfId="1228" priority="213" stopIfTrue="1" operator="greaterThan">
      <formula>$H$120</formula>
    </cfRule>
  </conditionalFormatting>
  <conditionalFormatting sqref="I120">
    <cfRule type="cellIs" dxfId="1227" priority="214" stopIfTrue="1" operator="lessThan">
      <formula>$H$120*(-1)</formula>
    </cfRule>
  </conditionalFormatting>
  <conditionalFormatting sqref="I121">
    <cfRule type="cellIs" dxfId="1226" priority="215" stopIfTrue="1" operator="greaterThan">
      <formula>$H$121</formula>
    </cfRule>
  </conditionalFormatting>
  <conditionalFormatting sqref="I121">
    <cfRule type="cellIs" dxfId="1225" priority="216" stopIfTrue="1" operator="lessThan">
      <formula>$H$121*(-1)</formula>
    </cfRule>
  </conditionalFormatting>
  <conditionalFormatting sqref="I122">
    <cfRule type="cellIs" dxfId="1224" priority="217" stopIfTrue="1" operator="greaterThan">
      <formula>$H$122</formula>
    </cfRule>
  </conditionalFormatting>
  <conditionalFormatting sqref="I122">
    <cfRule type="cellIs" dxfId="1223" priority="218" stopIfTrue="1" operator="lessThan">
      <formula>$H$122*(-1)</formula>
    </cfRule>
  </conditionalFormatting>
  <conditionalFormatting sqref="I123">
    <cfRule type="cellIs" dxfId="1222" priority="219" stopIfTrue="1" operator="greaterThan">
      <formula>$H$123</formula>
    </cfRule>
  </conditionalFormatting>
  <conditionalFormatting sqref="I123">
    <cfRule type="cellIs" dxfId="1221" priority="220" stopIfTrue="1" operator="lessThan">
      <formula>$H$123*(-1)</formula>
    </cfRule>
  </conditionalFormatting>
  <conditionalFormatting sqref="I124">
    <cfRule type="cellIs" dxfId="1220" priority="221" stopIfTrue="1" operator="greaterThan">
      <formula>$H$124</formula>
    </cfRule>
  </conditionalFormatting>
  <conditionalFormatting sqref="I124">
    <cfRule type="cellIs" dxfId="1219" priority="222" stopIfTrue="1" operator="lessThan">
      <formula>$H$124*(-1)</formula>
    </cfRule>
  </conditionalFormatting>
  <conditionalFormatting sqref="I125">
    <cfRule type="cellIs" dxfId="1218" priority="223" stopIfTrue="1" operator="greaterThan">
      <formula>$H$125</formula>
    </cfRule>
  </conditionalFormatting>
  <conditionalFormatting sqref="I125">
    <cfRule type="cellIs" dxfId="1217" priority="224" stopIfTrue="1" operator="lessThan">
      <formula>$H$125*(-1)</formula>
    </cfRule>
  </conditionalFormatting>
  <conditionalFormatting sqref="I126">
    <cfRule type="cellIs" dxfId="1216" priority="225" stopIfTrue="1" operator="greaterThan">
      <formula>$H$126</formula>
    </cfRule>
  </conditionalFormatting>
  <conditionalFormatting sqref="I126">
    <cfRule type="cellIs" dxfId="1215" priority="226" stopIfTrue="1" operator="lessThan">
      <formula>$H$126*(-1)</formula>
    </cfRule>
  </conditionalFormatting>
  <conditionalFormatting sqref="I127">
    <cfRule type="cellIs" dxfId="1214" priority="227" stopIfTrue="1" operator="greaterThan">
      <formula>$H$127</formula>
    </cfRule>
  </conditionalFormatting>
  <conditionalFormatting sqref="I127">
    <cfRule type="cellIs" dxfId="1213" priority="228" stopIfTrue="1" operator="lessThan">
      <formula>$H$127*(-1)</formula>
    </cfRule>
  </conditionalFormatting>
  <conditionalFormatting sqref="I128">
    <cfRule type="cellIs" dxfId="1212" priority="229" stopIfTrue="1" operator="greaterThan">
      <formula>$H$128</formula>
    </cfRule>
  </conditionalFormatting>
  <conditionalFormatting sqref="I128">
    <cfRule type="cellIs" dxfId="1211" priority="230" stopIfTrue="1" operator="lessThan">
      <formula>$H$128*(-1)</formula>
    </cfRule>
  </conditionalFormatting>
  <conditionalFormatting sqref="I129">
    <cfRule type="cellIs" dxfId="1210" priority="231" stopIfTrue="1" operator="greaterThan">
      <formula>$H$129</formula>
    </cfRule>
  </conditionalFormatting>
  <conditionalFormatting sqref="I129">
    <cfRule type="cellIs" dxfId="1209" priority="232" stopIfTrue="1" operator="lessThan">
      <formula>$H$129*(-1)</formula>
    </cfRule>
  </conditionalFormatting>
  <conditionalFormatting sqref="I130">
    <cfRule type="cellIs" dxfId="1208" priority="233" stopIfTrue="1" operator="greaterThan">
      <formula>$H$130</formula>
    </cfRule>
  </conditionalFormatting>
  <conditionalFormatting sqref="I130">
    <cfRule type="cellIs" dxfId="1207" priority="234" stopIfTrue="1" operator="lessThan">
      <formula>$H$130*(-1)</formula>
    </cfRule>
  </conditionalFormatting>
  <conditionalFormatting sqref="I131">
    <cfRule type="cellIs" dxfId="1206" priority="235" stopIfTrue="1" operator="greaterThan">
      <formula>$H$131</formula>
    </cfRule>
  </conditionalFormatting>
  <conditionalFormatting sqref="I131">
    <cfRule type="cellIs" dxfId="1205" priority="236" stopIfTrue="1" operator="lessThan">
      <formula>$H$131*(-1)</formula>
    </cfRule>
  </conditionalFormatting>
  <conditionalFormatting sqref="I132">
    <cfRule type="cellIs" dxfId="1204" priority="237" stopIfTrue="1" operator="greaterThan">
      <formula>$H$132</formula>
    </cfRule>
  </conditionalFormatting>
  <conditionalFormatting sqref="I132">
    <cfRule type="cellIs" dxfId="1203" priority="238" stopIfTrue="1" operator="lessThan">
      <formula>$H$132*(-1)</formula>
    </cfRule>
  </conditionalFormatting>
  <conditionalFormatting sqref="I133">
    <cfRule type="cellIs" dxfId="1202" priority="239" stopIfTrue="1" operator="greaterThan">
      <formula>$H$133</formula>
    </cfRule>
  </conditionalFormatting>
  <conditionalFormatting sqref="I133">
    <cfRule type="cellIs" dxfId="1201" priority="240" stopIfTrue="1" operator="lessThan">
      <formula>$H$133*(-1)</formula>
    </cfRule>
  </conditionalFormatting>
  <conditionalFormatting sqref="I134">
    <cfRule type="cellIs" dxfId="1200" priority="241" stopIfTrue="1" operator="greaterThan">
      <formula>$H$134</formula>
    </cfRule>
  </conditionalFormatting>
  <conditionalFormatting sqref="I134">
    <cfRule type="cellIs" dxfId="1199" priority="242" stopIfTrue="1" operator="lessThan">
      <formula>$H$134*(-1)</formula>
    </cfRule>
  </conditionalFormatting>
  <conditionalFormatting sqref="I135">
    <cfRule type="cellIs" dxfId="1198" priority="243" stopIfTrue="1" operator="greaterThan">
      <formula>$H$135</formula>
    </cfRule>
  </conditionalFormatting>
  <conditionalFormatting sqref="I135">
    <cfRule type="cellIs" dxfId="1197" priority="244" stopIfTrue="1" operator="lessThan">
      <formula>$H$135*(-1)</formula>
    </cfRule>
  </conditionalFormatting>
  <conditionalFormatting sqref="I136">
    <cfRule type="cellIs" dxfId="1196" priority="245" stopIfTrue="1" operator="greaterThan">
      <formula>$H$136</formula>
    </cfRule>
  </conditionalFormatting>
  <conditionalFormatting sqref="I136">
    <cfRule type="cellIs" dxfId="1195" priority="246" stopIfTrue="1" operator="lessThan">
      <formula>$H$136*(-1)</formula>
    </cfRule>
  </conditionalFormatting>
  <conditionalFormatting sqref="I137">
    <cfRule type="cellIs" dxfId="1194" priority="247" stopIfTrue="1" operator="greaterThan">
      <formula>$H$137</formula>
    </cfRule>
  </conditionalFormatting>
  <conditionalFormatting sqref="I137">
    <cfRule type="cellIs" dxfId="1193" priority="248" stopIfTrue="1" operator="lessThan">
      <formula>$H$137*(-1)</formula>
    </cfRule>
  </conditionalFormatting>
  <conditionalFormatting sqref="I138">
    <cfRule type="cellIs" dxfId="1192" priority="249" stopIfTrue="1" operator="greaterThan">
      <formula>$H$138</formula>
    </cfRule>
  </conditionalFormatting>
  <conditionalFormatting sqref="I138">
    <cfRule type="cellIs" dxfId="1191" priority="250" stopIfTrue="1" operator="lessThan">
      <formula>$H$138*(-1)</formula>
    </cfRule>
  </conditionalFormatting>
  <conditionalFormatting sqref="I139">
    <cfRule type="cellIs" dxfId="1190" priority="251" stopIfTrue="1" operator="greaterThan">
      <formula>$H$139</formula>
    </cfRule>
  </conditionalFormatting>
  <conditionalFormatting sqref="I139">
    <cfRule type="cellIs" dxfId="1189" priority="252" stopIfTrue="1" operator="lessThan">
      <formula>$H$139*(-1)</formula>
    </cfRule>
  </conditionalFormatting>
  <conditionalFormatting sqref="I140">
    <cfRule type="cellIs" dxfId="1188" priority="253" stopIfTrue="1" operator="greaterThan">
      <formula>$H$140</formula>
    </cfRule>
  </conditionalFormatting>
  <conditionalFormatting sqref="I140">
    <cfRule type="cellIs" dxfId="1187" priority="254" stopIfTrue="1" operator="lessThan">
      <formula>$H$140*(-1)</formula>
    </cfRule>
  </conditionalFormatting>
  <conditionalFormatting sqref="I141">
    <cfRule type="cellIs" dxfId="1186" priority="255" stopIfTrue="1" operator="greaterThan">
      <formula>$H$141</formula>
    </cfRule>
  </conditionalFormatting>
  <conditionalFormatting sqref="I141">
    <cfRule type="cellIs" dxfId="1185" priority="256" stopIfTrue="1" operator="lessThan">
      <formula>$H$141*(-1)</formula>
    </cfRule>
  </conditionalFormatting>
  <conditionalFormatting sqref="I142">
    <cfRule type="cellIs" dxfId="1184" priority="257" stopIfTrue="1" operator="greaterThan">
      <formula>$H$142</formula>
    </cfRule>
  </conditionalFormatting>
  <conditionalFormatting sqref="I142">
    <cfRule type="cellIs" dxfId="1183" priority="258" stopIfTrue="1" operator="lessThan">
      <formula>$H$142*(-1)</formula>
    </cfRule>
  </conditionalFormatting>
  <conditionalFormatting sqref="I143">
    <cfRule type="cellIs" dxfId="1182" priority="259" stopIfTrue="1" operator="greaterThan">
      <formula>$H$143</formula>
    </cfRule>
  </conditionalFormatting>
  <conditionalFormatting sqref="I143">
    <cfRule type="cellIs" dxfId="1181" priority="260" stopIfTrue="1" operator="lessThan">
      <formula>$H$143*(-1)</formula>
    </cfRule>
  </conditionalFormatting>
  <conditionalFormatting sqref="I144">
    <cfRule type="cellIs" dxfId="1180" priority="261" stopIfTrue="1" operator="greaterThan">
      <formula>$H$144</formula>
    </cfRule>
  </conditionalFormatting>
  <conditionalFormatting sqref="I144">
    <cfRule type="cellIs" dxfId="1179" priority="262" stopIfTrue="1" operator="lessThan">
      <formula>$H$144*(-1)</formula>
    </cfRule>
  </conditionalFormatting>
  <conditionalFormatting sqref="I145">
    <cfRule type="cellIs" dxfId="1178" priority="263" stopIfTrue="1" operator="greaterThan">
      <formula>$H$145</formula>
    </cfRule>
  </conditionalFormatting>
  <conditionalFormatting sqref="I145">
    <cfRule type="cellIs" dxfId="1177" priority="264" stopIfTrue="1" operator="lessThan">
      <formula>$H$145*(-1)</formula>
    </cfRule>
  </conditionalFormatting>
  <conditionalFormatting sqref="I146">
    <cfRule type="cellIs" dxfId="1176" priority="265" stopIfTrue="1" operator="greaterThan">
      <formula>$H$146</formula>
    </cfRule>
  </conditionalFormatting>
  <conditionalFormatting sqref="I146">
    <cfRule type="cellIs" dxfId="1175" priority="266" stopIfTrue="1" operator="lessThan">
      <formula>$H$146*(-1)</formula>
    </cfRule>
  </conditionalFormatting>
  <conditionalFormatting sqref="I147">
    <cfRule type="cellIs" dxfId="1174" priority="267" stopIfTrue="1" operator="greaterThan">
      <formula>$H$147</formula>
    </cfRule>
  </conditionalFormatting>
  <conditionalFormatting sqref="I147">
    <cfRule type="cellIs" dxfId="1173" priority="268" stopIfTrue="1" operator="lessThan">
      <formula>$H$147*(-1)</formula>
    </cfRule>
  </conditionalFormatting>
  <conditionalFormatting sqref="I148">
    <cfRule type="cellIs" dxfId="1172" priority="269" stopIfTrue="1" operator="greaterThan">
      <formula>$H$148</formula>
    </cfRule>
  </conditionalFormatting>
  <conditionalFormatting sqref="I148">
    <cfRule type="cellIs" dxfId="1171" priority="270" stopIfTrue="1" operator="lessThan">
      <formula>$H$148*(-1)</formula>
    </cfRule>
  </conditionalFormatting>
  <conditionalFormatting sqref="I149">
    <cfRule type="cellIs" dxfId="1170" priority="271" stopIfTrue="1" operator="greaterThan">
      <formula>$H$149</formula>
    </cfRule>
  </conditionalFormatting>
  <conditionalFormatting sqref="I149">
    <cfRule type="cellIs" dxfId="1169" priority="272" stopIfTrue="1" operator="lessThan">
      <formula>$H$149*(-1)</formula>
    </cfRule>
  </conditionalFormatting>
  <conditionalFormatting sqref="I150">
    <cfRule type="cellIs" dxfId="1168" priority="273" stopIfTrue="1" operator="greaterThan">
      <formula>$H$150</formula>
    </cfRule>
  </conditionalFormatting>
  <conditionalFormatting sqref="I150">
    <cfRule type="cellIs" dxfId="1167" priority="274" stopIfTrue="1" operator="lessThan">
      <formula>$H$150*(-1)</formula>
    </cfRule>
  </conditionalFormatting>
  <conditionalFormatting sqref="I151">
    <cfRule type="cellIs" dxfId="1166" priority="275" stopIfTrue="1" operator="greaterThan">
      <formula>$H$151</formula>
    </cfRule>
  </conditionalFormatting>
  <conditionalFormatting sqref="I151">
    <cfRule type="cellIs" dxfId="1165" priority="276" stopIfTrue="1" operator="lessThan">
      <formula>$H$151*(-1)</formula>
    </cfRule>
  </conditionalFormatting>
  <conditionalFormatting sqref="I152">
    <cfRule type="cellIs" dxfId="1164" priority="277" stopIfTrue="1" operator="greaterThan">
      <formula>$H$152</formula>
    </cfRule>
  </conditionalFormatting>
  <conditionalFormatting sqref="I152">
    <cfRule type="cellIs" dxfId="1163" priority="278" stopIfTrue="1" operator="lessThan">
      <formula>$H$152*(-1)</formula>
    </cfRule>
  </conditionalFormatting>
  <conditionalFormatting sqref="I153">
    <cfRule type="cellIs" dxfId="1162" priority="279" stopIfTrue="1" operator="greaterThan">
      <formula>$H$153</formula>
    </cfRule>
  </conditionalFormatting>
  <conditionalFormatting sqref="I153">
    <cfRule type="cellIs" dxfId="1161" priority="280" stopIfTrue="1" operator="lessThan">
      <formula>$H$153*(-1)</formula>
    </cfRule>
  </conditionalFormatting>
  <conditionalFormatting sqref="I154">
    <cfRule type="cellIs" dxfId="1160" priority="281" stopIfTrue="1" operator="greaterThan">
      <formula>$H$154</formula>
    </cfRule>
  </conditionalFormatting>
  <conditionalFormatting sqref="I154">
    <cfRule type="cellIs" dxfId="1159" priority="282" stopIfTrue="1" operator="lessThan">
      <formula>$H$154*(-1)</formula>
    </cfRule>
  </conditionalFormatting>
  <conditionalFormatting sqref="I155">
    <cfRule type="cellIs" dxfId="1158" priority="283" stopIfTrue="1" operator="greaterThan">
      <formula>$H$155</formula>
    </cfRule>
  </conditionalFormatting>
  <conditionalFormatting sqref="I155">
    <cfRule type="cellIs" dxfId="1157" priority="284" stopIfTrue="1" operator="lessThan">
      <formula>$H$155*(-1)</formula>
    </cfRule>
  </conditionalFormatting>
  <conditionalFormatting sqref="I156">
    <cfRule type="cellIs" dxfId="1156" priority="285" stopIfTrue="1" operator="greaterThan">
      <formula>$H$156</formula>
    </cfRule>
  </conditionalFormatting>
  <conditionalFormatting sqref="I156">
    <cfRule type="cellIs" dxfId="1155" priority="286" stopIfTrue="1" operator="lessThan">
      <formula>$H$156*(-1)</formula>
    </cfRule>
  </conditionalFormatting>
  <conditionalFormatting sqref="I157">
    <cfRule type="cellIs" dxfId="1154" priority="287" stopIfTrue="1" operator="greaterThan">
      <formula>$H$157</formula>
    </cfRule>
  </conditionalFormatting>
  <conditionalFormatting sqref="I157">
    <cfRule type="cellIs" dxfId="1153" priority="288" stopIfTrue="1" operator="lessThan">
      <formula>$H$157*(-1)</formula>
    </cfRule>
  </conditionalFormatting>
  <conditionalFormatting sqref="I158">
    <cfRule type="cellIs" dxfId="1152" priority="289" stopIfTrue="1" operator="greaterThan">
      <formula>$H$158</formula>
    </cfRule>
  </conditionalFormatting>
  <conditionalFormatting sqref="I158">
    <cfRule type="cellIs" dxfId="1151" priority="290" stopIfTrue="1" operator="lessThan">
      <formula>$H$158*(-1)</formula>
    </cfRule>
  </conditionalFormatting>
  <conditionalFormatting sqref="I159">
    <cfRule type="cellIs" dxfId="1150" priority="291" stopIfTrue="1" operator="greaterThan">
      <formula>$H$159</formula>
    </cfRule>
  </conditionalFormatting>
  <conditionalFormatting sqref="I159">
    <cfRule type="cellIs" dxfId="1149" priority="292" stopIfTrue="1" operator="lessThan">
      <formula>$H$159*(-1)</formula>
    </cfRule>
  </conditionalFormatting>
  <conditionalFormatting sqref="I160">
    <cfRule type="cellIs" dxfId="1148" priority="293" stopIfTrue="1" operator="greaterThan">
      <formula>$H$160</formula>
    </cfRule>
  </conditionalFormatting>
  <conditionalFormatting sqref="I160">
    <cfRule type="cellIs" dxfId="1147" priority="294" stopIfTrue="1" operator="lessThan">
      <formula>$H$160*(-1)</formula>
    </cfRule>
  </conditionalFormatting>
  <conditionalFormatting sqref="I161">
    <cfRule type="cellIs" dxfId="1146" priority="295" stopIfTrue="1" operator="greaterThan">
      <formula>$H$161</formula>
    </cfRule>
  </conditionalFormatting>
  <conditionalFormatting sqref="I161">
    <cfRule type="cellIs" dxfId="1145" priority="296" stopIfTrue="1" operator="lessThan">
      <formula>$H$161*(-1)</formula>
    </cfRule>
  </conditionalFormatting>
  <conditionalFormatting sqref="I162">
    <cfRule type="cellIs" dxfId="1144" priority="297" stopIfTrue="1" operator="greaterThan">
      <formula>$H$162</formula>
    </cfRule>
  </conditionalFormatting>
  <conditionalFormatting sqref="I162">
    <cfRule type="cellIs" dxfId="1143" priority="298" stopIfTrue="1" operator="lessThan">
      <formula>$H$162*(-1)</formula>
    </cfRule>
  </conditionalFormatting>
  <conditionalFormatting sqref="I163">
    <cfRule type="cellIs" dxfId="1142" priority="299" stopIfTrue="1" operator="greaterThan">
      <formula>$H$163</formula>
    </cfRule>
  </conditionalFormatting>
  <conditionalFormatting sqref="I163">
    <cfRule type="cellIs" dxfId="1141" priority="300" stopIfTrue="1" operator="lessThan">
      <formula>$H$163*(-1)</formula>
    </cfRule>
  </conditionalFormatting>
  <conditionalFormatting sqref="I164">
    <cfRule type="cellIs" dxfId="1140" priority="301" stopIfTrue="1" operator="greaterThan">
      <formula>$H$164</formula>
    </cfRule>
  </conditionalFormatting>
  <conditionalFormatting sqref="I164">
    <cfRule type="cellIs" dxfId="1139" priority="302" stopIfTrue="1" operator="lessThan">
      <formula>$H$164*(-1)</formula>
    </cfRule>
  </conditionalFormatting>
  <conditionalFormatting sqref="I165">
    <cfRule type="cellIs" dxfId="1138" priority="303" stopIfTrue="1" operator="greaterThan">
      <formula>$H$165</formula>
    </cfRule>
  </conditionalFormatting>
  <conditionalFormatting sqref="I165">
    <cfRule type="cellIs" dxfId="1137" priority="304" stopIfTrue="1" operator="lessThan">
      <formula>$H$165*(-1)</formula>
    </cfRule>
  </conditionalFormatting>
  <conditionalFormatting sqref="I166">
    <cfRule type="cellIs" dxfId="1136" priority="305" stopIfTrue="1" operator="greaterThan">
      <formula>$H$166</formula>
    </cfRule>
  </conditionalFormatting>
  <conditionalFormatting sqref="I166">
    <cfRule type="cellIs" dxfId="1135" priority="306" stopIfTrue="1" operator="lessThan">
      <formula>$H$166*(-1)</formula>
    </cfRule>
  </conditionalFormatting>
  <conditionalFormatting sqref="I167">
    <cfRule type="cellIs" dxfId="1134" priority="307" stopIfTrue="1" operator="greaterThan">
      <formula>$H$167</formula>
    </cfRule>
  </conditionalFormatting>
  <conditionalFormatting sqref="I167">
    <cfRule type="cellIs" dxfId="1133" priority="308" stopIfTrue="1" operator="lessThan">
      <formula>$H$167*(-1)</formula>
    </cfRule>
  </conditionalFormatting>
  <conditionalFormatting sqref="I168">
    <cfRule type="cellIs" dxfId="1132" priority="309" stopIfTrue="1" operator="greaterThan">
      <formula>$H$168</formula>
    </cfRule>
  </conditionalFormatting>
  <conditionalFormatting sqref="I168">
    <cfRule type="cellIs" dxfId="1131" priority="310" stopIfTrue="1" operator="lessThan">
      <formula>$H$168*(-1)</formula>
    </cfRule>
  </conditionalFormatting>
  <conditionalFormatting sqref="I169">
    <cfRule type="cellIs" dxfId="1130" priority="311" stopIfTrue="1" operator="greaterThan">
      <formula>$H$169</formula>
    </cfRule>
  </conditionalFormatting>
  <conditionalFormatting sqref="I169">
    <cfRule type="cellIs" dxfId="1129" priority="312" stopIfTrue="1" operator="lessThan">
      <formula>$H$169*(-1)</formula>
    </cfRule>
  </conditionalFormatting>
  <conditionalFormatting sqref="I170">
    <cfRule type="cellIs" dxfId="1128" priority="313" stopIfTrue="1" operator="greaterThan">
      <formula>$H$170</formula>
    </cfRule>
  </conditionalFormatting>
  <conditionalFormatting sqref="I170">
    <cfRule type="cellIs" dxfId="1127" priority="314" stopIfTrue="1" operator="lessThan">
      <formula>$H$170*(-1)</formula>
    </cfRule>
  </conditionalFormatting>
  <conditionalFormatting sqref="I171">
    <cfRule type="cellIs" dxfId="1126" priority="315" stopIfTrue="1" operator="greaterThan">
      <formula>$H$171</formula>
    </cfRule>
  </conditionalFormatting>
  <conditionalFormatting sqref="I171">
    <cfRule type="cellIs" dxfId="1125" priority="316" stopIfTrue="1" operator="lessThan">
      <formula>$H$171*(-1)</formula>
    </cfRule>
  </conditionalFormatting>
  <conditionalFormatting sqref="I172">
    <cfRule type="cellIs" dxfId="1124" priority="317" stopIfTrue="1" operator="greaterThan">
      <formula>$H$172</formula>
    </cfRule>
  </conditionalFormatting>
  <conditionalFormatting sqref="I172">
    <cfRule type="cellIs" dxfId="1123" priority="318" stopIfTrue="1" operator="lessThan">
      <formula>$H$172*(-1)</formula>
    </cfRule>
  </conditionalFormatting>
  <conditionalFormatting sqref="I173">
    <cfRule type="cellIs" dxfId="1122" priority="319" stopIfTrue="1" operator="greaterThan">
      <formula>$H$173</formula>
    </cfRule>
  </conditionalFormatting>
  <conditionalFormatting sqref="I173">
    <cfRule type="cellIs" dxfId="1121" priority="320" stopIfTrue="1" operator="lessThan">
      <formula>$H$173*(-1)</formula>
    </cfRule>
  </conditionalFormatting>
  <conditionalFormatting sqref="I174">
    <cfRule type="cellIs" dxfId="1120" priority="321" stopIfTrue="1" operator="greaterThan">
      <formula>$H$174</formula>
    </cfRule>
  </conditionalFormatting>
  <conditionalFormatting sqref="I174">
    <cfRule type="cellIs" dxfId="1119" priority="322" stopIfTrue="1" operator="lessThan">
      <formula>$H$174*(-1)</formula>
    </cfRule>
  </conditionalFormatting>
  <conditionalFormatting sqref="I175">
    <cfRule type="cellIs" dxfId="1118" priority="323" stopIfTrue="1" operator="greaterThan">
      <formula>$H$175</formula>
    </cfRule>
  </conditionalFormatting>
  <conditionalFormatting sqref="I175">
    <cfRule type="cellIs" dxfId="1117" priority="324" stopIfTrue="1" operator="lessThan">
      <formula>$H$175*(-1)</formula>
    </cfRule>
  </conditionalFormatting>
  <conditionalFormatting sqref="I176">
    <cfRule type="cellIs" dxfId="1116" priority="325" stopIfTrue="1" operator="greaterThan">
      <formula>$H$176</formula>
    </cfRule>
  </conditionalFormatting>
  <conditionalFormatting sqref="I176">
    <cfRule type="cellIs" dxfId="1115" priority="326" stopIfTrue="1" operator="lessThan">
      <formula>$H$176*(-1)</formula>
    </cfRule>
  </conditionalFormatting>
  <conditionalFormatting sqref="I177">
    <cfRule type="cellIs" dxfId="1114" priority="327" stopIfTrue="1" operator="greaterThan">
      <formula>$H$177</formula>
    </cfRule>
  </conditionalFormatting>
  <conditionalFormatting sqref="I177">
    <cfRule type="cellIs" dxfId="1113" priority="328" stopIfTrue="1" operator="lessThan">
      <formula>$H$177*(-1)</formula>
    </cfRule>
  </conditionalFormatting>
  <conditionalFormatting sqref="I178">
    <cfRule type="cellIs" dxfId="1112" priority="329" stopIfTrue="1" operator="greaterThan">
      <formula>$H$178</formula>
    </cfRule>
  </conditionalFormatting>
  <conditionalFormatting sqref="I178">
    <cfRule type="cellIs" dxfId="1111" priority="330" stopIfTrue="1" operator="lessThan">
      <formula>$H$178*(-1)</formula>
    </cfRule>
  </conditionalFormatting>
  <conditionalFormatting sqref="I179">
    <cfRule type="cellIs" dxfId="1110" priority="331" stopIfTrue="1" operator="greaterThan">
      <formula>$H$179</formula>
    </cfRule>
  </conditionalFormatting>
  <conditionalFormatting sqref="I179">
    <cfRule type="cellIs" dxfId="1109" priority="332" stopIfTrue="1" operator="lessThan">
      <formula>$H$179*(-1)</formula>
    </cfRule>
  </conditionalFormatting>
  <conditionalFormatting sqref="I180">
    <cfRule type="cellIs" dxfId="1108" priority="333" stopIfTrue="1" operator="greaterThan">
      <formula>$H$180</formula>
    </cfRule>
  </conditionalFormatting>
  <conditionalFormatting sqref="I180">
    <cfRule type="cellIs" dxfId="1107" priority="334" stopIfTrue="1" operator="lessThan">
      <formula>$H$180*(-1)</formula>
    </cfRule>
  </conditionalFormatting>
  <conditionalFormatting sqref="I181">
    <cfRule type="cellIs" dxfId="1106" priority="335" stopIfTrue="1" operator="greaterThan">
      <formula>$H$181</formula>
    </cfRule>
  </conditionalFormatting>
  <conditionalFormatting sqref="I181">
    <cfRule type="cellIs" dxfId="1105" priority="336" stopIfTrue="1" operator="lessThan">
      <formula>$H$181*(-1)</formula>
    </cfRule>
  </conditionalFormatting>
  <conditionalFormatting sqref="I182">
    <cfRule type="cellIs" dxfId="1104" priority="337" stopIfTrue="1" operator="greaterThan">
      <formula>$H$182</formula>
    </cfRule>
  </conditionalFormatting>
  <conditionalFormatting sqref="I182">
    <cfRule type="cellIs" dxfId="1103" priority="338" stopIfTrue="1" operator="lessThan">
      <formula>$H$182*(-1)</formula>
    </cfRule>
  </conditionalFormatting>
  <conditionalFormatting sqref="I183">
    <cfRule type="cellIs" dxfId="1102" priority="339" stopIfTrue="1" operator="greaterThan">
      <formula>$H$183</formula>
    </cfRule>
  </conditionalFormatting>
  <conditionalFormatting sqref="I183">
    <cfRule type="cellIs" dxfId="1101" priority="340" stopIfTrue="1" operator="lessThan">
      <formula>$H$183*(-1)</formula>
    </cfRule>
  </conditionalFormatting>
  <conditionalFormatting sqref="I184">
    <cfRule type="cellIs" dxfId="1100" priority="341" stopIfTrue="1" operator="greaterThan">
      <formula>$H$184</formula>
    </cfRule>
  </conditionalFormatting>
  <conditionalFormatting sqref="I184">
    <cfRule type="cellIs" dxfId="1099" priority="342" stopIfTrue="1" operator="lessThan">
      <formula>$H$184*(-1)</formula>
    </cfRule>
  </conditionalFormatting>
  <conditionalFormatting sqref="I185">
    <cfRule type="cellIs" dxfId="1098" priority="343" stopIfTrue="1" operator="greaterThan">
      <formula>$H$185</formula>
    </cfRule>
  </conditionalFormatting>
  <conditionalFormatting sqref="I185">
    <cfRule type="cellIs" dxfId="1097" priority="344" stopIfTrue="1" operator="lessThan">
      <formula>$H$185*(-1)</formula>
    </cfRule>
  </conditionalFormatting>
  <conditionalFormatting sqref="I186">
    <cfRule type="cellIs" dxfId="1096" priority="345" stopIfTrue="1" operator="greaterThan">
      <formula>$H$186</formula>
    </cfRule>
  </conditionalFormatting>
  <conditionalFormatting sqref="I186">
    <cfRule type="cellIs" dxfId="1095" priority="346" stopIfTrue="1" operator="lessThan">
      <formula>$H$186*(-1)</formula>
    </cfRule>
  </conditionalFormatting>
  <conditionalFormatting sqref="I187">
    <cfRule type="cellIs" dxfId="1094" priority="347" stopIfTrue="1" operator="greaterThan">
      <formula>$H$187</formula>
    </cfRule>
  </conditionalFormatting>
  <conditionalFormatting sqref="I187">
    <cfRule type="cellIs" dxfId="1093" priority="348" stopIfTrue="1" operator="lessThan">
      <formula>$H$187*(-1)</formula>
    </cfRule>
  </conditionalFormatting>
  <conditionalFormatting sqref="I188">
    <cfRule type="cellIs" dxfId="1092" priority="349" stopIfTrue="1" operator="greaterThan">
      <formula>$H$188</formula>
    </cfRule>
  </conditionalFormatting>
  <conditionalFormatting sqref="I188">
    <cfRule type="cellIs" dxfId="1091" priority="350" stopIfTrue="1" operator="lessThan">
      <formula>$H$188*(-1)</formula>
    </cfRule>
  </conditionalFormatting>
  <conditionalFormatting sqref="I189">
    <cfRule type="cellIs" dxfId="1090" priority="351" stopIfTrue="1" operator="greaterThan">
      <formula>$H$189</formula>
    </cfRule>
  </conditionalFormatting>
  <conditionalFormatting sqref="I189">
    <cfRule type="cellIs" dxfId="1089" priority="352" stopIfTrue="1" operator="lessThan">
      <formula>$H$189*(-1)</formula>
    </cfRule>
  </conditionalFormatting>
  <conditionalFormatting sqref="I190">
    <cfRule type="cellIs" dxfId="1088" priority="353" stopIfTrue="1" operator="greaterThan">
      <formula>$H$190</formula>
    </cfRule>
  </conditionalFormatting>
  <conditionalFormatting sqref="I190">
    <cfRule type="cellIs" dxfId="1087" priority="354" stopIfTrue="1" operator="lessThan">
      <formula>$H$190*(-1)</formula>
    </cfRule>
  </conditionalFormatting>
  <conditionalFormatting sqref="I191">
    <cfRule type="cellIs" dxfId="1086" priority="355" stopIfTrue="1" operator="greaterThan">
      <formula>$H$191</formula>
    </cfRule>
  </conditionalFormatting>
  <conditionalFormatting sqref="I191">
    <cfRule type="cellIs" dxfId="1085" priority="356" stopIfTrue="1" operator="lessThan">
      <formula>$H$191*(-1)</formula>
    </cfRule>
  </conditionalFormatting>
  <conditionalFormatting sqref="I192">
    <cfRule type="cellIs" dxfId="1084" priority="357" stopIfTrue="1" operator="greaterThan">
      <formula>$H$192</formula>
    </cfRule>
  </conditionalFormatting>
  <conditionalFormatting sqref="I192">
    <cfRule type="cellIs" dxfId="1083" priority="358" stopIfTrue="1" operator="lessThan">
      <formula>$H$192*(-1)</formula>
    </cfRule>
  </conditionalFormatting>
  <conditionalFormatting sqref="I193">
    <cfRule type="cellIs" dxfId="1082" priority="359" stopIfTrue="1" operator="greaterThan">
      <formula>$H$193</formula>
    </cfRule>
  </conditionalFormatting>
  <conditionalFormatting sqref="I193">
    <cfRule type="cellIs" dxfId="1081" priority="360" stopIfTrue="1" operator="lessThan">
      <formula>$H$193*(-1)</formula>
    </cfRule>
  </conditionalFormatting>
  <conditionalFormatting sqref="I194">
    <cfRule type="cellIs" dxfId="1080" priority="361" stopIfTrue="1" operator="greaterThan">
      <formula>$H$194</formula>
    </cfRule>
  </conditionalFormatting>
  <conditionalFormatting sqref="I194">
    <cfRule type="cellIs" dxfId="1079" priority="362" stopIfTrue="1" operator="lessThan">
      <formula>$H$194*(-1)</formula>
    </cfRule>
  </conditionalFormatting>
  <conditionalFormatting sqref="I195">
    <cfRule type="cellIs" dxfId="1078" priority="363" stopIfTrue="1" operator="greaterThan">
      <formula>$H$195</formula>
    </cfRule>
  </conditionalFormatting>
  <conditionalFormatting sqref="I195">
    <cfRule type="cellIs" dxfId="1077" priority="364" stopIfTrue="1" operator="lessThan">
      <formula>$H$195*(-1)</formula>
    </cfRule>
  </conditionalFormatting>
  <conditionalFormatting sqref="I196">
    <cfRule type="cellIs" dxfId="1076" priority="365" stopIfTrue="1" operator="greaterThan">
      <formula>$H$196</formula>
    </cfRule>
  </conditionalFormatting>
  <conditionalFormatting sqref="I196">
    <cfRule type="cellIs" dxfId="1075" priority="366" stopIfTrue="1" operator="lessThan">
      <formula>$H$196*(-1)</formula>
    </cfRule>
  </conditionalFormatting>
  <conditionalFormatting sqref="I197">
    <cfRule type="cellIs" dxfId="1074" priority="367" stopIfTrue="1" operator="greaterThan">
      <formula>$H$197</formula>
    </cfRule>
  </conditionalFormatting>
  <conditionalFormatting sqref="I197">
    <cfRule type="cellIs" dxfId="1073" priority="368" stopIfTrue="1" operator="lessThan">
      <formula>$H$197*(-1)</formula>
    </cfRule>
  </conditionalFormatting>
  <conditionalFormatting sqref="I198">
    <cfRule type="cellIs" dxfId="1072" priority="369" stopIfTrue="1" operator="greaterThan">
      <formula>$H$198</formula>
    </cfRule>
  </conditionalFormatting>
  <conditionalFormatting sqref="I198">
    <cfRule type="cellIs" dxfId="1071" priority="370" stopIfTrue="1" operator="lessThan">
      <formula>$H$198*(-1)</formula>
    </cfRule>
  </conditionalFormatting>
  <conditionalFormatting sqref="I199">
    <cfRule type="cellIs" dxfId="1070" priority="371" stopIfTrue="1" operator="greaterThan">
      <formula>$H$199</formula>
    </cfRule>
  </conditionalFormatting>
  <conditionalFormatting sqref="I199">
    <cfRule type="cellIs" dxfId="1069" priority="372" stopIfTrue="1" operator="lessThan">
      <formula>$H$199*(-1)</formula>
    </cfRule>
  </conditionalFormatting>
  <conditionalFormatting sqref="I200">
    <cfRule type="cellIs" dxfId="1068" priority="373" stopIfTrue="1" operator="greaterThan">
      <formula>$H$200</formula>
    </cfRule>
  </conditionalFormatting>
  <conditionalFormatting sqref="I200">
    <cfRule type="cellIs" dxfId="1067" priority="374" stopIfTrue="1" operator="lessThan">
      <formula>$H$200*(-1)</formula>
    </cfRule>
  </conditionalFormatting>
  <conditionalFormatting sqref="I201">
    <cfRule type="cellIs" dxfId="1066" priority="375" stopIfTrue="1" operator="greaterThan">
      <formula>$H$201</formula>
    </cfRule>
  </conditionalFormatting>
  <conditionalFormatting sqref="I201">
    <cfRule type="cellIs" dxfId="1065" priority="376" stopIfTrue="1" operator="lessThan">
      <formula>$H$201*(-1)</formula>
    </cfRule>
  </conditionalFormatting>
  <conditionalFormatting sqref="I202">
    <cfRule type="cellIs" dxfId="1064" priority="377" stopIfTrue="1" operator="greaterThan">
      <formula>$H$202</formula>
    </cfRule>
  </conditionalFormatting>
  <conditionalFormatting sqref="I202">
    <cfRule type="cellIs" dxfId="1063" priority="378" stopIfTrue="1" operator="lessThan">
      <formula>$H$202*(-1)</formula>
    </cfRule>
  </conditionalFormatting>
  <conditionalFormatting sqref="I203">
    <cfRule type="cellIs" dxfId="1062" priority="379" stopIfTrue="1" operator="greaterThan">
      <formula>$H$203</formula>
    </cfRule>
  </conditionalFormatting>
  <conditionalFormatting sqref="I203">
    <cfRule type="cellIs" dxfId="1061" priority="380" stopIfTrue="1" operator="lessThan">
      <formula>$H$203*(-1)</formula>
    </cfRule>
  </conditionalFormatting>
  <conditionalFormatting sqref="I204">
    <cfRule type="cellIs" dxfId="1060" priority="381" stopIfTrue="1" operator="greaterThan">
      <formula>$H$204</formula>
    </cfRule>
  </conditionalFormatting>
  <conditionalFormatting sqref="I204">
    <cfRule type="cellIs" dxfId="1059" priority="382" stopIfTrue="1" operator="lessThan">
      <formula>$H$204*(-1)</formula>
    </cfRule>
  </conditionalFormatting>
  <conditionalFormatting sqref="I205">
    <cfRule type="cellIs" dxfId="1058" priority="383" stopIfTrue="1" operator="greaterThan">
      <formula>$H$205</formula>
    </cfRule>
  </conditionalFormatting>
  <conditionalFormatting sqref="I205">
    <cfRule type="cellIs" dxfId="1057" priority="384" stopIfTrue="1" operator="lessThan">
      <formula>$H$205*(-1)</formula>
    </cfRule>
  </conditionalFormatting>
  <conditionalFormatting sqref="I206">
    <cfRule type="cellIs" dxfId="1056" priority="385" stopIfTrue="1" operator="greaterThan">
      <formula>$H$206</formula>
    </cfRule>
  </conditionalFormatting>
  <conditionalFormatting sqref="I206">
    <cfRule type="cellIs" dxfId="1055" priority="386" stopIfTrue="1" operator="lessThan">
      <formula>$H$206*(-1)</formula>
    </cfRule>
  </conditionalFormatting>
  <conditionalFormatting sqref="I207">
    <cfRule type="cellIs" dxfId="1054" priority="387" stopIfTrue="1" operator="greaterThan">
      <formula>$H$207</formula>
    </cfRule>
  </conditionalFormatting>
  <conditionalFormatting sqref="I207">
    <cfRule type="cellIs" dxfId="1053" priority="388" stopIfTrue="1" operator="lessThan">
      <formula>$H$207*(-1)</formula>
    </cfRule>
  </conditionalFormatting>
  <conditionalFormatting sqref="I208">
    <cfRule type="cellIs" dxfId="1052" priority="389" stopIfTrue="1" operator="greaterThan">
      <formula>$H$208</formula>
    </cfRule>
  </conditionalFormatting>
  <conditionalFormatting sqref="I208">
    <cfRule type="cellIs" dxfId="1051" priority="390" stopIfTrue="1" operator="lessThan">
      <formula>$H$208*(-1)</formula>
    </cfRule>
  </conditionalFormatting>
  <conditionalFormatting sqref="I209">
    <cfRule type="cellIs" dxfId="1050" priority="391" stopIfTrue="1" operator="greaterThan">
      <formula>$H$209</formula>
    </cfRule>
  </conditionalFormatting>
  <conditionalFormatting sqref="I209">
    <cfRule type="cellIs" dxfId="1049" priority="392" stopIfTrue="1" operator="lessThan">
      <formula>$H$209*(-1)</formula>
    </cfRule>
  </conditionalFormatting>
  <conditionalFormatting sqref="I210">
    <cfRule type="cellIs" dxfId="1048" priority="393" stopIfTrue="1" operator="greaterThan">
      <formula>$H$210</formula>
    </cfRule>
  </conditionalFormatting>
  <conditionalFormatting sqref="I210">
    <cfRule type="cellIs" dxfId="1047" priority="394" stopIfTrue="1" operator="lessThan">
      <formula>$H$210*(-1)</formula>
    </cfRule>
  </conditionalFormatting>
  <conditionalFormatting sqref="I211">
    <cfRule type="cellIs" dxfId="1046" priority="395" stopIfTrue="1" operator="greaterThan">
      <formula>$H$211</formula>
    </cfRule>
  </conditionalFormatting>
  <conditionalFormatting sqref="I211">
    <cfRule type="cellIs" dxfId="1045" priority="396" stopIfTrue="1" operator="lessThan">
      <formula>$H$211*(-1)</formula>
    </cfRule>
  </conditionalFormatting>
  <conditionalFormatting sqref="I212">
    <cfRule type="cellIs" dxfId="1044" priority="397" stopIfTrue="1" operator="greaterThan">
      <formula>$H$212</formula>
    </cfRule>
  </conditionalFormatting>
  <conditionalFormatting sqref="I212">
    <cfRule type="cellIs" dxfId="1043" priority="398" stopIfTrue="1" operator="lessThan">
      <formula>$H$212*(-1)</formula>
    </cfRule>
  </conditionalFormatting>
  <conditionalFormatting sqref="I213">
    <cfRule type="cellIs" dxfId="1042" priority="399" stopIfTrue="1" operator="greaterThan">
      <formula>$H$213</formula>
    </cfRule>
  </conditionalFormatting>
  <conditionalFormatting sqref="I213">
    <cfRule type="cellIs" dxfId="1041" priority="400" stopIfTrue="1" operator="lessThan">
      <formula>$H$213*(-1)</formula>
    </cfRule>
  </conditionalFormatting>
  <conditionalFormatting sqref="I214">
    <cfRule type="cellIs" dxfId="1040" priority="401" stopIfTrue="1" operator="greaterThan">
      <formula>$H$214</formula>
    </cfRule>
  </conditionalFormatting>
  <conditionalFormatting sqref="I214">
    <cfRule type="cellIs" dxfId="1039" priority="402" stopIfTrue="1" operator="lessThan">
      <formula>$H$214*(-1)</formula>
    </cfRule>
  </conditionalFormatting>
  <conditionalFormatting sqref="I215">
    <cfRule type="cellIs" dxfId="1038" priority="403" stopIfTrue="1" operator="greaterThan">
      <formula>$H$215</formula>
    </cfRule>
  </conditionalFormatting>
  <conditionalFormatting sqref="I215">
    <cfRule type="cellIs" dxfId="1037" priority="404" stopIfTrue="1" operator="lessThan">
      <formula>$H$215*(-1)</formula>
    </cfRule>
  </conditionalFormatting>
  <conditionalFormatting sqref="I216">
    <cfRule type="cellIs" dxfId="1036" priority="405" stopIfTrue="1" operator="greaterThan">
      <formula>$H$216</formula>
    </cfRule>
  </conditionalFormatting>
  <conditionalFormatting sqref="I216">
    <cfRule type="cellIs" dxfId="1035" priority="406" stopIfTrue="1" operator="lessThan">
      <formula>$H$216*(-1)</formula>
    </cfRule>
  </conditionalFormatting>
  <conditionalFormatting sqref="I217">
    <cfRule type="cellIs" dxfId="1034" priority="407" stopIfTrue="1" operator="greaterThan">
      <formula>$H$217</formula>
    </cfRule>
  </conditionalFormatting>
  <conditionalFormatting sqref="I217">
    <cfRule type="cellIs" dxfId="1033" priority="408" stopIfTrue="1" operator="lessThan">
      <formula>$H$217*(-1)</formula>
    </cfRule>
  </conditionalFormatting>
  <conditionalFormatting sqref="I218">
    <cfRule type="cellIs" dxfId="1032" priority="409" stopIfTrue="1" operator="greaterThan">
      <formula>$H$218</formula>
    </cfRule>
  </conditionalFormatting>
  <conditionalFormatting sqref="I218">
    <cfRule type="cellIs" dxfId="1031" priority="410" stopIfTrue="1" operator="lessThan">
      <formula>$H$218*(-1)</formula>
    </cfRule>
  </conditionalFormatting>
  <conditionalFormatting sqref="I219">
    <cfRule type="cellIs" dxfId="1030" priority="411" stopIfTrue="1" operator="greaterThan">
      <formula>$H$219</formula>
    </cfRule>
  </conditionalFormatting>
  <conditionalFormatting sqref="I219">
    <cfRule type="cellIs" dxfId="1029" priority="412" stopIfTrue="1" operator="lessThan">
      <formula>$H$219*(-1)</formula>
    </cfRule>
  </conditionalFormatting>
  <conditionalFormatting sqref="I220">
    <cfRule type="cellIs" dxfId="1028" priority="413" stopIfTrue="1" operator="greaterThan">
      <formula>$H$220</formula>
    </cfRule>
  </conditionalFormatting>
  <conditionalFormatting sqref="I220">
    <cfRule type="cellIs" dxfId="1027" priority="414" stopIfTrue="1" operator="lessThan">
      <formula>$H$220*(-1)</formula>
    </cfRule>
  </conditionalFormatting>
  <conditionalFormatting sqref="I221">
    <cfRule type="cellIs" dxfId="1026" priority="415" stopIfTrue="1" operator="greaterThan">
      <formula>$H$221</formula>
    </cfRule>
  </conditionalFormatting>
  <conditionalFormatting sqref="I221">
    <cfRule type="cellIs" dxfId="1025" priority="416" stopIfTrue="1" operator="lessThan">
      <formula>$H$221*(-1)</formula>
    </cfRule>
  </conditionalFormatting>
  <conditionalFormatting sqref="I222">
    <cfRule type="cellIs" dxfId="1024" priority="417" stopIfTrue="1" operator="greaterThan">
      <formula>$H$222</formula>
    </cfRule>
  </conditionalFormatting>
  <conditionalFormatting sqref="I222">
    <cfRule type="cellIs" dxfId="1023" priority="418" stopIfTrue="1" operator="lessThan">
      <formula>$H$222*(-1)</formula>
    </cfRule>
  </conditionalFormatting>
  <conditionalFormatting sqref="I223">
    <cfRule type="cellIs" dxfId="1022" priority="419" stopIfTrue="1" operator="greaterThan">
      <formula>$H$223</formula>
    </cfRule>
  </conditionalFormatting>
  <conditionalFormatting sqref="I223">
    <cfRule type="cellIs" dxfId="1021" priority="420" stopIfTrue="1" operator="lessThan">
      <formula>$H$223*(-1)</formula>
    </cfRule>
  </conditionalFormatting>
  <conditionalFormatting sqref="I224">
    <cfRule type="cellIs" dxfId="1020" priority="421" stopIfTrue="1" operator="greaterThan">
      <formula>$H$224</formula>
    </cfRule>
  </conditionalFormatting>
  <conditionalFormatting sqref="I224">
    <cfRule type="cellIs" dxfId="1019" priority="422" stopIfTrue="1" operator="lessThan">
      <formula>$H$224*(-1)</formula>
    </cfRule>
  </conditionalFormatting>
  <conditionalFormatting sqref="I225">
    <cfRule type="cellIs" dxfId="1018" priority="423" stopIfTrue="1" operator="greaterThan">
      <formula>$H$225</formula>
    </cfRule>
  </conditionalFormatting>
  <conditionalFormatting sqref="I225">
    <cfRule type="cellIs" dxfId="1017" priority="424" stopIfTrue="1" operator="lessThan">
      <formula>$H$225*(-1)</formula>
    </cfRule>
  </conditionalFormatting>
  <conditionalFormatting sqref="I226">
    <cfRule type="cellIs" dxfId="1016" priority="425" stopIfTrue="1" operator="greaterThan">
      <formula>$H$226</formula>
    </cfRule>
  </conditionalFormatting>
  <conditionalFormatting sqref="I226">
    <cfRule type="cellIs" dxfId="1015" priority="426" stopIfTrue="1" operator="lessThan">
      <formula>$H$226*(-1)</formula>
    </cfRule>
  </conditionalFormatting>
  <conditionalFormatting sqref="I227">
    <cfRule type="cellIs" dxfId="1014" priority="427" stopIfTrue="1" operator="greaterThan">
      <formula>$H$227</formula>
    </cfRule>
  </conditionalFormatting>
  <conditionalFormatting sqref="I227">
    <cfRule type="cellIs" dxfId="1013" priority="428" stopIfTrue="1" operator="lessThan">
      <formula>$H$227*(-1)</formula>
    </cfRule>
  </conditionalFormatting>
  <conditionalFormatting sqref="I228">
    <cfRule type="cellIs" dxfId="1012" priority="429" stopIfTrue="1" operator="greaterThan">
      <formula>$H$228</formula>
    </cfRule>
  </conditionalFormatting>
  <conditionalFormatting sqref="I228">
    <cfRule type="cellIs" dxfId="1011" priority="430" stopIfTrue="1" operator="lessThan">
      <formula>$H$228*(-1)</formula>
    </cfRule>
  </conditionalFormatting>
  <conditionalFormatting sqref="I229">
    <cfRule type="cellIs" dxfId="1010" priority="431" stopIfTrue="1" operator="greaterThan">
      <formula>$H$229</formula>
    </cfRule>
  </conditionalFormatting>
  <conditionalFormatting sqref="I229">
    <cfRule type="cellIs" dxfId="1009" priority="432" stopIfTrue="1" operator="lessThan">
      <formula>$H$229*(-1)</formula>
    </cfRule>
  </conditionalFormatting>
  <conditionalFormatting sqref="I230">
    <cfRule type="cellIs" dxfId="1008" priority="433" stopIfTrue="1" operator="greaterThan">
      <formula>$H$230</formula>
    </cfRule>
  </conditionalFormatting>
  <conditionalFormatting sqref="I230">
    <cfRule type="cellIs" dxfId="1007" priority="434" stopIfTrue="1" operator="lessThan">
      <formula>$H$230*(-1)</formula>
    </cfRule>
  </conditionalFormatting>
  <conditionalFormatting sqref="I231">
    <cfRule type="cellIs" dxfId="1006" priority="435" stopIfTrue="1" operator="greaterThan">
      <formula>$H$231</formula>
    </cfRule>
  </conditionalFormatting>
  <conditionalFormatting sqref="I231">
    <cfRule type="cellIs" dxfId="1005" priority="436" stopIfTrue="1" operator="lessThan">
      <formula>$H$231*(-1)</formula>
    </cfRule>
  </conditionalFormatting>
  <conditionalFormatting sqref="I232">
    <cfRule type="cellIs" dxfId="1004" priority="437" stopIfTrue="1" operator="greaterThan">
      <formula>$H$232</formula>
    </cfRule>
  </conditionalFormatting>
  <conditionalFormatting sqref="I232">
    <cfRule type="cellIs" dxfId="1003" priority="438" stopIfTrue="1" operator="lessThan">
      <formula>$H$232*(-1)</formula>
    </cfRule>
  </conditionalFormatting>
  <conditionalFormatting sqref="I233">
    <cfRule type="cellIs" dxfId="1002" priority="439" stopIfTrue="1" operator="greaterThan">
      <formula>$H$233</formula>
    </cfRule>
  </conditionalFormatting>
  <conditionalFormatting sqref="I233">
    <cfRule type="cellIs" dxfId="1001" priority="440" stopIfTrue="1" operator="lessThan">
      <formula>$H$233*(-1)</formula>
    </cfRule>
  </conditionalFormatting>
  <conditionalFormatting sqref="I234">
    <cfRule type="cellIs" dxfId="1000" priority="441" stopIfTrue="1" operator="greaterThan">
      <formula>$H$234</formula>
    </cfRule>
  </conditionalFormatting>
  <conditionalFormatting sqref="I234">
    <cfRule type="cellIs" dxfId="999" priority="442" stopIfTrue="1" operator="lessThan">
      <formula>$H$234*(-1)</formula>
    </cfRule>
  </conditionalFormatting>
  <conditionalFormatting sqref="I235">
    <cfRule type="cellIs" dxfId="998" priority="443" stopIfTrue="1" operator="greaterThan">
      <formula>$H$235</formula>
    </cfRule>
  </conditionalFormatting>
  <conditionalFormatting sqref="I235">
    <cfRule type="cellIs" dxfId="997" priority="444" stopIfTrue="1" operator="lessThan">
      <formula>$H$235*(-1)</formula>
    </cfRule>
  </conditionalFormatting>
  <conditionalFormatting sqref="I236">
    <cfRule type="cellIs" dxfId="996" priority="445" stopIfTrue="1" operator="greaterThan">
      <formula>$H$236</formula>
    </cfRule>
  </conditionalFormatting>
  <conditionalFormatting sqref="I236">
    <cfRule type="cellIs" dxfId="995" priority="446" stopIfTrue="1" operator="lessThan">
      <formula>$H$236*(-1)</formula>
    </cfRule>
  </conditionalFormatting>
  <conditionalFormatting sqref="I237">
    <cfRule type="cellIs" dxfId="994" priority="447" stopIfTrue="1" operator="greaterThan">
      <formula>$H$237</formula>
    </cfRule>
  </conditionalFormatting>
  <conditionalFormatting sqref="I237">
    <cfRule type="cellIs" dxfId="993" priority="448" stopIfTrue="1" operator="lessThan">
      <formula>$H$237*(-1)</formula>
    </cfRule>
  </conditionalFormatting>
  <conditionalFormatting sqref="I238">
    <cfRule type="cellIs" dxfId="992" priority="449" stopIfTrue="1" operator="greaterThan">
      <formula>$H$238</formula>
    </cfRule>
  </conditionalFormatting>
  <conditionalFormatting sqref="I238">
    <cfRule type="cellIs" dxfId="991" priority="450" stopIfTrue="1" operator="lessThan">
      <formula>$H$238*(-1)</formula>
    </cfRule>
  </conditionalFormatting>
  <conditionalFormatting sqref="I239">
    <cfRule type="cellIs" dxfId="990" priority="451" stopIfTrue="1" operator="greaterThan">
      <formula>$H$239</formula>
    </cfRule>
  </conditionalFormatting>
  <conditionalFormatting sqref="I239">
    <cfRule type="cellIs" dxfId="989" priority="452" stopIfTrue="1" operator="lessThan">
      <formula>$H$239*(-1)</formula>
    </cfRule>
  </conditionalFormatting>
  <conditionalFormatting sqref="I240">
    <cfRule type="cellIs" dxfId="988" priority="453" stopIfTrue="1" operator="greaterThan">
      <formula>$H$240</formula>
    </cfRule>
  </conditionalFormatting>
  <conditionalFormatting sqref="I240">
    <cfRule type="cellIs" dxfId="987" priority="454" stopIfTrue="1" operator="lessThan">
      <formula>$H$240*(-1)</formula>
    </cfRule>
  </conditionalFormatting>
  <conditionalFormatting sqref="I241">
    <cfRule type="cellIs" dxfId="986" priority="455" stopIfTrue="1" operator="greaterThan">
      <formula>$H$241</formula>
    </cfRule>
  </conditionalFormatting>
  <conditionalFormatting sqref="I241">
    <cfRule type="cellIs" dxfId="985" priority="456" stopIfTrue="1" operator="lessThan">
      <formula>$H$241*(-1)</formula>
    </cfRule>
  </conditionalFormatting>
  <conditionalFormatting sqref="I242">
    <cfRule type="cellIs" dxfId="984" priority="457" stopIfTrue="1" operator="greaterThan">
      <formula>$H$242</formula>
    </cfRule>
  </conditionalFormatting>
  <conditionalFormatting sqref="I242">
    <cfRule type="cellIs" dxfId="983" priority="458" stopIfTrue="1" operator="lessThan">
      <formula>$H$242*(-1)</formula>
    </cfRule>
  </conditionalFormatting>
  <conditionalFormatting sqref="I243">
    <cfRule type="cellIs" dxfId="982" priority="459" stopIfTrue="1" operator="greaterThan">
      <formula>$H$243</formula>
    </cfRule>
  </conditionalFormatting>
  <conditionalFormatting sqref="I243">
    <cfRule type="cellIs" dxfId="981" priority="460" stopIfTrue="1" operator="lessThan">
      <formula>$H$243*(-1)</formula>
    </cfRule>
  </conditionalFormatting>
  <conditionalFormatting sqref="I244">
    <cfRule type="cellIs" dxfId="980" priority="461" stopIfTrue="1" operator="greaterThan">
      <formula>$H$244</formula>
    </cfRule>
  </conditionalFormatting>
  <conditionalFormatting sqref="I244">
    <cfRule type="cellIs" dxfId="979" priority="462" stopIfTrue="1" operator="lessThan">
      <formula>$H$244*(-1)</formula>
    </cfRule>
  </conditionalFormatting>
  <conditionalFormatting sqref="I245">
    <cfRule type="cellIs" dxfId="978" priority="463" stopIfTrue="1" operator="greaterThan">
      <formula>$H$245</formula>
    </cfRule>
  </conditionalFormatting>
  <conditionalFormatting sqref="I245">
    <cfRule type="cellIs" dxfId="977" priority="464" stopIfTrue="1" operator="lessThan">
      <formula>$H$245*(-1)</formula>
    </cfRule>
  </conditionalFormatting>
  <conditionalFormatting sqref="I246">
    <cfRule type="cellIs" dxfId="976" priority="465" stopIfTrue="1" operator="greaterThan">
      <formula>$H$246</formula>
    </cfRule>
  </conditionalFormatting>
  <conditionalFormatting sqref="I246">
    <cfRule type="cellIs" dxfId="975" priority="466" stopIfTrue="1" operator="lessThan">
      <formula>$H$246*(-1)</formula>
    </cfRule>
  </conditionalFormatting>
  <conditionalFormatting sqref="I247">
    <cfRule type="cellIs" dxfId="974" priority="467" stopIfTrue="1" operator="greaterThan">
      <formula>$H$247</formula>
    </cfRule>
  </conditionalFormatting>
  <conditionalFormatting sqref="I247">
    <cfRule type="cellIs" dxfId="973" priority="468" stopIfTrue="1" operator="lessThan">
      <formula>$H$247*(-1)</formula>
    </cfRule>
  </conditionalFormatting>
  <conditionalFormatting sqref="I248">
    <cfRule type="cellIs" dxfId="972" priority="469" stopIfTrue="1" operator="greaterThan">
      <formula>$H$248</formula>
    </cfRule>
  </conditionalFormatting>
  <conditionalFormatting sqref="I248">
    <cfRule type="cellIs" dxfId="971" priority="470" stopIfTrue="1" operator="lessThan">
      <formula>$H$248*(-1)</formula>
    </cfRule>
  </conditionalFormatting>
  <conditionalFormatting sqref="I249">
    <cfRule type="cellIs" dxfId="970" priority="471" stopIfTrue="1" operator="greaterThan">
      <formula>$H$249</formula>
    </cfRule>
  </conditionalFormatting>
  <conditionalFormatting sqref="I249">
    <cfRule type="cellIs" dxfId="969" priority="472" stopIfTrue="1" operator="lessThan">
      <formula>$H$249*(-1)</formula>
    </cfRule>
  </conditionalFormatting>
  <conditionalFormatting sqref="I250">
    <cfRule type="cellIs" dxfId="968" priority="473" stopIfTrue="1" operator="greaterThan">
      <formula>$H$250</formula>
    </cfRule>
  </conditionalFormatting>
  <conditionalFormatting sqref="I250">
    <cfRule type="cellIs" dxfId="967" priority="474" stopIfTrue="1" operator="lessThan">
      <formula>$H$250*(-1)</formula>
    </cfRule>
  </conditionalFormatting>
  <conditionalFormatting sqref="I251">
    <cfRule type="cellIs" dxfId="966" priority="475" stopIfTrue="1" operator="greaterThan">
      <formula>$H$251</formula>
    </cfRule>
  </conditionalFormatting>
  <conditionalFormatting sqref="I251">
    <cfRule type="cellIs" dxfId="965" priority="476" stopIfTrue="1" operator="lessThan">
      <formula>$H$251*(-1)</formula>
    </cfRule>
  </conditionalFormatting>
  <conditionalFormatting sqref="I252">
    <cfRule type="cellIs" dxfId="964" priority="477" stopIfTrue="1" operator="greaterThan">
      <formula>$H$252</formula>
    </cfRule>
  </conditionalFormatting>
  <conditionalFormatting sqref="I252">
    <cfRule type="cellIs" dxfId="963" priority="478" stopIfTrue="1" operator="lessThan">
      <formula>$H$252*(-1)</formula>
    </cfRule>
  </conditionalFormatting>
  <conditionalFormatting sqref="I253">
    <cfRule type="cellIs" dxfId="962" priority="479" stopIfTrue="1" operator="greaterThan">
      <formula>$H$253</formula>
    </cfRule>
  </conditionalFormatting>
  <conditionalFormatting sqref="I253">
    <cfRule type="cellIs" dxfId="961" priority="480" stopIfTrue="1" operator="lessThan">
      <formula>$H$253*(-1)</formula>
    </cfRule>
  </conditionalFormatting>
  <conditionalFormatting sqref="I254">
    <cfRule type="cellIs" dxfId="960" priority="481" stopIfTrue="1" operator="greaterThan">
      <formula>$H$254</formula>
    </cfRule>
  </conditionalFormatting>
  <conditionalFormatting sqref="I254">
    <cfRule type="cellIs" dxfId="959" priority="482" stopIfTrue="1" operator="lessThan">
      <formula>$H$254*(-1)</formula>
    </cfRule>
  </conditionalFormatting>
  <conditionalFormatting sqref="I255">
    <cfRule type="cellIs" dxfId="958" priority="483" stopIfTrue="1" operator="greaterThan">
      <formula>$H$255</formula>
    </cfRule>
  </conditionalFormatting>
  <conditionalFormatting sqref="I255">
    <cfRule type="cellIs" dxfId="957" priority="484" stopIfTrue="1" operator="lessThan">
      <formula>$H$255*(-1)</formula>
    </cfRule>
  </conditionalFormatting>
  <conditionalFormatting sqref="I256">
    <cfRule type="cellIs" dxfId="956" priority="485" stopIfTrue="1" operator="greaterThan">
      <formula>$H$256</formula>
    </cfRule>
  </conditionalFormatting>
  <conditionalFormatting sqref="I256">
    <cfRule type="cellIs" dxfId="955" priority="486" stopIfTrue="1" operator="lessThan">
      <formula>$H$256*(-1)</formula>
    </cfRule>
  </conditionalFormatting>
  <conditionalFormatting sqref="I257">
    <cfRule type="cellIs" dxfId="954" priority="487" stopIfTrue="1" operator="greaterThan">
      <formula>$H$257</formula>
    </cfRule>
  </conditionalFormatting>
  <conditionalFormatting sqref="I257">
    <cfRule type="cellIs" dxfId="953" priority="488" stopIfTrue="1" operator="lessThan">
      <formula>$H$257*(-1)</formula>
    </cfRule>
  </conditionalFormatting>
  <conditionalFormatting sqref="I258">
    <cfRule type="cellIs" dxfId="952" priority="489" stopIfTrue="1" operator="greaterThan">
      <formula>$H$258</formula>
    </cfRule>
  </conditionalFormatting>
  <conditionalFormatting sqref="I258">
    <cfRule type="cellIs" dxfId="951" priority="490" stopIfTrue="1" operator="lessThan">
      <formula>$H$258*(-1)</formula>
    </cfRule>
  </conditionalFormatting>
  <conditionalFormatting sqref="I259">
    <cfRule type="cellIs" dxfId="950" priority="491" stopIfTrue="1" operator="greaterThan">
      <formula>$H$259</formula>
    </cfRule>
  </conditionalFormatting>
  <conditionalFormatting sqref="I259">
    <cfRule type="cellIs" dxfId="949" priority="492" stopIfTrue="1" operator="lessThan">
      <formula>$H$259*(-1)</formula>
    </cfRule>
  </conditionalFormatting>
  <conditionalFormatting sqref="I260">
    <cfRule type="cellIs" dxfId="948" priority="493" stopIfTrue="1" operator="greaterThan">
      <formula>$H$260</formula>
    </cfRule>
  </conditionalFormatting>
  <conditionalFormatting sqref="I260">
    <cfRule type="cellIs" dxfId="947" priority="494" stopIfTrue="1" operator="lessThan">
      <formula>$H$260*(-1)</formula>
    </cfRule>
  </conditionalFormatting>
  <conditionalFormatting sqref="I261">
    <cfRule type="cellIs" dxfId="946" priority="495" stopIfTrue="1" operator="greaterThan">
      <formula>$H$261</formula>
    </cfRule>
  </conditionalFormatting>
  <conditionalFormatting sqref="I261">
    <cfRule type="cellIs" dxfId="945" priority="496" stopIfTrue="1" operator="lessThan">
      <formula>$H$261*(-1)</formula>
    </cfRule>
  </conditionalFormatting>
  <conditionalFormatting sqref="I262">
    <cfRule type="cellIs" dxfId="944" priority="497" stopIfTrue="1" operator="greaterThan">
      <formula>$H$262</formula>
    </cfRule>
  </conditionalFormatting>
  <conditionalFormatting sqref="I262">
    <cfRule type="cellIs" dxfId="943" priority="498" stopIfTrue="1" operator="lessThan">
      <formula>$H$262*(-1)</formula>
    </cfRule>
  </conditionalFormatting>
  <conditionalFormatting sqref="I263">
    <cfRule type="cellIs" dxfId="942" priority="499" stopIfTrue="1" operator="greaterThan">
      <formula>$H$263</formula>
    </cfRule>
  </conditionalFormatting>
  <conditionalFormatting sqref="I263">
    <cfRule type="cellIs" dxfId="941" priority="500" stopIfTrue="1" operator="lessThan">
      <formula>$H$263*(-1)</formula>
    </cfRule>
  </conditionalFormatting>
  <conditionalFormatting sqref="I264">
    <cfRule type="cellIs" dxfId="940" priority="501" stopIfTrue="1" operator="greaterThan">
      <formula>$H$264</formula>
    </cfRule>
  </conditionalFormatting>
  <conditionalFormatting sqref="I264">
    <cfRule type="cellIs" dxfId="939" priority="502" stopIfTrue="1" operator="lessThan">
      <formula>$H$264*(-1)</formula>
    </cfRule>
  </conditionalFormatting>
  <conditionalFormatting sqref="I265">
    <cfRule type="cellIs" dxfId="938" priority="503" stopIfTrue="1" operator="greaterThan">
      <formula>$H$265</formula>
    </cfRule>
  </conditionalFormatting>
  <conditionalFormatting sqref="I265">
    <cfRule type="cellIs" dxfId="937" priority="504" stopIfTrue="1" operator="lessThan">
      <formula>$H$265*(-1)</formula>
    </cfRule>
  </conditionalFormatting>
  <conditionalFormatting sqref="I266">
    <cfRule type="cellIs" dxfId="936" priority="505" stopIfTrue="1" operator="greaterThan">
      <formula>$H$266</formula>
    </cfRule>
  </conditionalFormatting>
  <conditionalFormatting sqref="I266">
    <cfRule type="cellIs" dxfId="935" priority="506" stopIfTrue="1" operator="lessThan">
      <formula>$H$266*(-1)</formula>
    </cfRule>
  </conditionalFormatting>
  <conditionalFormatting sqref="I267">
    <cfRule type="cellIs" dxfId="934" priority="507" stopIfTrue="1" operator="greaterThan">
      <formula>$H$267</formula>
    </cfRule>
  </conditionalFormatting>
  <conditionalFormatting sqref="I267">
    <cfRule type="cellIs" dxfId="933" priority="508" stopIfTrue="1" operator="lessThan">
      <formula>$H$267*(-1)</formula>
    </cfRule>
  </conditionalFormatting>
  <conditionalFormatting sqref="I268">
    <cfRule type="cellIs" dxfId="932" priority="509" stopIfTrue="1" operator="greaterThan">
      <formula>$H$268</formula>
    </cfRule>
  </conditionalFormatting>
  <conditionalFormatting sqref="I268">
    <cfRule type="cellIs" dxfId="931" priority="510" stopIfTrue="1" operator="lessThan">
      <formula>$H$268*(-1)</formula>
    </cfRule>
  </conditionalFormatting>
  <conditionalFormatting sqref="I269">
    <cfRule type="cellIs" dxfId="930" priority="511" stopIfTrue="1" operator="greaterThan">
      <formula>$H$269</formula>
    </cfRule>
  </conditionalFormatting>
  <conditionalFormatting sqref="I269">
    <cfRule type="cellIs" dxfId="929" priority="512" stopIfTrue="1" operator="lessThan">
      <formula>$H$269*(-1)</formula>
    </cfRule>
  </conditionalFormatting>
  <conditionalFormatting sqref="I270">
    <cfRule type="cellIs" dxfId="928" priority="513" stopIfTrue="1" operator="greaterThan">
      <formula>$H$270</formula>
    </cfRule>
  </conditionalFormatting>
  <conditionalFormatting sqref="I270">
    <cfRule type="cellIs" dxfId="927" priority="514" stopIfTrue="1" operator="lessThan">
      <formula>$H$270*(-1)</formula>
    </cfRule>
  </conditionalFormatting>
  <conditionalFormatting sqref="I271">
    <cfRule type="cellIs" dxfId="926" priority="515" stopIfTrue="1" operator="greaterThan">
      <formula>$H$271</formula>
    </cfRule>
  </conditionalFormatting>
  <conditionalFormatting sqref="I271">
    <cfRule type="cellIs" dxfId="925" priority="516" stopIfTrue="1" operator="lessThan">
      <formula>$H$271*(-1)</formula>
    </cfRule>
  </conditionalFormatting>
  <conditionalFormatting sqref="I272">
    <cfRule type="cellIs" dxfId="924" priority="517" stopIfTrue="1" operator="greaterThan">
      <formula>$H$272</formula>
    </cfRule>
  </conditionalFormatting>
  <conditionalFormatting sqref="I272">
    <cfRule type="cellIs" dxfId="923" priority="518" stopIfTrue="1" operator="lessThan">
      <formula>$H$272*(-1)</formula>
    </cfRule>
  </conditionalFormatting>
  <conditionalFormatting sqref="I273">
    <cfRule type="cellIs" dxfId="922" priority="519" stopIfTrue="1" operator="greaterThan">
      <formula>$H$273</formula>
    </cfRule>
  </conditionalFormatting>
  <conditionalFormatting sqref="I273">
    <cfRule type="cellIs" dxfId="921" priority="520" stopIfTrue="1" operator="lessThan">
      <formula>$H$273*(-1)</formula>
    </cfRule>
  </conditionalFormatting>
  <conditionalFormatting sqref="I274">
    <cfRule type="cellIs" dxfId="920" priority="521" stopIfTrue="1" operator="greaterThan">
      <formula>$H$274</formula>
    </cfRule>
  </conditionalFormatting>
  <conditionalFormatting sqref="I274">
    <cfRule type="cellIs" dxfId="919" priority="522" stopIfTrue="1" operator="lessThan">
      <formula>$H$274*(-1)</formula>
    </cfRule>
  </conditionalFormatting>
  <conditionalFormatting sqref="I275">
    <cfRule type="cellIs" dxfId="918" priority="523" stopIfTrue="1" operator="greaterThan">
      <formula>$H$275</formula>
    </cfRule>
  </conditionalFormatting>
  <conditionalFormatting sqref="I275">
    <cfRule type="cellIs" dxfId="917" priority="524" stopIfTrue="1" operator="lessThan">
      <formula>$H$275*(-1)</formula>
    </cfRule>
  </conditionalFormatting>
  <conditionalFormatting sqref="I276">
    <cfRule type="cellIs" dxfId="916" priority="525" stopIfTrue="1" operator="greaterThan">
      <formula>$H$276</formula>
    </cfRule>
  </conditionalFormatting>
  <conditionalFormatting sqref="I276">
    <cfRule type="cellIs" dxfId="915" priority="526" stopIfTrue="1" operator="lessThan">
      <formula>$H$276*(-1)</formula>
    </cfRule>
  </conditionalFormatting>
  <conditionalFormatting sqref="I277">
    <cfRule type="cellIs" dxfId="914" priority="527" stopIfTrue="1" operator="greaterThan">
      <formula>$H$277</formula>
    </cfRule>
  </conditionalFormatting>
  <conditionalFormatting sqref="I277">
    <cfRule type="cellIs" dxfId="913" priority="528" stopIfTrue="1" operator="lessThan">
      <formula>$H$277*(-1)</formula>
    </cfRule>
  </conditionalFormatting>
  <conditionalFormatting sqref="I278">
    <cfRule type="cellIs" dxfId="912" priority="529" stopIfTrue="1" operator="greaterThan">
      <formula>$H$278</formula>
    </cfRule>
  </conditionalFormatting>
  <conditionalFormatting sqref="I278">
    <cfRule type="cellIs" dxfId="911" priority="530" stopIfTrue="1" operator="lessThan">
      <formula>$H$278*(-1)</formula>
    </cfRule>
  </conditionalFormatting>
  <conditionalFormatting sqref="I279">
    <cfRule type="cellIs" dxfId="910" priority="531" stopIfTrue="1" operator="greaterThan">
      <formula>$H$279</formula>
    </cfRule>
  </conditionalFormatting>
  <conditionalFormatting sqref="I279">
    <cfRule type="cellIs" dxfId="909" priority="532" stopIfTrue="1" operator="lessThan">
      <formula>$H$279*(-1)</formula>
    </cfRule>
  </conditionalFormatting>
  <conditionalFormatting sqref="I280">
    <cfRule type="cellIs" dxfId="908" priority="533" stopIfTrue="1" operator="greaterThan">
      <formula>$H$280</formula>
    </cfRule>
  </conditionalFormatting>
  <conditionalFormatting sqref="I280">
    <cfRule type="cellIs" dxfId="907" priority="534" stopIfTrue="1" operator="lessThan">
      <formula>$H$280*(-1)</formula>
    </cfRule>
  </conditionalFormatting>
  <conditionalFormatting sqref="I281">
    <cfRule type="cellIs" dxfId="906" priority="535" stopIfTrue="1" operator="greaterThan">
      <formula>$H$281</formula>
    </cfRule>
  </conditionalFormatting>
  <conditionalFormatting sqref="I281">
    <cfRule type="cellIs" dxfId="905" priority="536" stopIfTrue="1" operator="lessThan">
      <formula>$H$281*(-1)</formula>
    </cfRule>
  </conditionalFormatting>
  <conditionalFormatting sqref="I282">
    <cfRule type="cellIs" dxfId="904" priority="537" stopIfTrue="1" operator="greaterThan">
      <formula>$H$282</formula>
    </cfRule>
  </conditionalFormatting>
  <conditionalFormatting sqref="I282">
    <cfRule type="cellIs" dxfId="903" priority="538" stopIfTrue="1" operator="lessThan">
      <formula>$H$282*(-1)</formula>
    </cfRule>
  </conditionalFormatting>
  <conditionalFormatting sqref="I283">
    <cfRule type="cellIs" dxfId="902" priority="539" stopIfTrue="1" operator="greaterThan">
      <formula>$H$283</formula>
    </cfRule>
  </conditionalFormatting>
  <conditionalFormatting sqref="I283">
    <cfRule type="cellIs" dxfId="901" priority="540" stopIfTrue="1" operator="lessThan">
      <formula>$H$283*(-1)</formula>
    </cfRule>
  </conditionalFormatting>
  <conditionalFormatting sqref="I284">
    <cfRule type="cellIs" dxfId="900" priority="541" stopIfTrue="1" operator="greaterThan">
      <formula>$H$284</formula>
    </cfRule>
  </conditionalFormatting>
  <conditionalFormatting sqref="I284">
    <cfRule type="cellIs" dxfId="899" priority="542" stopIfTrue="1" operator="lessThan">
      <formula>$H$284*(-1)</formula>
    </cfRule>
  </conditionalFormatting>
  <conditionalFormatting sqref="I285">
    <cfRule type="cellIs" dxfId="898" priority="543" stopIfTrue="1" operator="greaterThan">
      <formula>$H$285</formula>
    </cfRule>
  </conditionalFormatting>
  <conditionalFormatting sqref="I285">
    <cfRule type="cellIs" dxfId="897" priority="544" stopIfTrue="1" operator="lessThan">
      <formula>$H$285*(-1)</formula>
    </cfRule>
  </conditionalFormatting>
  <conditionalFormatting sqref="I286">
    <cfRule type="cellIs" dxfId="896" priority="545" stopIfTrue="1" operator="greaterThan">
      <formula>$H$286</formula>
    </cfRule>
  </conditionalFormatting>
  <conditionalFormatting sqref="I286">
    <cfRule type="cellIs" dxfId="895" priority="546" stopIfTrue="1" operator="lessThan">
      <formula>$H$286*(-1)</formula>
    </cfRule>
  </conditionalFormatting>
  <conditionalFormatting sqref="I287">
    <cfRule type="cellIs" dxfId="894" priority="547" stopIfTrue="1" operator="greaterThan">
      <formula>$H$287</formula>
    </cfRule>
  </conditionalFormatting>
  <conditionalFormatting sqref="I287">
    <cfRule type="cellIs" dxfId="893" priority="548" stopIfTrue="1" operator="lessThan">
      <formula>$H$287*(-1)</formula>
    </cfRule>
  </conditionalFormatting>
  <conditionalFormatting sqref="I288">
    <cfRule type="cellIs" dxfId="892" priority="549" stopIfTrue="1" operator="greaterThan">
      <formula>$H$288</formula>
    </cfRule>
  </conditionalFormatting>
  <conditionalFormatting sqref="I288">
    <cfRule type="cellIs" dxfId="891" priority="550" stopIfTrue="1" operator="lessThan">
      <formula>$H$288*(-1)</formula>
    </cfRule>
  </conditionalFormatting>
  <conditionalFormatting sqref="I289">
    <cfRule type="cellIs" dxfId="890" priority="551" stopIfTrue="1" operator="greaterThan">
      <formula>$H$289</formula>
    </cfRule>
  </conditionalFormatting>
  <conditionalFormatting sqref="I289">
    <cfRule type="cellIs" dxfId="889" priority="552" stopIfTrue="1" operator="lessThan">
      <formula>$H$289*(-1)</formula>
    </cfRule>
  </conditionalFormatting>
  <conditionalFormatting sqref="I290">
    <cfRule type="cellIs" dxfId="888" priority="553" stopIfTrue="1" operator="greaterThan">
      <formula>$H$290</formula>
    </cfRule>
  </conditionalFormatting>
  <conditionalFormatting sqref="I290">
    <cfRule type="cellIs" dxfId="887" priority="554" stopIfTrue="1" operator="lessThan">
      <formula>$H$290*(-1)</formula>
    </cfRule>
  </conditionalFormatting>
  <conditionalFormatting sqref="I291">
    <cfRule type="cellIs" dxfId="886" priority="555" stopIfTrue="1" operator="greaterThan">
      <formula>$H$291</formula>
    </cfRule>
  </conditionalFormatting>
  <conditionalFormatting sqref="I291">
    <cfRule type="cellIs" dxfId="885" priority="556" stopIfTrue="1" operator="lessThan">
      <formula>$H$291*(-1)</formula>
    </cfRule>
  </conditionalFormatting>
  <conditionalFormatting sqref="I292">
    <cfRule type="cellIs" dxfId="884" priority="557" stopIfTrue="1" operator="greaterThan">
      <formula>$H$292</formula>
    </cfRule>
  </conditionalFormatting>
  <conditionalFormatting sqref="I292">
    <cfRule type="cellIs" dxfId="883" priority="558" stopIfTrue="1" operator="lessThan">
      <formula>$H$292*(-1)</formula>
    </cfRule>
  </conditionalFormatting>
  <conditionalFormatting sqref="I293">
    <cfRule type="cellIs" dxfId="882" priority="559" stopIfTrue="1" operator="greaterThan">
      <formula>$H$293</formula>
    </cfRule>
  </conditionalFormatting>
  <conditionalFormatting sqref="I293">
    <cfRule type="cellIs" dxfId="881" priority="560" stopIfTrue="1" operator="lessThan">
      <formula>$H$293*(-1)</formula>
    </cfRule>
  </conditionalFormatting>
  <conditionalFormatting sqref="I294">
    <cfRule type="cellIs" dxfId="880" priority="561" stopIfTrue="1" operator="greaterThan">
      <formula>$H$294</formula>
    </cfRule>
  </conditionalFormatting>
  <conditionalFormatting sqref="I294">
    <cfRule type="cellIs" dxfId="879" priority="562" stopIfTrue="1" operator="lessThan">
      <formula>$H$294*(-1)</formula>
    </cfRule>
  </conditionalFormatting>
  <conditionalFormatting sqref="I295">
    <cfRule type="cellIs" dxfId="878" priority="563" stopIfTrue="1" operator="greaterThan">
      <formula>$H$295</formula>
    </cfRule>
  </conditionalFormatting>
  <conditionalFormatting sqref="I295">
    <cfRule type="cellIs" dxfId="877" priority="564" stopIfTrue="1" operator="lessThan">
      <formula>$H$295*(-1)</formula>
    </cfRule>
  </conditionalFormatting>
  <conditionalFormatting sqref="I296">
    <cfRule type="cellIs" dxfId="876" priority="565" stopIfTrue="1" operator="greaterThan">
      <formula>$H$296</formula>
    </cfRule>
  </conditionalFormatting>
  <conditionalFormatting sqref="I296">
    <cfRule type="cellIs" dxfId="875" priority="566" stopIfTrue="1" operator="lessThan">
      <formula>$H$296*(-1)</formula>
    </cfRule>
  </conditionalFormatting>
  <conditionalFormatting sqref="I297">
    <cfRule type="cellIs" dxfId="874" priority="567" stopIfTrue="1" operator="greaterThan">
      <formula>$H$297</formula>
    </cfRule>
  </conditionalFormatting>
  <conditionalFormatting sqref="I297">
    <cfRule type="cellIs" dxfId="873" priority="568" stopIfTrue="1" operator="lessThan">
      <formula>$H$297*(-1)</formula>
    </cfRule>
  </conditionalFormatting>
  <conditionalFormatting sqref="I298">
    <cfRule type="cellIs" dxfId="872" priority="569" stopIfTrue="1" operator="greaterThan">
      <formula>$H$298</formula>
    </cfRule>
  </conditionalFormatting>
  <conditionalFormatting sqref="I298">
    <cfRule type="cellIs" dxfId="871" priority="570" stopIfTrue="1" operator="lessThan">
      <formula>$H$298*(-1)</formula>
    </cfRule>
  </conditionalFormatting>
  <conditionalFormatting sqref="I299">
    <cfRule type="cellIs" dxfId="870" priority="571" stopIfTrue="1" operator="greaterThan">
      <formula>$H$299</formula>
    </cfRule>
  </conditionalFormatting>
  <conditionalFormatting sqref="I299">
    <cfRule type="cellIs" dxfId="869" priority="572" stopIfTrue="1" operator="lessThan">
      <formula>$H$299*(-1)</formula>
    </cfRule>
  </conditionalFormatting>
  <conditionalFormatting sqref="I300">
    <cfRule type="cellIs" dxfId="868" priority="573" stopIfTrue="1" operator="greaterThan">
      <formula>$H$300</formula>
    </cfRule>
  </conditionalFormatting>
  <conditionalFormatting sqref="I300">
    <cfRule type="cellIs" dxfId="867" priority="574" stopIfTrue="1" operator="lessThan">
      <formula>$H$300*(-1)</formula>
    </cfRule>
  </conditionalFormatting>
  <conditionalFormatting sqref="I301">
    <cfRule type="cellIs" dxfId="866" priority="575" stopIfTrue="1" operator="greaterThan">
      <formula>$H$301</formula>
    </cfRule>
  </conditionalFormatting>
  <conditionalFormatting sqref="I301">
    <cfRule type="cellIs" dxfId="865" priority="576" stopIfTrue="1" operator="lessThan">
      <formula>$H$301*(-1)</formula>
    </cfRule>
  </conditionalFormatting>
  <conditionalFormatting sqref="I302">
    <cfRule type="cellIs" dxfId="864" priority="577" stopIfTrue="1" operator="greaterThan">
      <formula>$H$302</formula>
    </cfRule>
  </conditionalFormatting>
  <conditionalFormatting sqref="I302">
    <cfRule type="cellIs" dxfId="863" priority="578" stopIfTrue="1" operator="lessThan">
      <formula>$H$302*(-1)</formula>
    </cfRule>
  </conditionalFormatting>
  <conditionalFormatting sqref="I303">
    <cfRule type="cellIs" dxfId="862" priority="579" stopIfTrue="1" operator="greaterThan">
      <formula>$H$303</formula>
    </cfRule>
  </conditionalFormatting>
  <conditionalFormatting sqref="I303">
    <cfRule type="cellIs" dxfId="861" priority="580" stopIfTrue="1" operator="lessThan">
      <formula>$H$303*(-1)</formula>
    </cfRule>
  </conditionalFormatting>
  <conditionalFormatting sqref="I304">
    <cfRule type="cellIs" dxfId="860" priority="581" stopIfTrue="1" operator="greaterThan">
      <formula>$H$304</formula>
    </cfRule>
  </conditionalFormatting>
  <conditionalFormatting sqref="I304">
    <cfRule type="cellIs" dxfId="859" priority="582" stopIfTrue="1" operator="lessThan">
      <formula>$H$304*(-1)</formula>
    </cfRule>
  </conditionalFormatting>
  <conditionalFormatting sqref="I305">
    <cfRule type="cellIs" dxfId="858" priority="583" stopIfTrue="1" operator="greaterThan">
      <formula>$H$305</formula>
    </cfRule>
  </conditionalFormatting>
  <conditionalFormatting sqref="I305">
    <cfRule type="cellIs" dxfId="857" priority="584" stopIfTrue="1" operator="lessThan">
      <formula>$H$305*(-1)</formula>
    </cfRule>
  </conditionalFormatting>
  <conditionalFormatting sqref="I306">
    <cfRule type="cellIs" dxfId="856" priority="585" stopIfTrue="1" operator="greaterThan">
      <formula>$H$306</formula>
    </cfRule>
  </conditionalFormatting>
  <conditionalFormatting sqref="I306">
    <cfRule type="cellIs" dxfId="855" priority="586" stopIfTrue="1" operator="lessThan">
      <formula>$H$306*(-1)</formula>
    </cfRule>
  </conditionalFormatting>
  <conditionalFormatting sqref="I307">
    <cfRule type="cellIs" dxfId="854" priority="587" stopIfTrue="1" operator="greaterThan">
      <formula>$H$307</formula>
    </cfRule>
  </conditionalFormatting>
  <conditionalFormatting sqref="I307">
    <cfRule type="cellIs" dxfId="853" priority="588" stopIfTrue="1" operator="lessThan">
      <formula>$H$307*(-1)</formula>
    </cfRule>
  </conditionalFormatting>
  <conditionalFormatting sqref="I308">
    <cfRule type="cellIs" dxfId="852" priority="589" stopIfTrue="1" operator="greaterThan">
      <formula>$H$308</formula>
    </cfRule>
  </conditionalFormatting>
  <conditionalFormatting sqref="I308">
    <cfRule type="cellIs" dxfId="851" priority="590" stopIfTrue="1" operator="lessThan">
      <formula>$H$308*(-1)</formula>
    </cfRule>
  </conditionalFormatting>
  <conditionalFormatting sqref="I309">
    <cfRule type="cellIs" dxfId="850" priority="591" stopIfTrue="1" operator="greaterThan">
      <formula>$H$309</formula>
    </cfRule>
  </conditionalFormatting>
  <conditionalFormatting sqref="I309">
    <cfRule type="cellIs" dxfId="849" priority="592" stopIfTrue="1" operator="lessThan">
      <formula>$H$309*(-1)</formula>
    </cfRule>
  </conditionalFormatting>
  <conditionalFormatting sqref="I310">
    <cfRule type="cellIs" dxfId="848" priority="593" stopIfTrue="1" operator="greaterThan">
      <formula>$H$310</formula>
    </cfRule>
  </conditionalFormatting>
  <conditionalFormatting sqref="I310">
    <cfRule type="cellIs" dxfId="847" priority="594" stopIfTrue="1" operator="lessThan">
      <formula>$H$310*(-1)</formula>
    </cfRule>
  </conditionalFormatting>
  <conditionalFormatting sqref="I311">
    <cfRule type="cellIs" dxfId="846" priority="595" stopIfTrue="1" operator="greaterThan">
      <formula>$H$311</formula>
    </cfRule>
  </conditionalFormatting>
  <conditionalFormatting sqref="I311">
    <cfRule type="cellIs" dxfId="845" priority="596" stopIfTrue="1" operator="lessThan">
      <formula>$H$311*(-1)</formula>
    </cfRule>
  </conditionalFormatting>
  <conditionalFormatting sqref="I312">
    <cfRule type="cellIs" dxfId="844" priority="597" stopIfTrue="1" operator="greaterThan">
      <formula>$H$312</formula>
    </cfRule>
  </conditionalFormatting>
  <conditionalFormatting sqref="I312">
    <cfRule type="cellIs" dxfId="843" priority="598" stopIfTrue="1" operator="lessThan">
      <formula>$H$312*(-1)</formula>
    </cfRule>
  </conditionalFormatting>
  <conditionalFormatting sqref="I313">
    <cfRule type="cellIs" dxfId="842" priority="599" stopIfTrue="1" operator="greaterThan">
      <formula>$H$313</formula>
    </cfRule>
  </conditionalFormatting>
  <conditionalFormatting sqref="I313">
    <cfRule type="cellIs" dxfId="841" priority="600" stopIfTrue="1" operator="lessThan">
      <formula>$H$313*(-1)</formula>
    </cfRule>
  </conditionalFormatting>
  <conditionalFormatting sqref="I314">
    <cfRule type="cellIs" dxfId="840" priority="601" stopIfTrue="1" operator="greaterThan">
      <formula>$H$314</formula>
    </cfRule>
  </conditionalFormatting>
  <conditionalFormatting sqref="I314">
    <cfRule type="cellIs" dxfId="839" priority="602" stopIfTrue="1" operator="lessThan">
      <formula>$H$314*(-1)</formula>
    </cfRule>
  </conditionalFormatting>
  <conditionalFormatting sqref="I315">
    <cfRule type="cellIs" dxfId="838" priority="603" stopIfTrue="1" operator="greaterThan">
      <formula>$H$315</formula>
    </cfRule>
  </conditionalFormatting>
  <conditionalFormatting sqref="I315">
    <cfRule type="cellIs" dxfId="837" priority="604" stopIfTrue="1" operator="lessThan">
      <formula>$H$315*(-1)</formula>
    </cfRule>
  </conditionalFormatting>
  <conditionalFormatting sqref="I316">
    <cfRule type="cellIs" dxfId="836" priority="605" stopIfTrue="1" operator="greaterThan">
      <formula>$H$316</formula>
    </cfRule>
  </conditionalFormatting>
  <conditionalFormatting sqref="I316">
    <cfRule type="cellIs" dxfId="835" priority="606" stopIfTrue="1" operator="lessThan">
      <formula>$H$316*(-1)</formula>
    </cfRule>
  </conditionalFormatting>
  <conditionalFormatting sqref="I317">
    <cfRule type="cellIs" dxfId="834" priority="607" stopIfTrue="1" operator="greaterThan">
      <formula>$H$317</formula>
    </cfRule>
  </conditionalFormatting>
  <conditionalFormatting sqref="I317">
    <cfRule type="cellIs" dxfId="833" priority="608" stopIfTrue="1" operator="lessThan">
      <formula>$H$317*(-1)</formula>
    </cfRule>
  </conditionalFormatting>
  <conditionalFormatting sqref="I318">
    <cfRule type="cellIs" dxfId="832" priority="609" stopIfTrue="1" operator="greaterThan">
      <formula>$H$318</formula>
    </cfRule>
  </conditionalFormatting>
  <conditionalFormatting sqref="I318">
    <cfRule type="cellIs" dxfId="831" priority="610" stopIfTrue="1" operator="lessThan">
      <formula>$H$318*(-1)</formula>
    </cfRule>
  </conditionalFormatting>
  <conditionalFormatting sqref="I319">
    <cfRule type="cellIs" dxfId="830" priority="611" stopIfTrue="1" operator="greaterThan">
      <formula>$H$319</formula>
    </cfRule>
  </conditionalFormatting>
  <conditionalFormatting sqref="I319">
    <cfRule type="cellIs" dxfId="829" priority="612" stopIfTrue="1" operator="lessThan">
      <formula>$H$319*(-1)</formula>
    </cfRule>
  </conditionalFormatting>
  <conditionalFormatting sqref="I320">
    <cfRule type="cellIs" dxfId="828" priority="613" stopIfTrue="1" operator="greaterThan">
      <formula>$H$320</formula>
    </cfRule>
  </conditionalFormatting>
  <conditionalFormatting sqref="I320">
    <cfRule type="cellIs" dxfId="827" priority="614" stopIfTrue="1" operator="lessThan">
      <formula>$H$320*(-1)</formula>
    </cfRule>
  </conditionalFormatting>
  <conditionalFormatting sqref="I321">
    <cfRule type="cellIs" dxfId="826" priority="615" stopIfTrue="1" operator="greaterThan">
      <formula>$H$321</formula>
    </cfRule>
  </conditionalFormatting>
  <conditionalFormatting sqref="I321">
    <cfRule type="cellIs" dxfId="825" priority="616" stopIfTrue="1" operator="lessThan">
      <formula>$H$321*(-1)</formula>
    </cfRule>
  </conditionalFormatting>
  <conditionalFormatting sqref="I322">
    <cfRule type="cellIs" dxfId="824" priority="617" stopIfTrue="1" operator="greaterThan">
      <formula>$H$322</formula>
    </cfRule>
  </conditionalFormatting>
  <conditionalFormatting sqref="I322">
    <cfRule type="cellIs" dxfId="823" priority="618" stopIfTrue="1" operator="lessThan">
      <formula>$H$322*(-1)</formula>
    </cfRule>
  </conditionalFormatting>
  <conditionalFormatting sqref="I323">
    <cfRule type="cellIs" dxfId="822" priority="619" stopIfTrue="1" operator="greaterThan">
      <formula>$H$323</formula>
    </cfRule>
  </conditionalFormatting>
  <conditionalFormatting sqref="I323">
    <cfRule type="cellIs" dxfId="821" priority="620" stopIfTrue="1" operator="lessThan">
      <formula>$H$323*(-1)</formula>
    </cfRule>
  </conditionalFormatting>
  <conditionalFormatting sqref="I324">
    <cfRule type="cellIs" dxfId="820" priority="621" stopIfTrue="1" operator="greaterThan">
      <formula>$H$324</formula>
    </cfRule>
  </conditionalFormatting>
  <conditionalFormatting sqref="I324">
    <cfRule type="cellIs" dxfId="819" priority="622" stopIfTrue="1" operator="lessThan">
      <formula>$H$324*(-1)</formula>
    </cfRule>
  </conditionalFormatting>
  <conditionalFormatting sqref="I325">
    <cfRule type="cellIs" dxfId="818" priority="623" stopIfTrue="1" operator="greaterThan">
      <formula>$H$325</formula>
    </cfRule>
  </conditionalFormatting>
  <conditionalFormatting sqref="I325">
    <cfRule type="cellIs" dxfId="817" priority="624" stopIfTrue="1" operator="lessThan">
      <formula>$H$325*(-1)</formula>
    </cfRule>
  </conditionalFormatting>
  <conditionalFormatting sqref="I326">
    <cfRule type="cellIs" dxfId="816" priority="625" stopIfTrue="1" operator="greaterThan">
      <formula>$H$326</formula>
    </cfRule>
  </conditionalFormatting>
  <conditionalFormatting sqref="I326">
    <cfRule type="cellIs" dxfId="815" priority="626" stopIfTrue="1" operator="lessThan">
      <formula>$H$326*(-1)</formula>
    </cfRule>
  </conditionalFormatting>
  <conditionalFormatting sqref="I327">
    <cfRule type="cellIs" dxfId="814" priority="627" stopIfTrue="1" operator="greaterThan">
      <formula>$H$327</formula>
    </cfRule>
  </conditionalFormatting>
  <conditionalFormatting sqref="I327">
    <cfRule type="cellIs" dxfId="813" priority="628" stopIfTrue="1" operator="lessThan">
      <formula>$H$327*(-1)</formula>
    </cfRule>
  </conditionalFormatting>
  <conditionalFormatting sqref="I328">
    <cfRule type="cellIs" dxfId="812" priority="629" stopIfTrue="1" operator="greaterThan">
      <formula>$H$328</formula>
    </cfRule>
  </conditionalFormatting>
  <conditionalFormatting sqref="I328">
    <cfRule type="cellIs" dxfId="811" priority="630" stopIfTrue="1" operator="lessThan">
      <formula>$H$328*(-1)</formula>
    </cfRule>
  </conditionalFormatting>
  <conditionalFormatting sqref="I329">
    <cfRule type="cellIs" dxfId="810" priority="631" stopIfTrue="1" operator="greaterThan">
      <formula>$H$329</formula>
    </cfRule>
  </conditionalFormatting>
  <conditionalFormatting sqref="I329">
    <cfRule type="cellIs" dxfId="809" priority="632" stopIfTrue="1" operator="lessThan">
      <formula>$H$329*(-1)</formula>
    </cfRule>
  </conditionalFormatting>
  <conditionalFormatting sqref="I330">
    <cfRule type="cellIs" dxfId="808" priority="633" stopIfTrue="1" operator="greaterThan">
      <formula>$H$330</formula>
    </cfRule>
  </conditionalFormatting>
  <conditionalFormatting sqref="I330">
    <cfRule type="cellIs" dxfId="807" priority="634" stopIfTrue="1" operator="lessThan">
      <formula>$H$330*(-1)</formula>
    </cfRule>
  </conditionalFormatting>
  <conditionalFormatting sqref="I331">
    <cfRule type="cellIs" dxfId="806" priority="635" stopIfTrue="1" operator="greaterThan">
      <formula>$H$331</formula>
    </cfRule>
  </conditionalFormatting>
  <conditionalFormatting sqref="I331">
    <cfRule type="cellIs" dxfId="805" priority="636" stopIfTrue="1" operator="lessThan">
      <formula>$H$331*(-1)</formula>
    </cfRule>
  </conditionalFormatting>
  <conditionalFormatting sqref="I332">
    <cfRule type="cellIs" dxfId="804" priority="637" stopIfTrue="1" operator="greaterThan">
      <formula>$H$332</formula>
    </cfRule>
  </conditionalFormatting>
  <conditionalFormatting sqref="I332">
    <cfRule type="cellIs" dxfId="803" priority="638" stopIfTrue="1" operator="lessThan">
      <formula>$H$332*(-1)</formula>
    </cfRule>
  </conditionalFormatting>
  <conditionalFormatting sqref="I333">
    <cfRule type="cellIs" dxfId="802" priority="639" stopIfTrue="1" operator="greaterThan">
      <formula>$H$333</formula>
    </cfRule>
  </conditionalFormatting>
  <conditionalFormatting sqref="I333">
    <cfRule type="cellIs" dxfId="801" priority="640" stopIfTrue="1" operator="lessThan">
      <formula>$H$333*(-1)</formula>
    </cfRule>
  </conditionalFormatting>
  <conditionalFormatting sqref="I334">
    <cfRule type="cellIs" dxfId="800" priority="641" stopIfTrue="1" operator="greaterThan">
      <formula>$H$334</formula>
    </cfRule>
  </conditionalFormatting>
  <conditionalFormatting sqref="I334">
    <cfRule type="cellIs" dxfId="799" priority="642" stopIfTrue="1" operator="lessThan">
      <formula>$H$334*(-1)</formula>
    </cfRule>
  </conditionalFormatting>
  <conditionalFormatting sqref="I335">
    <cfRule type="cellIs" dxfId="798" priority="643" stopIfTrue="1" operator="greaterThan">
      <formula>$H$335</formula>
    </cfRule>
  </conditionalFormatting>
  <conditionalFormatting sqref="I335">
    <cfRule type="cellIs" dxfId="797" priority="644" stopIfTrue="1" operator="lessThan">
      <formula>$H$335*(-1)</formula>
    </cfRule>
  </conditionalFormatting>
  <conditionalFormatting sqref="I336">
    <cfRule type="cellIs" dxfId="796" priority="645" stopIfTrue="1" operator="greaterThan">
      <formula>$H$336</formula>
    </cfRule>
  </conditionalFormatting>
  <conditionalFormatting sqref="I336">
    <cfRule type="cellIs" dxfId="795" priority="646" stopIfTrue="1" operator="lessThan">
      <formula>$H$336*(-1)</formula>
    </cfRule>
  </conditionalFormatting>
  <conditionalFormatting sqref="I337">
    <cfRule type="cellIs" dxfId="794" priority="647" stopIfTrue="1" operator="greaterThan">
      <formula>$H$337</formula>
    </cfRule>
  </conditionalFormatting>
  <conditionalFormatting sqref="I337">
    <cfRule type="cellIs" dxfId="793" priority="648" stopIfTrue="1" operator="lessThan">
      <formula>$H$337*(-1)</formula>
    </cfRule>
  </conditionalFormatting>
  <conditionalFormatting sqref="I338">
    <cfRule type="cellIs" dxfId="792" priority="649" stopIfTrue="1" operator="greaterThan">
      <formula>$H$338</formula>
    </cfRule>
  </conditionalFormatting>
  <conditionalFormatting sqref="I338">
    <cfRule type="cellIs" dxfId="791" priority="650" stopIfTrue="1" operator="lessThan">
      <formula>$H$338*(-1)</formula>
    </cfRule>
  </conditionalFormatting>
  <conditionalFormatting sqref="I339">
    <cfRule type="cellIs" dxfId="790" priority="651" stopIfTrue="1" operator="greaterThan">
      <formula>$H$339</formula>
    </cfRule>
  </conditionalFormatting>
  <conditionalFormatting sqref="I339">
    <cfRule type="cellIs" dxfId="789" priority="652" stopIfTrue="1" operator="lessThan">
      <formula>$H$339*(-1)</formula>
    </cfRule>
  </conditionalFormatting>
  <conditionalFormatting sqref="I340">
    <cfRule type="cellIs" dxfId="788" priority="653" stopIfTrue="1" operator="greaterThan">
      <formula>$H$340</formula>
    </cfRule>
  </conditionalFormatting>
  <conditionalFormatting sqref="I340">
    <cfRule type="cellIs" dxfId="787" priority="654" stopIfTrue="1" operator="lessThan">
      <formula>$H$340*(-1)</formula>
    </cfRule>
  </conditionalFormatting>
  <conditionalFormatting sqref="I341">
    <cfRule type="cellIs" dxfId="786" priority="655" stopIfTrue="1" operator="greaterThan">
      <formula>$H$341</formula>
    </cfRule>
  </conditionalFormatting>
  <conditionalFormatting sqref="I341">
    <cfRule type="cellIs" dxfId="785" priority="656" stopIfTrue="1" operator="lessThan">
      <formula>$H$341*(-1)</formula>
    </cfRule>
  </conditionalFormatting>
  <conditionalFormatting sqref="I342">
    <cfRule type="cellIs" dxfId="784" priority="657" stopIfTrue="1" operator="greaterThan">
      <formula>$H$342</formula>
    </cfRule>
  </conditionalFormatting>
  <conditionalFormatting sqref="I342">
    <cfRule type="cellIs" dxfId="783" priority="658" stopIfTrue="1" operator="lessThan">
      <formula>$H$342*(-1)</formula>
    </cfRule>
  </conditionalFormatting>
  <conditionalFormatting sqref="I343">
    <cfRule type="cellIs" dxfId="782" priority="659" stopIfTrue="1" operator="greaterThan">
      <formula>$H$343</formula>
    </cfRule>
  </conditionalFormatting>
  <conditionalFormatting sqref="I343">
    <cfRule type="cellIs" dxfId="781" priority="660" stopIfTrue="1" operator="lessThan">
      <formula>$H$343*(-1)</formula>
    </cfRule>
  </conditionalFormatting>
  <conditionalFormatting sqref="I344">
    <cfRule type="cellIs" dxfId="780" priority="661" stopIfTrue="1" operator="greaterThan">
      <formula>$H$344</formula>
    </cfRule>
  </conditionalFormatting>
  <conditionalFormatting sqref="I344">
    <cfRule type="cellIs" dxfId="779" priority="662" stopIfTrue="1" operator="lessThan">
      <formula>$H$344*(-1)</formula>
    </cfRule>
  </conditionalFormatting>
  <conditionalFormatting sqref="I345">
    <cfRule type="cellIs" dxfId="778" priority="663" stopIfTrue="1" operator="greaterThan">
      <formula>$H$345</formula>
    </cfRule>
  </conditionalFormatting>
  <conditionalFormatting sqref="I345">
    <cfRule type="cellIs" dxfId="777" priority="664" stopIfTrue="1" operator="lessThan">
      <formula>$H$345*(-1)</formula>
    </cfRule>
  </conditionalFormatting>
  <conditionalFormatting sqref="I346">
    <cfRule type="cellIs" dxfId="776" priority="665" stopIfTrue="1" operator="greaterThan">
      <formula>$H$346</formula>
    </cfRule>
  </conditionalFormatting>
  <conditionalFormatting sqref="I346">
    <cfRule type="cellIs" dxfId="775" priority="666" stopIfTrue="1" operator="lessThan">
      <formula>$H$346*(-1)</formula>
    </cfRule>
  </conditionalFormatting>
  <conditionalFormatting sqref="I347">
    <cfRule type="cellIs" dxfId="774" priority="667" stopIfTrue="1" operator="greaterThan">
      <formula>$H$347</formula>
    </cfRule>
  </conditionalFormatting>
  <conditionalFormatting sqref="I347">
    <cfRule type="cellIs" dxfId="773" priority="668" stopIfTrue="1" operator="lessThan">
      <formula>$H$347*(-1)</formula>
    </cfRule>
  </conditionalFormatting>
  <conditionalFormatting sqref="I348">
    <cfRule type="cellIs" dxfId="772" priority="669" stopIfTrue="1" operator="greaterThan">
      <formula>$H$348</formula>
    </cfRule>
  </conditionalFormatting>
  <conditionalFormatting sqref="I348">
    <cfRule type="cellIs" dxfId="771" priority="670" stopIfTrue="1" operator="lessThan">
      <formula>$H$348*(-1)</formula>
    </cfRule>
  </conditionalFormatting>
  <conditionalFormatting sqref="I349">
    <cfRule type="cellIs" dxfId="770" priority="671" stopIfTrue="1" operator="greaterThan">
      <formula>$H$349</formula>
    </cfRule>
  </conditionalFormatting>
  <conditionalFormatting sqref="I349">
    <cfRule type="cellIs" dxfId="769" priority="672" stopIfTrue="1" operator="lessThan">
      <formula>$H$349*(-1)</formula>
    </cfRule>
  </conditionalFormatting>
  <conditionalFormatting sqref="I350">
    <cfRule type="cellIs" dxfId="768" priority="673" stopIfTrue="1" operator="greaterThan">
      <formula>$H$350</formula>
    </cfRule>
  </conditionalFormatting>
  <conditionalFormatting sqref="I350">
    <cfRule type="cellIs" dxfId="767" priority="674" stopIfTrue="1" operator="lessThan">
      <formula>$H$350*(-1)</formula>
    </cfRule>
  </conditionalFormatting>
  <conditionalFormatting sqref="I351">
    <cfRule type="cellIs" dxfId="766" priority="675" stopIfTrue="1" operator="greaterThan">
      <formula>$H$351</formula>
    </cfRule>
  </conditionalFormatting>
  <conditionalFormatting sqref="I351">
    <cfRule type="cellIs" dxfId="765" priority="676" stopIfTrue="1" operator="lessThan">
      <formula>$H$351*(-1)</formula>
    </cfRule>
  </conditionalFormatting>
  <conditionalFormatting sqref="I352">
    <cfRule type="cellIs" dxfId="764" priority="677" stopIfTrue="1" operator="greaterThan">
      <formula>$H$352</formula>
    </cfRule>
  </conditionalFormatting>
  <conditionalFormatting sqref="I352">
    <cfRule type="cellIs" dxfId="763" priority="678" stopIfTrue="1" operator="lessThan">
      <formula>$H$352*(-1)</formula>
    </cfRule>
  </conditionalFormatting>
  <conditionalFormatting sqref="I353">
    <cfRule type="cellIs" dxfId="762" priority="679" stopIfTrue="1" operator="greaterThan">
      <formula>$H$353</formula>
    </cfRule>
  </conditionalFormatting>
  <conditionalFormatting sqref="I353">
    <cfRule type="cellIs" dxfId="761" priority="680" stopIfTrue="1" operator="lessThan">
      <formula>$H$353*(-1)</formula>
    </cfRule>
  </conditionalFormatting>
  <conditionalFormatting sqref="I354">
    <cfRule type="cellIs" dxfId="760" priority="681" stopIfTrue="1" operator="greaterThan">
      <formula>$H$354</formula>
    </cfRule>
  </conditionalFormatting>
  <conditionalFormatting sqref="I354">
    <cfRule type="cellIs" dxfId="759" priority="682" stopIfTrue="1" operator="lessThan">
      <formula>$H$354*(-1)</formula>
    </cfRule>
  </conditionalFormatting>
  <conditionalFormatting sqref="I355">
    <cfRule type="cellIs" dxfId="758" priority="683" stopIfTrue="1" operator="greaterThan">
      <formula>$H$355</formula>
    </cfRule>
  </conditionalFormatting>
  <conditionalFormatting sqref="I355">
    <cfRule type="cellIs" dxfId="757" priority="684" stopIfTrue="1" operator="lessThan">
      <formula>$H$355*(-1)</formula>
    </cfRule>
  </conditionalFormatting>
  <conditionalFormatting sqref="I356">
    <cfRule type="cellIs" dxfId="756" priority="685" stopIfTrue="1" operator="greaterThan">
      <formula>$H$356</formula>
    </cfRule>
  </conditionalFormatting>
  <conditionalFormatting sqref="I356">
    <cfRule type="cellIs" dxfId="755" priority="686" stopIfTrue="1" operator="lessThan">
      <formula>$H$356*(-1)</formula>
    </cfRule>
  </conditionalFormatting>
  <conditionalFormatting sqref="I357">
    <cfRule type="cellIs" dxfId="754" priority="687" stopIfTrue="1" operator="greaterThan">
      <formula>$H$357</formula>
    </cfRule>
  </conditionalFormatting>
  <conditionalFormatting sqref="I357">
    <cfRule type="cellIs" dxfId="753" priority="688" stopIfTrue="1" operator="lessThan">
      <formula>$H$357*(-1)</formula>
    </cfRule>
  </conditionalFormatting>
  <conditionalFormatting sqref="I358">
    <cfRule type="cellIs" dxfId="752" priority="689" stopIfTrue="1" operator="greaterThan">
      <formula>$H$358</formula>
    </cfRule>
  </conditionalFormatting>
  <conditionalFormatting sqref="I358">
    <cfRule type="cellIs" dxfId="751" priority="690" stopIfTrue="1" operator="lessThan">
      <formula>$H$358*(-1)</formula>
    </cfRule>
  </conditionalFormatting>
  <conditionalFormatting sqref="I359">
    <cfRule type="cellIs" dxfId="750" priority="691" stopIfTrue="1" operator="greaterThan">
      <formula>$H$359</formula>
    </cfRule>
  </conditionalFormatting>
  <conditionalFormatting sqref="I359">
    <cfRule type="cellIs" dxfId="749" priority="692" stopIfTrue="1" operator="lessThan">
      <formula>$H$359*(-1)</formula>
    </cfRule>
  </conditionalFormatting>
  <conditionalFormatting sqref="I360">
    <cfRule type="cellIs" dxfId="748" priority="693" stopIfTrue="1" operator="greaterThan">
      <formula>$H$360</formula>
    </cfRule>
  </conditionalFormatting>
  <conditionalFormatting sqref="I360">
    <cfRule type="cellIs" dxfId="747" priority="694" stopIfTrue="1" operator="lessThan">
      <formula>$H$360*(-1)</formula>
    </cfRule>
  </conditionalFormatting>
  <conditionalFormatting sqref="I361">
    <cfRule type="cellIs" dxfId="746" priority="695" stopIfTrue="1" operator="greaterThan">
      <formula>$H$361</formula>
    </cfRule>
  </conditionalFormatting>
  <conditionalFormatting sqref="I361">
    <cfRule type="cellIs" dxfId="745" priority="696" stopIfTrue="1" operator="lessThan">
      <formula>$H$361*(-1)</formula>
    </cfRule>
  </conditionalFormatting>
  <conditionalFormatting sqref="I362">
    <cfRule type="cellIs" dxfId="744" priority="697" stopIfTrue="1" operator="greaterThan">
      <formula>$H$362</formula>
    </cfRule>
  </conditionalFormatting>
  <conditionalFormatting sqref="I362">
    <cfRule type="cellIs" dxfId="743" priority="698" stopIfTrue="1" operator="lessThan">
      <formula>$H$362*(-1)</formula>
    </cfRule>
  </conditionalFormatting>
  <conditionalFormatting sqref="I363">
    <cfRule type="cellIs" dxfId="742" priority="699" stopIfTrue="1" operator="greaterThan">
      <formula>$H$363</formula>
    </cfRule>
  </conditionalFormatting>
  <conditionalFormatting sqref="I363">
    <cfRule type="cellIs" dxfId="741" priority="700" stopIfTrue="1" operator="lessThan">
      <formula>$H$363*(-1)</formula>
    </cfRule>
  </conditionalFormatting>
  <conditionalFormatting sqref="I364">
    <cfRule type="cellIs" dxfId="740" priority="701" stopIfTrue="1" operator="greaterThan">
      <formula>$H$364</formula>
    </cfRule>
  </conditionalFormatting>
  <conditionalFormatting sqref="I364">
    <cfRule type="cellIs" dxfId="739" priority="702" stopIfTrue="1" operator="lessThan">
      <formula>$H$364*(-1)</formula>
    </cfRule>
  </conditionalFormatting>
  <conditionalFormatting sqref="I365">
    <cfRule type="cellIs" dxfId="738" priority="703" stopIfTrue="1" operator="greaterThan">
      <formula>$H$365</formula>
    </cfRule>
  </conditionalFormatting>
  <conditionalFormatting sqref="I365">
    <cfRule type="cellIs" dxfId="737" priority="704" stopIfTrue="1" operator="lessThan">
      <formula>$H$365*(-1)</formula>
    </cfRule>
  </conditionalFormatting>
  <conditionalFormatting sqref="I366">
    <cfRule type="cellIs" dxfId="736" priority="705" stopIfTrue="1" operator="greaterThan">
      <formula>$H$366</formula>
    </cfRule>
  </conditionalFormatting>
  <conditionalFormatting sqref="I366">
    <cfRule type="cellIs" dxfId="735" priority="706" stopIfTrue="1" operator="lessThan">
      <formula>$H$366*(-1)</formula>
    </cfRule>
  </conditionalFormatting>
  <conditionalFormatting sqref="I367">
    <cfRule type="cellIs" dxfId="734" priority="707" stopIfTrue="1" operator="greaterThan">
      <formula>$H$367</formula>
    </cfRule>
  </conditionalFormatting>
  <conditionalFormatting sqref="I367">
    <cfRule type="cellIs" dxfId="733" priority="708" stopIfTrue="1" operator="lessThan">
      <formula>$H$367*(-1)</formula>
    </cfRule>
  </conditionalFormatting>
  <conditionalFormatting sqref="I368">
    <cfRule type="cellIs" dxfId="732" priority="709" stopIfTrue="1" operator="greaterThan">
      <formula>$H$368</formula>
    </cfRule>
  </conditionalFormatting>
  <conditionalFormatting sqref="I368">
    <cfRule type="cellIs" dxfId="731" priority="710" stopIfTrue="1" operator="lessThan">
      <formula>$H$368*(-1)</formula>
    </cfRule>
  </conditionalFormatting>
  <conditionalFormatting sqref="I369">
    <cfRule type="cellIs" dxfId="730" priority="711" stopIfTrue="1" operator="greaterThan">
      <formula>$H$369</formula>
    </cfRule>
  </conditionalFormatting>
  <conditionalFormatting sqref="I369">
    <cfRule type="cellIs" dxfId="729" priority="712" stopIfTrue="1" operator="lessThan">
      <formula>$H$369*(-1)</formula>
    </cfRule>
  </conditionalFormatting>
  <conditionalFormatting sqref="I370">
    <cfRule type="cellIs" dxfId="728" priority="713" stopIfTrue="1" operator="greaterThan">
      <formula>$H$370</formula>
    </cfRule>
  </conditionalFormatting>
  <conditionalFormatting sqref="I370">
    <cfRule type="cellIs" dxfId="727" priority="714" stopIfTrue="1" operator="lessThan">
      <formula>$H$370*(-1)</formula>
    </cfRule>
  </conditionalFormatting>
  <conditionalFormatting sqref="I371">
    <cfRule type="cellIs" dxfId="726" priority="715" stopIfTrue="1" operator="greaterThan">
      <formula>$H$371</formula>
    </cfRule>
  </conditionalFormatting>
  <conditionalFormatting sqref="I371">
    <cfRule type="cellIs" dxfId="725" priority="716" stopIfTrue="1" operator="lessThan">
      <formula>$H$371*(-1)</formula>
    </cfRule>
  </conditionalFormatting>
  <conditionalFormatting sqref="I372">
    <cfRule type="cellIs" dxfId="724" priority="717" stopIfTrue="1" operator="greaterThan">
      <formula>$H$372</formula>
    </cfRule>
  </conditionalFormatting>
  <conditionalFormatting sqref="I372">
    <cfRule type="cellIs" dxfId="723" priority="718" stopIfTrue="1" operator="lessThan">
      <formula>$H$372*(-1)</formula>
    </cfRule>
  </conditionalFormatting>
  <conditionalFormatting sqref="I373">
    <cfRule type="cellIs" dxfId="722" priority="719" stopIfTrue="1" operator="greaterThan">
      <formula>$H$373</formula>
    </cfRule>
  </conditionalFormatting>
  <conditionalFormatting sqref="I373">
    <cfRule type="cellIs" dxfId="721" priority="720" stopIfTrue="1" operator="lessThan">
      <formula>$H$373*(-1)</formula>
    </cfRule>
  </conditionalFormatting>
  <conditionalFormatting sqref="I374">
    <cfRule type="cellIs" dxfId="720" priority="721" stopIfTrue="1" operator="greaterThan">
      <formula>$H$374</formula>
    </cfRule>
  </conditionalFormatting>
  <conditionalFormatting sqref="I374">
    <cfRule type="cellIs" dxfId="719" priority="722" stopIfTrue="1" operator="lessThan">
      <formula>$H$374*(-1)</formula>
    </cfRule>
  </conditionalFormatting>
  <conditionalFormatting sqref="I375">
    <cfRule type="cellIs" dxfId="718" priority="723" stopIfTrue="1" operator="greaterThan">
      <formula>$H$375</formula>
    </cfRule>
  </conditionalFormatting>
  <conditionalFormatting sqref="I375">
    <cfRule type="cellIs" dxfId="717" priority="724" stopIfTrue="1" operator="lessThan">
      <formula>$H$375*(-1)</formula>
    </cfRule>
  </conditionalFormatting>
  <conditionalFormatting sqref="I376">
    <cfRule type="cellIs" dxfId="716" priority="725" stopIfTrue="1" operator="greaterThan">
      <formula>$H$376</formula>
    </cfRule>
  </conditionalFormatting>
  <conditionalFormatting sqref="I376">
    <cfRule type="cellIs" dxfId="715" priority="726" stopIfTrue="1" operator="lessThan">
      <formula>$H$376*(-1)</formula>
    </cfRule>
  </conditionalFormatting>
  <conditionalFormatting sqref="I377">
    <cfRule type="cellIs" dxfId="714" priority="727" stopIfTrue="1" operator="greaterThan">
      <formula>$H$377</formula>
    </cfRule>
  </conditionalFormatting>
  <conditionalFormatting sqref="I377">
    <cfRule type="cellIs" dxfId="713" priority="728" stopIfTrue="1" operator="lessThan">
      <formula>$H$377*(-1)</formula>
    </cfRule>
  </conditionalFormatting>
  <conditionalFormatting sqref="I378">
    <cfRule type="cellIs" dxfId="712" priority="729" stopIfTrue="1" operator="greaterThan">
      <formula>$H$378</formula>
    </cfRule>
  </conditionalFormatting>
  <conditionalFormatting sqref="I378">
    <cfRule type="cellIs" dxfId="711" priority="730" stopIfTrue="1" operator="lessThan">
      <formula>$H$378*(-1)</formula>
    </cfRule>
  </conditionalFormatting>
  <conditionalFormatting sqref="I379">
    <cfRule type="cellIs" dxfId="710" priority="731" stopIfTrue="1" operator="greaterThan">
      <formula>$H$379</formula>
    </cfRule>
  </conditionalFormatting>
  <conditionalFormatting sqref="I379">
    <cfRule type="cellIs" dxfId="709" priority="732" stopIfTrue="1" operator="lessThan">
      <formula>$H$379*(-1)</formula>
    </cfRule>
  </conditionalFormatting>
  <conditionalFormatting sqref="I380">
    <cfRule type="cellIs" dxfId="708" priority="733" stopIfTrue="1" operator="greaterThan">
      <formula>$H$380</formula>
    </cfRule>
  </conditionalFormatting>
  <conditionalFormatting sqref="I380">
    <cfRule type="cellIs" dxfId="707" priority="734" stopIfTrue="1" operator="lessThan">
      <formula>$H$380*(-1)</formula>
    </cfRule>
  </conditionalFormatting>
  <conditionalFormatting sqref="I381">
    <cfRule type="cellIs" dxfId="706" priority="735" stopIfTrue="1" operator="greaterThan">
      <formula>$H$381</formula>
    </cfRule>
  </conditionalFormatting>
  <conditionalFormatting sqref="I381">
    <cfRule type="cellIs" dxfId="705" priority="736" stopIfTrue="1" operator="lessThan">
      <formula>$H$381*(-1)</formula>
    </cfRule>
  </conditionalFormatting>
  <conditionalFormatting sqref="I382">
    <cfRule type="cellIs" dxfId="704" priority="737" stopIfTrue="1" operator="greaterThan">
      <formula>$H$382</formula>
    </cfRule>
  </conditionalFormatting>
  <conditionalFormatting sqref="I382">
    <cfRule type="cellIs" dxfId="703" priority="738" stopIfTrue="1" operator="lessThan">
      <formula>$H$382*(-1)</formula>
    </cfRule>
  </conditionalFormatting>
  <conditionalFormatting sqref="I383">
    <cfRule type="cellIs" dxfId="702" priority="739" stopIfTrue="1" operator="greaterThan">
      <formula>$H$383</formula>
    </cfRule>
  </conditionalFormatting>
  <conditionalFormatting sqref="I383">
    <cfRule type="cellIs" dxfId="701" priority="740" stopIfTrue="1" operator="lessThan">
      <formula>$H$383*(-1)</formula>
    </cfRule>
  </conditionalFormatting>
  <conditionalFormatting sqref="I384">
    <cfRule type="cellIs" dxfId="700" priority="741" stopIfTrue="1" operator="greaterThan">
      <formula>$H$384</formula>
    </cfRule>
  </conditionalFormatting>
  <conditionalFormatting sqref="I384">
    <cfRule type="cellIs" dxfId="699" priority="742" stopIfTrue="1" operator="lessThan">
      <formula>$H$384*(-1)</formula>
    </cfRule>
  </conditionalFormatting>
  <conditionalFormatting sqref="I385">
    <cfRule type="cellIs" dxfId="698" priority="743" stopIfTrue="1" operator="greaterThan">
      <formula>$H$385</formula>
    </cfRule>
  </conditionalFormatting>
  <conditionalFormatting sqref="I385">
    <cfRule type="cellIs" dxfId="697" priority="744" stopIfTrue="1" operator="lessThan">
      <formula>$H$385*(-1)</formula>
    </cfRule>
  </conditionalFormatting>
  <conditionalFormatting sqref="I386">
    <cfRule type="cellIs" dxfId="696" priority="745" stopIfTrue="1" operator="greaterThan">
      <formula>$H$386</formula>
    </cfRule>
  </conditionalFormatting>
  <conditionalFormatting sqref="I386">
    <cfRule type="cellIs" dxfId="695" priority="746" stopIfTrue="1" operator="lessThan">
      <formula>$H$386*(-1)</formula>
    </cfRule>
  </conditionalFormatting>
  <conditionalFormatting sqref="I387">
    <cfRule type="cellIs" dxfId="694" priority="747" stopIfTrue="1" operator="greaterThan">
      <formula>$H$387</formula>
    </cfRule>
  </conditionalFormatting>
  <conditionalFormatting sqref="I387">
    <cfRule type="cellIs" dxfId="693" priority="748" stopIfTrue="1" operator="lessThan">
      <formula>$H$387*(-1)</formula>
    </cfRule>
  </conditionalFormatting>
  <conditionalFormatting sqref="I388">
    <cfRule type="cellIs" dxfId="692" priority="749" stopIfTrue="1" operator="greaterThan">
      <formula>$H$388</formula>
    </cfRule>
  </conditionalFormatting>
  <conditionalFormatting sqref="I388">
    <cfRule type="cellIs" dxfId="691" priority="750" stopIfTrue="1" operator="lessThan">
      <formula>$H$388*(-1)</formula>
    </cfRule>
  </conditionalFormatting>
  <conditionalFormatting sqref="I389">
    <cfRule type="cellIs" dxfId="690" priority="751" stopIfTrue="1" operator="greaterThan">
      <formula>$H$389</formula>
    </cfRule>
  </conditionalFormatting>
  <conditionalFormatting sqref="I389">
    <cfRule type="cellIs" dxfId="689" priority="752" stopIfTrue="1" operator="lessThan">
      <formula>$H$389*(-1)</formula>
    </cfRule>
  </conditionalFormatting>
  <conditionalFormatting sqref="I390">
    <cfRule type="cellIs" dxfId="688" priority="753" stopIfTrue="1" operator="greaterThan">
      <formula>$H$390</formula>
    </cfRule>
  </conditionalFormatting>
  <conditionalFormatting sqref="I390">
    <cfRule type="cellIs" dxfId="687" priority="754" stopIfTrue="1" operator="lessThan">
      <formula>$H$390*(-1)</formula>
    </cfRule>
  </conditionalFormatting>
  <conditionalFormatting sqref="I391">
    <cfRule type="cellIs" dxfId="686" priority="755" stopIfTrue="1" operator="greaterThan">
      <formula>$H$391</formula>
    </cfRule>
  </conditionalFormatting>
  <conditionalFormatting sqref="I391">
    <cfRule type="cellIs" dxfId="685" priority="756" stopIfTrue="1" operator="lessThan">
      <formula>$H$391*(-1)</formula>
    </cfRule>
  </conditionalFormatting>
  <conditionalFormatting sqref="I392">
    <cfRule type="cellIs" dxfId="684" priority="757" stopIfTrue="1" operator="greaterThan">
      <formula>$H$392</formula>
    </cfRule>
  </conditionalFormatting>
  <conditionalFormatting sqref="I392">
    <cfRule type="cellIs" dxfId="683" priority="758" stopIfTrue="1" operator="lessThan">
      <formula>$H$392*(-1)</formula>
    </cfRule>
  </conditionalFormatting>
  <conditionalFormatting sqref="I393">
    <cfRule type="cellIs" dxfId="682" priority="759" stopIfTrue="1" operator="greaterThan">
      <formula>$H$393</formula>
    </cfRule>
  </conditionalFormatting>
  <conditionalFormatting sqref="I393">
    <cfRule type="cellIs" dxfId="681" priority="760" stopIfTrue="1" operator="lessThan">
      <formula>$H$393*(-1)</formula>
    </cfRule>
  </conditionalFormatting>
  <conditionalFormatting sqref="I394">
    <cfRule type="cellIs" dxfId="680" priority="761" stopIfTrue="1" operator="greaterThan">
      <formula>$H$394</formula>
    </cfRule>
  </conditionalFormatting>
  <conditionalFormatting sqref="I394">
    <cfRule type="cellIs" dxfId="679" priority="762" stopIfTrue="1" operator="lessThan">
      <formula>$H$394*(-1)</formula>
    </cfRule>
  </conditionalFormatting>
  <conditionalFormatting sqref="I395">
    <cfRule type="cellIs" dxfId="678" priority="763" stopIfTrue="1" operator="greaterThan">
      <formula>$H$395</formula>
    </cfRule>
  </conditionalFormatting>
  <conditionalFormatting sqref="I395">
    <cfRule type="cellIs" dxfId="677" priority="764" stopIfTrue="1" operator="lessThan">
      <formula>$H$395*(-1)</formula>
    </cfRule>
  </conditionalFormatting>
  <conditionalFormatting sqref="I396">
    <cfRule type="cellIs" dxfId="676" priority="765" stopIfTrue="1" operator="greaterThan">
      <formula>$H$396</formula>
    </cfRule>
  </conditionalFormatting>
  <conditionalFormatting sqref="I396">
    <cfRule type="cellIs" dxfId="675" priority="766" stopIfTrue="1" operator="lessThan">
      <formula>$H$396*(-1)</formula>
    </cfRule>
  </conditionalFormatting>
  <conditionalFormatting sqref="I397">
    <cfRule type="cellIs" dxfId="674" priority="767" stopIfTrue="1" operator="greaterThan">
      <formula>$H$397</formula>
    </cfRule>
  </conditionalFormatting>
  <conditionalFormatting sqref="I397">
    <cfRule type="cellIs" dxfId="673" priority="768" stopIfTrue="1" operator="lessThan">
      <formula>$H$397*(-1)</formula>
    </cfRule>
  </conditionalFormatting>
  <conditionalFormatting sqref="I398">
    <cfRule type="cellIs" dxfId="672" priority="769" stopIfTrue="1" operator="greaterThan">
      <formula>$H$398</formula>
    </cfRule>
  </conditionalFormatting>
  <conditionalFormatting sqref="I398">
    <cfRule type="cellIs" dxfId="671" priority="770" stopIfTrue="1" operator="lessThan">
      <formula>$H$398*(-1)</formula>
    </cfRule>
  </conditionalFormatting>
  <conditionalFormatting sqref="I399">
    <cfRule type="cellIs" dxfId="670" priority="771" stopIfTrue="1" operator="greaterThan">
      <formula>$H$399</formula>
    </cfRule>
  </conditionalFormatting>
  <conditionalFormatting sqref="I399">
    <cfRule type="cellIs" dxfId="669" priority="772" stopIfTrue="1" operator="lessThan">
      <formula>$H$399*(-1)</formula>
    </cfRule>
  </conditionalFormatting>
  <conditionalFormatting sqref="I400">
    <cfRule type="cellIs" dxfId="668" priority="773" stopIfTrue="1" operator="greaterThan">
      <formula>$H$400</formula>
    </cfRule>
  </conditionalFormatting>
  <conditionalFormatting sqref="I400">
    <cfRule type="cellIs" dxfId="667" priority="774" stopIfTrue="1" operator="lessThan">
      <formula>$H$400*(-1)</formula>
    </cfRule>
  </conditionalFormatting>
  <conditionalFormatting sqref="I401">
    <cfRule type="cellIs" dxfId="666" priority="775" stopIfTrue="1" operator="greaterThan">
      <formula>$H$401</formula>
    </cfRule>
  </conditionalFormatting>
  <conditionalFormatting sqref="I401">
    <cfRule type="cellIs" dxfId="665" priority="776" stopIfTrue="1" operator="lessThan">
      <formula>$H$401*(-1)</formula>
    </cfRule>
  </conditionalFormatting>
  <conditionalFormatting sqref="I402">
    <cfRule type="cellIs" dxfId="664" priority="777" stopIfTrue="1" operator="greaterThan">
      <formula>$H$402</formula>
    </cfRule>
  </conditionalFormatting>
  <conditionalFormatting sqref="I402">
    <cfRule type="cellIs" dxfId="663" priority="778" stopIfTrue="1" operator="lessThan">
      <formula>$H$402*(-1)</formula>
    </cfRule>
  </conditionalFormatting>
  <conditionalFormatting sqref="I403">
    <cfRule type="cellIs" dxfId="662" priority="779" stopIfTrue="1" operator="greaterThan">
      <formula>$H$403</formula>
    </cfRule>
  </conditionalFormatting>
  <conditionalFormatting sqref="I403">
    <cfRule type="cellIs" dxfId="661" priority="780" stopIfTrue="1" operator="lessThan">
      <formula>$H$403*(-1)</formula>
    </cfRule>
  </conditionalFormatting>
  <conditionalFormatting sqref="I404">
    <cfRule type="cellIs" dxfId="660" priority="781" stopIfTrue="1" operator="greaterThan">
      <formula>$H$404</formula>
    </cfRule>
  </conditionalFormatting>
  <conditionalFormatting sqref="I404">
    <cfRule type="cellIs" dxfId="659" priority="782" stopIfTrue="1" operator="lessThan">
      <formula>$H$404*(-1)</formula>
    </cfRule>
  </conditionalFormatting>
  <conditionalFormatting sqref="I405">
    <cfRule type="cellIs" dxfId="658" priority="783" stopIfTrue="1" operator="greaterThan">
      <formula>$H$405</formula>
    </cfRule>
  </conditionalFormatting>
  <conditionalFormatting sqref="I405">
    <cfRule type="cellIs" dxfId="657" priority="784" stopIfTrue="1" operator="lessThan">
      <formula>$H$405*(-1)</formula>
    </cfRule>
  </conditionalFormatting>
  <conditionalFormatting sqref="I406">
    <cfRule type="cellIs" dxfId="656" priority="785" stopIfTrue="1" operator="greaterThan">
      <formula>$H$406</formula>
    </cfRule>
  </conditionalFormatting>
  <conditionalFormatting sqref="I406">
    <cfRule type="cellIs" dxfId="655" priority="786" stopIfTrue="1" operator="lessThan">
      <formula>$H$406*(-1)</formula>
    </cfRule>
  </conditionalFormatting>
  <conditionalFormatting sqref="I407">
    <cfRule type="cellIs" dxfId="654" priority="787" stopIfTrue="1" operator="greaterThan">
      <formula>$H$407</formula>
    </cfRule>
  </conditionalFormatting>
  <conditionalFormatting sqref="I407">
    <cfRule type="cellIs" dxfId="653" priority="788" stopIfTrue="1" operator="lessThan">
      <formula>$H$407*(-1)</formula>
    </cfRule>
  </conditionalFormatting>
  <conditionalFormatting sqref="I408">
    <cfRule type="cellIs" dxfId="652" priority="789" stopIfTrue="1" operator="greaterThan">
      <formula>$H$408</formula>
    </cfRule>
  </conditionalFormatting>
  <conditionalFormatting sqref="I408">
    <cfRule type="cellIs" dxfId="651" priority="790" stopIfTrue="1" operator="lessThan">
      <formula>$H$408*(-1)</formula>
    </cfRule>
  </conditionalFormatting>
  <conditionalFormatting sqref="I409">
    <cfRule type="cellIs" dxfId="650" priority="791" stopIfTrue="1" operator="greaterThan">
      <formula>$H$409</formula>
    </cfRule>
  </conditionalFormatting>
  <conditionalFormatting sqref="I409">
    <cfRule type="cellIs" dxfId="649" priority="792" stopIfTrue="1" operator="lessThan">
      <formula>$H$409*(-1)</formula>
    </cfRule>
  </conditionalFormatting>
  <conditionalFormatting sqref="I410">
    <cfRule type="cellIs" dxfId="648" priority="793" stopIfTrue="1" operator="greaterThan">
      <formula>$H$410</formula>
    </cfRule>
  </conditionalFormatting>
  <conditionalFormatting sqref="I410">
    <cfRule type="cellIs" dxfId="647" priority="794" stopIfTrue="1" operator="lessThan">
      <formula>$H$410*(-1)</formula>
    </cfRule>
  </conditionalFormatting>
  <conditionalFormatting sqref="I411">
    <cfRule type="cellIs" dxfId="646" priority="795" stopIfTrue="1" operator="greaterThan">
      <formula>$H$411</formula>
    </cfRule>
  </conditionalFormatting>
  <conditionalFormatting sqref="I411">
    <cfRule type="cellIs" dxfId="645" priority="796" stopIfTrue="1" operator="lessThan">
      <formula>$H$411*(-1)</formula>
    </cfRule>
  </conditionalFormatting>
  <conditionalFormatting sqref="I412">
    <cfRule type="cellIs" dxfId="644" priority="797" stopIfTrue="1" operator="greaterThan">
      <formula>$H$412</formula>
    </cfRule>
  </conditionalFormatting>
  <conditionalFormatting sqref="I412">
    <cfRule type="cellIs" dxfId="643" priority="798" stopIfTrue="1" operator="lessThan">
      <formula>$H$412*(-1)</formula>
    </cfRule>
  </conditionalFormatting>
  <conditionalFormatting sqref="I413">
    <cfRule type="cellIs" dxfId="642" priority="799" stopIfTrue="1" operator="greaterThan">
      <formula>$H$413</formula>
    </cfRule>
  </conditionalFormatting>
  <conditionalFormatting sqref="I413">
    <cfRule type="cellIs" dxfId="641" priority="800" stopIfTrue="1" operator="lessThan">
      <formula>$H$413*(-1)</formula>
    </cfRule>
  </conditionalFormatting>
  <conditionalFormatting sqref="I414">
    <cfRule type="cellIs" dxfId="640" priority="801" stopIfTrue="1" operator="greaterThan">
      <formula>$H$414</formula>
    </cfRule>
  </conditionalFormatting>
  <conditionalFormatting sqref="I414">
    <cfRule type="cellIs" dxfId="639" priority="802" stopIfTrue="1" operator="lessThan">
      <formula>$H$414*(-1)</formula>
    </cfRule>
  </conditionalFormatting>
  <conditionalFormatting sqref="I415">
    <cfRule type="cellIs" dxfId="638" priority="803" stopIfTrue="1" operator="greaterThan">
      <formula>$H$415</formula>
    </cfRule>
  </conditionalFormatting>
  <conditionalFormatting sqref="I415">
    <cfRule type="cellIs" dxfId="637" priority="804" stopIfTrue="1" operator="lessThan">
      <formula>$H$415*(-1)</formula>
    </cfRule>
  </conditionalFormatting>
  <conditionalFormatting sqref="I416">
    <cfRule type="cellIs" dxfId="636" priority="805" stopIfTrue="1" operator="greaterThan">
      <formula>$H$416</formula>
    </cfRule>
  </conditionalFormatting>
  <conditionalFormatting sqref="I416">
    <cfRule type="cellIs" dxfId="635" priority="806" stopIfTrue="1" operator="lessThan">
      <formula>$H$416*(-1)</formula>
    </cfRule>
  </conditionalFormatting>
  <conditionalFormatting sqref="I417">
    <cfRule type="cellIs" dxfId="634" priority="807" stopIfTrue="1" operator="greaterThan">
      <formula>$H$417</formula>
    </cfRule>
  </conditionalFormatting>
  <conditionalFormatting sqref="I417">
    <cfRule type="cellIs" dxfId="633" priority="808" stopIfTrue="1" operator="lessThan">
      <formula>$H$417*(-1)</formula>
    </cfRule>
  </conditionalFormatting>
  <conditionalFormatting sqref="I418">
    <cfRule type="cellIs" dxfId="632" priority="809" stopIfTrue="1" operator="greaterThan">
      <formula>$H$418</formula>
    </cfRule>
  </conditionalFormatting>
  <conditionalFormatting sqref="I418">
    <cfRule type="cellIs" dxfId="631" priority="810" stopIfTrue="1" operator="lessThan">
      <formula>$H$418*(-1)</formula>
    </cfRule>
  </conditionalFormatting>
  <conditionalFormatting sqref="I419">
    <cfRule type="cellIs" dxfId="630" priority="811" stopIfTrue="1" operator="greaterThan">
      <formula>$H$419</formula>
    </cfRule>
  </conditionalFormatting>
  <conditionalFormatting sqref="I419">
    <cfRule type="cellIs" dxfId="629" priority="812" stopIfTrue="1" operator="lessThan">
      <formula>$H$419*(-1)</formula>
    </cfRule>
  </conditionalFormatting>
  <conditionalFormatting sqref="I420">
    <cfRule type="cellIs" dxfId="628" priority="813" stopIfTrue="1" operator="greaterThan">
      <formula>$H$420</formula>
    </cfRule>
  </conditionalFormatting>
  <conditionalFormatting sqref="I420">
    <cfRule type="cellIs" dxfId="627" priority="814" stopIfTrue="1" operator="lessThan">
      <formula>$H$420*(-1)</formula>
    </cfRule>
  </conditionalFormatting>
  <conditionalFormatting sqref="I421">
    <cfRule type="cellIs" dxfId="626" priority="815" stopIfTrue="1" operator="greaterThan">
      <formula>$H$421</formula>
    </cfRule>
  </conditionalFormatting>
  <conditionalFormatting sqref="I421">
    <cfRule type="cellIs" dxfId="625" priority="816" stopIfTrue="1" operator="lessThan">
      <formula>$H$421*(-1)</formula>
    </cfRule>
  </conditionalFormatting>
  <conditionalFormatting sqref="I422">
    <cfRule type="cellIs" dxfId="624" priority="817" stopIfTrue="1" operator="greaterThan">
      <formula>$H$422</formula>
    </cfRule>
  </conditionalFormatting>
  <conditionalFormatting sqref="I422">
    <cfRule type="cellIs" dxfId="623" priority="818" stopIfTrue="1" operator="lessThan">
      <formula>$H$422*(-1)</formula>
    </cfRule>
  </conditionalFormatting>
  <conditionalFormatting sqref="I423">
    <cfRule type="cellIs" dxfId="622" priority="819" stopIfTrue="1" operator="greaterThan">
      <formula>$H$423</formula>
    </cfRule>
  </conditionalFormatting>
  <conditionalFormatting sqref="I423">
    <cfRule type="cellIs" dxfId="621" priority="820" stopIfTrue="1" operator="lessThan">
      <formula>$H$423*(-1)</formula>
    </cfRule>
  </conditionalFormatting>
  <conditionalFormatting sqref="I424">
    <cfRule type="cellIs" dxfId="620" priority="821" stopIfTrue="1" operator="greaterThan">
      <formula>$H$424</formula>
    </cfRule>
  </conditionalFormatting>
  <conditionalFormatting sqref="I424">
    <cfRule type="cellIs" dxfId="619" priority="822" stopIfTrue="1" operator="lessThan">
      <formula>$H$424*(-1)</formula>
    </cfRule>
  </conditionalFormatting>
  <conditionalFormatting sqref="I425">
    <cfRule type="cellIs" dxfId="618" priority="823" stopIfTrue="1" operator="greaterThan">
      <formula>$H$425</formula>
    </cfRule>
  </conditionalFormatting>
  <conditionalFormatting sqref="I425">
    <cfRule type="cellIs" dxfId="617" priority="824" stopIfTrue="1" operator="lessThan">
      <formula>$H$425*(-1)</formula>
    </cfRule>
  </conditionalFormatting>
  <conditionalFormatting sqref="I426">
    <cfRule type="cellIs" dxfId="616" priority="825" stopIfTrue="1" operator="greaterThan">
      <formula>$H$426</formula>
    </cfRule>
  </conditionalFormatting>
  <conditionalFormatting sqref="I426">
    <cfRule type="cellIs" dxfId="615" priority="826" stopIfTrue="1" operator="lessThan">
      <formula>$H$426*(-1)</formula>
    </cfRule>
  </conditionalFormatting>
  <conditionalFormatting sqref="I427">
    <cfRule type="cellIs" dxfId="614" priority="827" stopIfTrue="1" operator="greaterThan">
      <formula>$H$427</formula>
    </cfRule>
  </conditionalFormatting>
  <conditionalFormatting sqref="I427">
    <cfRule type="cellIs" dxfId="613" priority="828" stopIfTrue="1" operator="lessThan">
      <formula>$H$427*(-1)</formula>
    </cfRule>
  </conditionalFormatting>
  <conditionalFormatting sqref="I428">
    <cfRule type="cellIs" dxfId="612" priority="829" stopIfTrue="1" operator="greaterThan">
      <formula>$H$428</formula>
    </cfRule>
  </conditionalFormatting>
  <conditionalFormatting sqref="I428">
    <cfRule type="cellIs" dxfId="611" priority="830" stopIfTrue="1" operator="lessThan">
      <formula>$H$428*(-1)</formula>
    </cfRule>
  </conditionalFormatting>
  <conditionalFormatting sqref="I429">
    <cfRule type="cellIs" dxfId="610" priority="831" stopIfTrue="1" operator="greaterThan">
      <formula>$H$429</formula>
    </cfRule>
  </conditionalFormatting>
  <conditionalFormatting sqref="I429">
    <cfRule type="cellIs" dxfId="609" priority="832" stopIfTrue="1" operator="lessThan">
      <formula>$H$429*(-1)</formula>
    </cfRule>
  </conditionalFormatting>
  <conditionalFormatting sqref="I430">
    <cfRule type="cellIs" dxfId="608" priority="833" stopIfTrue="1" operator="greaterThan">
      <formula>$H$430</formula>
    </cfRule>
  </conditionalFormatting>
  <conditionalFormatting sqref="I430">
    <cfRule type="cellIs" dxfId="607" priority="834" stopIfTrue="1" operator="lessThan">
      <formula>$H$430*(-1)</formula>
    </cfRule>
  </conditionalFormatting>
  <conditionalFormatting sqref="I431">
    <cfRule type="cellIs" dxfId="606" priority="835" stopIfTrue="1" operator="greaterThan">
      <formula>$H$431</formula>
    </cfRule>
  </conditionalFormatting>
  <conditionalFormatting sqref="I431">
    <cfRule type="cellIs" dxfId="605" priority="836" stopIfTrue="1" operator="lessThan">
      <formula>$H$431*(-1)</formula>
    </cfRule>
  </conditionalFormatting>
  <conditionalFormatting sqref="I432">
    <cfRule type="cellIs" dxfId="604" priority="837" stopIfTrue="1" operator="greaterThan">
      <formula>$H$432</formula>
    </cfRule>
  </conditionalFormatting>
  <conditionalFormatting sqref="I432">
    <cfRule type="cellIs" dxfId="603" priority="838" stopIfTrue="1" operator="lessThan">
      <formula>$H$432*(-1)</formula>
    </cfRule>
  </conditionalFormatting>
  <conditionalFormatting sqref="I433">
    <cfRule type="cellIs" dxfId="602" priority="839" stopIfTrue="1" operator="greaterThan">
      <formula>$H$433</formula>
    </cfRule>
  </conditionalFormatting>
  <conditionalFormatting sqref="I433">
    <cfRule type="cellIs" dxfId="601" priority="840" stopIfTrue="1" operator="lessThan">
      <formula>$H$433*(-1)</formula>
    </cfRule>
  </conditionalFormatting>
  <conditionalFormatting sqref="I434">
    <cfRule type="cellIs" dxfId="600" priority="841" stopIfTrue="1" operator="greaterThan">
      <formula>$H$434</formula>
    </cfRule>
  </conditionalFormatting>
  <conditionalFormatting sqref="I434">
    <cfRule type="cellIs" dxfId="599" priority="842" stopIfTrue="1" operator="lessThan">
      <formula>$H$434*(-1)</formula>
    </cfRule>
  </conditionalFormatting>
  <conditionalFormatting sqref="I435">
    <cfRule type="cellIs" dxfId="598" priority="843" stopIfTrue="1" operator="greaterThan">
      <formula>$H$435</formula>
    </cfRule>
  </conditionalFormatting>
  <conditionalFormatting sqref="I435">
    <cfRule type="cellIs" dxfId="597" priority="844" stopIfTrue="1" operator="lessThan">
      <formula>$H$435*(-1)</formula>
    </cfRule>
  </conditionalFormatting>
  <conditionalFormatting sqref="I436">
    <cfRule type="cellIs" dxfId="596" priority="845" stopIfTrue="1" operator="greaterThan">
      <formula>$H$436</formula>
    </cfRule>
  </conditionalFormatting>
  <conditionalFormatting sqref="I436">
    <cfRule type="cellIs" dxfId="595" priority="846" stopIfTrue="1" operator="lessThan">
      <formula>$H$436*(-1)</formula>
    </cfRule>
  </conditionalFormatting>
  <conditionalFormatting sqref="I437">
    <cfRule type="cellIs" dxfId="594" priority="847" stopIfTrue="1" operator="greaterThan">
      <formula>$H$437</formula>
    </cfRule>
  </conditionalFormatting>
  <conditionalFormatting sqref="I437">
    <cfRule type="cellIs" dxfId="593" priority="848" stopIfTrue="1" operator="lessThan">
      <formula>$H$437*(-1)</formula>
    </cfRule>
  </conditionalFormatting>
  <conditionalFormatting sqref="I438">
    <cfRule type="cellIs" dxfId="592" priority="849" stopIfTrue="1" operator="greaterThan">
      <formula>$H$438</formula>
    </cfRule>
  </conditionalFormatting>
  <conditionalFormatting sqref="I438">
    <cfRule type="cellIs" dxfId="591" priority="850" stopIfTrue="1" operator="lessThan">
      <formula>$H$438*(-1)</formula>
    </cfRule>
  </conditionalFormatting>
  <conditionalFormatting sqref="I439">
    <cfRule type="cellIs" dxfId="590" priority="851" stopIfTrue="1" operator="greaterThan">
      <formula>$H$439</formula>
    </cfRule>
  </conditionalFormatting>
  <conditionalFormatting sqref="I439">
    <cfRule type="cellIs" dxfId="589" priority="852" stopIfTrue="1" operator="lessThan">
      <formula>$H$439*(-1)</formula>
    </cfRule>
  </conditionalFormatting>
  <conditionalFormatting sqref="I440">
    <cfRule type="cellIs" dxfId="588" priority="853" stopIfTrue="1" operator="greaterThan">
      <formula>$H$440</formula>
    </cfRule>
  </conditionalFormatting>
  <conditionalFormatting sqref="I440">
    <cfRule type="cellIs" dxfId="587" priority="854" stopIfTrue="1" operator="lessThan">
      <formula>$H$440*(-1)</formula>
    </cfRule>
  </conditionalFormatting>
  <conditionalFormatting sqref="I441">
    <cfRule type="cellIs" dxfId="586" priority="855" stopIfTrue="1" operator="greaterThan">
      <formula>$H$441</formula>
    </cfRule>
  </conditionalFormatting>
  <conditionalFormatting sqref="I441">
    <cfRule type="cellIs" dxfId="585" priority="856" stopIfTrue="1" operator="lessThan">
      <formula>$H$441*(-1)</formula>
    </cfRule>
  </conditionalFormatting>
  <conditionalFormatting sqref="I442">
    <cfRule type="cellIs" dxfId="584" priority="857" stopIfTrue="1" operator="greaterThan">
      <formula>$H$442</formula>
    </cfRule>
  </conditionalFormatting>
  <conditionalFormatting sqref="I442">
    <cfRule type="cellIs" dxfId="583" priority="858" stopIfTrue="1" operator="lessThan">
      <formula>$H$442*(-1)</formula>
    </cfRule>
  </conditionalFormatting>
  <conditionalFormatting sqref="I443">
    <cfRule type="cellIs" dxfId="582" priority="859" stopIfTrue="1" operator="greaterThan">
      <formula>$H$443</formula>
    </cfRule>
  </conditionalFormatting>
  <conditionalFormatting sqref="I443">
    <cfRule type="cellIs" dxfId="581" priority="860" stopIfTrue="1" operator="lessThan">
      <formula>$H$443*(-1)</formula>
    </cfRule>
  </conditionalFormatting>
  <conditionalFormatting sqref="I444">
    <cfRule type="cellIs" dxfId="580" priority="861" stopIfTrue="1" operator="greaterThan">
      <formula>$H$444</formula>
    </cfRule>
  </conditionalFormatting>
  <conditionalFormatting sqref="I444">
    <cfRule type="cellIs" dxfId="579" priority="862" stopIfTrue="1" operator="lessThan">
      <formula>$H$444*(-1)</formula>
    </cfRule>
  </conditionalFormatting>
  <conditionalFormatting sqref="I445">
    <cfRule type="cellIs" dxfId="578" priority="863" stopIfTrue="1" operator="greaterThan">
      <formula>$H$445</formula>
    </cfRule>
  </conditionalFormatting>
  <conditionalFormatting sqref="I445">
    <cfRule type="cellIs" dxfId="577" priority="864" stopIfTrue="1" operator="lessThan">
      <formula>$H$445*(-1)</formula>
    </cfRule>
  </conditionalFormatting>
  <conditionalFormatting sqref="I446">
    <cfRule type="cellIs" dxfId="576" priority="865" stopIfTrue="1" operator="greaterThan">
      <formula>$H$446</formula>
    </cfRule>
  </conditionalFormatting>
  <conditionalFormatting sqref="I446">
    <cfRule type="cellIs" dxfId="575" priority="866" stopIfTrue="1" operator="lessThan">
      <formula>$H$446*(-1)</formula>
    </cfRule>
  </conditionalFormatting>
  <conditionalFormatting sqref="I447">
    <cfRule type="cellIs" dxfId="574" priority="867" stopIfTrue="1" operator="greaterThan">
      <formula>$H$447</formula>
    </cfRule>
  </conditionalFormatting>
  <conditionalFormatting sqref="I447">
    <cfRule type="cellIs" dxfId="573" priority="868" stopIfTrue="1" operator="lessThan">
      <formula>$H$447*(-1)</formula>
    </cfRule>
  </conditionalFormatting>
  <conditionalFormatting sqref="I448">
    <cfRule type="cellIs" dxfId="572" priority="869" stopIfTrue="1" operator="greaterThan">
      <formula>$H$448</formula>
    </cfRule>
  </conditionalFormatting>
  <conditionalFormatting sqref="I448">
    <cfRule type="cellIs" dxfId="571" priority="870" stopIfTrue="1" operator="lessThan">
      <formula>$H$448*(-1)</formula>
    </cfRule>
  </conditionalFormatting>
  <conditionalFormatting sqref="I449">
    <cfRule type="cellIs" dxfId="570" priority="871" stopIfTrue="1" operator="greaterThan">
      <formula>$H$449</formula>
    </cfRule>
  </conditionalFormatting>
  <conditionalFormatting sqref="I449">
    <cfRule type="cellIs" dxfId="569" priority="872" stopIfTrue="1" operator="lessThan">
      <formula>$H$449*(-1)</formula>
    </cfRule>
  </conditionalFormatting>
  <conditionalFormatting sqref="I450">
    <cfRule type="cellIs" dxfId="568" priority="873" stopIfTrue="1" operator="greaterThan">
      <formula>$H$450</formula>
    </cfRule>
  </conditionalFormatting>
  <conditionalFormatting sqref="I450">
    <cfRule type="cellIs" dxfId="567" priority="874" stopIfTrue="1" operator="lessThan">
      <formula>$H$450*(-1)</formula>
    </cfRule>
  </conditionalFormatting>
  <conditionalFormatting sqref="I451">
    <cfRule type="cellIs" dxfId="566" priority="875" stopIfTrue="1" operator="greaterThan">
      <formula>$H$451</formula>
    </cfRule>
  </conditionalFormatting>
  <conditionalFormatting sqref="I451">
    <cfRule type="cellIs" dxfId="565" priority="876" stopIfTrue="1" operator="lessThan">
      <formula>$H$451*(-1)</formula>
    </cfRule>
  </conditionalFormatting>
  <conditionalFormatting sqref="I452">
    <cfRule type="cellIs" dxfId="564" priority="877" stopIfTrue="1" operator="greaterThan">
      <formula>$H$452</formula>
    </cfRule>
  </conditionalFormatting>
  <conditionalFormatting sqref="I452">
    <cfRule type="cellIs" dxfId="563" priority="878" stopIfTrue="1" operator="lessThan">
      <formula>$H$452*(-1)</formula>
    </cfRule>
  </conditionalFormatting>
  <conditionalFormatting sqref="I453">
    <cfRule type="cellIs" dxfId="562" priority="879" stopIfTrue="1" operator="greaterThan">
      <formula>$H$453</formula>
    </cfRule>
  </conditionalFormatting>
  <conditionalFormatting sqref="I453">
    <cfRule type="cellIs" dxfId="561" priority="880" stopIfTrue="1" operator="lessThan">
      <formula>$H$453*(-1)</formula>
    </cfRule>
  </conditionalFormatting>
  <conditionalFormatting sqref="I454">
    <cfRule type="cellIs" dxfId="560" priority="881" stopIfTrue="1" operator="greaterThan">
      <formula>$H$454</formula>
    </cfRule>
  </conditionalFormatting>
  <conditionalFormatting sqref="I454">
    <cfRule type="cellIs" dxfId="559" priority="882" stopIfTrue="1" operator="lessThan">
      <formula>$H$454*(-1)</formula>
    </cfRule>
  </conditionalFormatting>
  <conditionalFormatting sqref="I455">
    <cfRule type="cellIs" dxfId="558" priority="883" stopIfTrue="1" operator="greaterThan">
      <formula>$H$455</formula>
    </cfRule>
  </conditionalFormatting>
  <conditionalFormatting sqref="I455">
    <cfRule type="cellIs" dxfId="557" priority="884" stopIfTrue="1" operator="lessThan">
      <formula>$H$455*(-1)</formula>
    </cfRule>
  </conditionalFormatting>
  <conditionalFormatting sqref="I456">
    <cfRule type="cellIs" dxfId="556" priority="885" stopIfTrue="1" operator="greaterThan">
      <formula>$H$456</formula>
    </cfRule>
  </conditionalFormatting>
  <conditionalFormatting sqref="I456">
    <cfRule type="cellIs" dxfId="555" priority="886" stopIfTrue="1" operator="lessThan">
      <formula>$H$456*(-1)</formula>
    </cfRule>
  </conditionalFormatting>
  <conditionalFormatting sqref="I457">
    <cfRule type="cellIs" dxfId="554" priority="887" stopIfTrue="1" operator="greaterThan">
      <formula>$H$457</formula>
    </cfRule>
  </conditionalFormatting>
  <conditionalFormatting sqref="I457">
    <cfRule type="cellIs" dxfId="553" priority="888" stopIfTrue="1" operator="lessThan">
      <formula>$H$457*(-1)</formula>
    </cfRule>
  </conditionalFormatting>
  <conditionalFormatting sqref="I458">
    <cfRule type="cellIs" dxfId="552" priority="889" stopIfTrue="1" operator="greaterThan">
      <formula>$H$458</formula>
    </cfRule>
  </conditionalFormatting>
  <conditionalFormatting sqref="I458">
    <cfRule type="cellIs" dxfId="551" priority="890" stopIfTrue="1" operator="lessThan">
      <formula>$H$458*(-1)</formula>
    </cfRule>
  </conditionalFormatting>
  <conditionalFormatting sqref="I459">
    <cfRule type="cellIs" dxfId="550" priority="891" stopIfTrue="1" operator="greaterThan">
      <formula>$H$459</formula>
    </cfRule>
  </conditionalFormatting>
  <conditionalFormatting sqref="I459">
    <cfRule type="cellIs" dxfId="549" priority="892" stopIfTrue="1" operator="lessThan">
      <formula>$H$459*(-1)</formula>
    </cfRule>
  </conditionalFormatting>
  <conditionalFormatting sqref="I460">
    <cfRule type="cellIs" dxfId="548" priority="893" stopIfTrue="1" operator="greaterThan">
      <formula>$H$460</formula>
    </cfRule>
  </conditionalFormatting>
  <conditionalFormatting sqref="I460">
    <cfRule type="cellIs" dxfId="547" priority="894" stopIfTrue="1" operator="lessThan">
      <formula>$H$460*(-1)</formula>
    </cfRule>
  </conditionalFormatting>
  <conditionalFormatting sqref="I461">
    <cfRule type="cellIs" dxfId="546" priority="895" stopIfTrue="1" operator="greaterThan">
      <formula>$H$461</formula>
    </cfRule>
  </conditionalFormatting>
  <conditionalFormatting sqref="I461">
    <cfRule type="cellIs" dxfId="545" priority="896" stopIfTrue="1" operator="lessThan">
      <formula>$H$461*(-1)</formula>
    </cfRule>
  </conditionalFormatting>
  <conditionalFormatting sqref="I462">
    <cfRule type="cellIs" dxfId="544" priority="897" stopIfTrue="1" operator="greaterThan">
      <formula>$H$462</formula>
    </cfRule>
  </conditionalFormatting>
  <conditionalFormatting sqref="I462">
    <cfRule type="cellIs" dxfId="543" priority="898" stopIfTrue="1" operator="lessThan">
      <formula>$H$462*(-1)</formula>
    </cfRule>
  </conditionalFormatting>
  <conditionalFormatting sqref="I463">
    <cfRule type="cellIs" dxfId="542" priority="899" stopIfTrue="1" operator="greaterThan">
      <formula>$H$463</formula>
    </cfRule>
  </conditionalFormatting>
  <conditionalFormatting sqref="I463">
    <cfRule type="cellIs" dxfId="541" priority="900" stopIfTrue="1" operator="lessThan">
      <formula>$H$463*(-1)</formula>
    </cfRule>
  </conditionalFormatting>
  <conditionalFormatting sqref="I464">
    <cfRule type="cellIs" dxfId="540" priority="901" stopIfTrue="1" operator="greaterThan">
      <formula>$H$464</formula>
    </cfRule>
  </conditionalFormatting>
  <conditionalFormatting sqref="I464">
    <cfRule type="cellIs" dxfId="539" priority="902" stopIfTrue="1" operator="lessThan">
      <formula>$H$464*(-1)</formula>
    </cfRule>
  </conditionalFormatting>
  <conditionalFormatting sqref="I465">
    <cfRule type="cellIs" dxfId="538" priority="903" stopIfTrue="1" operator="greaterThan">
      <formula>$H$465</formula>
    </cfRule>
  </conditionalFormatting>
  <conditionalFormatting sqref="I465">
    <cfRule type="cellIs" dxfId="537" priority="904" stopIfTrue="1" operator="lessThan">
      <formula>$H$465*(-1)</formula>
    </cfRule>
  </conditionalFormatting>
  <conditionalFormatting sqref="I466">
    <cfRule type="cellIs" dxfId="536" priority="905" stopIfTrue="1" operator="greaterThan">
      <formula>$H$466</formula>
    </cfRule>
  </conditionalFormatting>
  <conditionalFormatting sqref="I466">
    <cfRule type="cellIs" dxfId="535" priority="906" stopIfTrue="1" operator="lessThan">
      <formula>$H$466*(-1)</formula>
    </cfRule>
  </conditionalFormatting>
  <conditionalFormatting sqref="I467">
    <cfRule type="cellIs" dxfId="534" priority="907" stopIfTrue="1" operator="greaterThan">
      <formula>$H$467</formula>
    </cfRule>
  </conditionalFormatting>
  <conditionalFormatting sqref="I467">
    <cfRule type="cellIs" dxfId="533" priority="908" stopIfTrue="1" operator="lessThan">
      <formula>$H$467*(-1)</formula>
    </cfRule>
  </conditionalFormatting>
  <conditionalFormatting sqref="I468">
    <cfRule type="cellIs" dxfId="532" priority="909" stopIfTrue="1" operator="greaterThan">
      <formula>$H$468</formula>
    </cfRule>
  </conditionalFormatting>
  <conditionalFormatting sqref="I468">
    <cfRule type="cellIs" dxfId="531" priority="910" stopIfTrue="1" operator="lessThan">
      <formula>$H$468*(-1)</formula>
    </cfRule>
  </conditionalFormatting>
  <conditionalFormatting sqref="I469">
    <cfRule type="cellIs" dxfId="530" priority="911" stopIfTrue="1" operator="greaterThan">
      <formula>$H$469</formula>
    </cfRule>
  </conditionalFormatting>
  <conditionalFormatting sqref="I469">
    <cfRule type="cellIs" dxfId="529" priority="912" stopIfTrue="1" operator="lessThan">
      <formula>$H$469*(-1)</formula>
    </cfRule>
  </conditionalFormatting>
  <conditionalFormatting sqref="I470">
    <cfRule type="cellIs" dxfId="528" priority="913" stopIfTrue="1" operator="greaterThan">
      <formula>$H$470</formula>
    </cfRule>
  </conditionalFormatting>
  <conditionalFormatting sqref="I470">
    <cfRule type="cellIs" dxfId="527" priority="914" stopIfTrue="1" operator="lessThan">
      <formula>$H$470*(-1)</formula>
    </cfRule>
  </conditionalFormatting>
  <conditionalFormatting sqref="I471">
    <cfRule type="cellIs" dxfId="526" priority="915" stopIfTrue="1" operator="greaterThan">
      <formula>$H$471</formula>
    </cfRule>
  </conditionalFormatting>
  <conditionalFormatting sqref="I471">
    <cfRule type="cellIs" dxfId="525" priority="916" stopIfTrue="1" operator="lessThan">
      <formula>$H$471*(-1)</formula>
    </cfRule>
  </conditionalFormatting>
  <conditionalFormatting sqref="I472">
    <cfRule type="cellIs" dxfId="524" priority="917" stopIfTrue="1" operator="greaterThan">
      <formula>$H$472</formula>
    </cfRule>
  </conditionalFormatting>
  <conditionalFormatting sqref="I472">
    <cfRule type="cellIs" dxfId="523" priority="918" stopIfTrue="1" operator="lessThan">
      <formula>$H$472*(-1)</formula>
    </cfRule>
  </conditionalFormatting>
  <conditionalFormatting sqref="I473">
    <cfRule type="cellIs" dxfId="522" priority="919" stopIfTrue="1" operator="greaterThan">
      <formula>$H$473</formula>
    </cfRule>
  </conditionalFormatting>
  <conditionalFormatting sqref="I473">
    <cfRule type="cellIs" dxfId="521" priority="920" stopIfTrue="1" operator="lessThan">
      <formula>$H$473*(-1)</formula>
    </cfRule>
  </conditionalFormatting>
  <conditionalFormatting sqref="I474">
    <cfRule type="cellIs" dxfId="520" priority="921" stopIfTrue="1" operator="greaterThan">
      <formula>$H$474</formula>
    </cfRule>
  </conditionalFormatting>
  <conditionalFormatting sqref="I474">
    <cfRule type="cellIs" dxfId="519" priority="922" stopIfTrue="1" operator="lessThan">
      <formula>$H$474*(-1)</formula>
    </cfRule>
  </conditionalFormatting>
  <conditionalFormatting sqref="I475">
    <cfRule type="cellIs" dxfId="518" priority="923" stopIfTrue="1" operator="greaterThan">
      <formula>$H$475</formula>
    </cfRule>
  </conditionalFormatting>
  <conditionalFormatting sqref="I475">
    <cfRule type="cellIs" dxfId="517" priority="924" stopIfTrue="1" operator="lessThan">
      <formula>$H$475*(-1)</formula>
    </cfRule>
  </conditionalFormatting>
  <conditionalFormatting sqref="I476">
    <cfRule type="cellIs" dxfId="516" priority="925" stopIfTrue="1" operator="greaterThan">
      <formula>$H$476</formula>
    </cfRule>
  </conditionalFormatting>
  <conditionalFormatting sqref="I476">
    <cfRule type="cellIs" dxfId="515" priority="926" stopIfTrue="1" operator="lessThan">
      <formula>$H$476*(-1)</formula>
    </cfRule>
  </conditionalFormatting>
  <conditionalFormatting sqref="I477">
    <cfRule type="cellIs" dxfId="514" priority="927" stopIfTrue="1" operator="greaterThan">
      <formula>$H$477</formula>
    </cfRule>
  </conditionalFormatting>
  <conditionalFormatting sqref="I477">
    <cfRule type="cellIs" dxfId="513" priority="928" stopIfTrue="1" operator="lessThan">
      <formula>$H$477*(-1)</formula>
    </cfRule>
  </conditionalFormatting>
  <conditionalFormatting sqref="I478">
    <cfRule type="cellIs" dxfId="512" priority="929" stopIfTrue="1" operator="greaterThan">
      <formula>$H$478</formula>
    </cfRule>
  </conditionalFormatting>
  <conditionalFormatting sqref="I478">
    <cfRule type="cellIs" dxfId="511" priority="930" stopIfTrue="1" operator="lessThan">
      <formula>$H$478*(-1)</formula>
    </cfRule>
  </conditionalFormatting>
  <conditionalFormatting sqref="I479">
    <cfRule type="cellIs" dxfId="510" priority="931" stopIfTrue="1" operator="greaterThan">
      <formula>$H$479</formula>
    </cfRule>
  </conditionalFormatting>
  <conditionalFormatting sqref="I479">
    <cfRule type="cellIs" dxfId="509" priority="932" stopIfTrue="1" operator="lessThan">
      <formula>$H$479*(-1)</formula>
    </cfRule>
  </conditionalFormatting>
  <conditionalFormatting sqref="I480">
    <cfRule type="cellIs" dxfId="508" priority="933" stopIfTrue="1" operator="greaterThan">
      <formula>$H$480</formula>
    </cfRule>
  </conditionalFormatting>
  <conditionalFormatting sqref="I480">
    <cfRule type="cellIs" dxfId="507" priority="934" stopIfTrue="1" operator="lessThan">
      <formula>$H$480*(-1)</formula>
    </cfRule>
  </conditionalFormatting>
  <conditionalFormatting sqref="I481">
    <cfRule type="cellIs" dxfId="506" priority="935" stopIfTrue="1" operator="greaterThan">
      <formula>$H$481</formula>
    </cfRule>
  </conditionalFormatting>
  <conditionalFormatting sqref="I481">
    <cfRule type="cellIs" dxfId="505" priority="936" stopIfTrue="1" operator="lessThan">
      <formula>$H$481*(-1)</formula>
    </cfRule>
  </conditionalFormatting>
  <conditionalFormatting sqref="I482">
    <cfRule type="cellIs" dxfId="504" priority="937" stopIfTrue="1" operator="greaterThan">
      <formula>$H$482</formula>
    </cfRule>
  </conditionalFormatting>
  <conditionalFormatting sqref="I482">
    <cfRule type="cellIs" dxfId="503" priority="938" stopIfTrue="1" operator="lessThan">
      <formula>$H$482*(-1)</formula>
    </cfRule>
  </conditionalFormatting>
  <conditionalFormatting sqref="I483">
    <cfRule type="cellIs" dxfId="502" priority="939" stopIfTrue="1" operator="greaterThan">
      <formula>$H$483</formula>
    </cfRule>
  </conditionalFormatting>
  <conditionalFormatting sqref="I483">
    <cfRule type="cellIs" dxfId="501" priority="940" stopIfTrue="1" operator="lessThan">
      <formula>$H$483*(-1)</formula>
    </cfRule>
  </conditionalFormatting>
  <conditionalFormatting sqref="I484">
    <cfRule type="cellIs" dxfId="500" priority="941" stopIfTrue="1" operator="greaterThan">
      <formula>$H$484</formula>
    </cfRule>
  </conditionalFormatting>
  <conditionalFormatting sqref="I484">
    <cfRule type="cellIs" dxfId="499" priority="942" stopIfTrue="1" operator="lessThan">
      <formula>$H$484*(-1)</formula>
    </cfRule>
  </conditionalFormatting>
  <conditionalFormatting sqref="I485">
    <cfRule type="cellIs" dxfId="498" priority="943" stopIfTrue="1" operator="greaterThan">
      <formula>$H$485</formula>
    </cfRule>
  </conditionalFormatting>
  <conditionalFormatting sqref="I485">
    <cfRule type="cellIs" dxfId="497" priority="944" stopIfTrue="1" operator="lessThan">
      <formula>$H$485*(-1)</formula>
    </cfRule>
  </conditionalFormatting>
  <conditionalFormatting sqref="I486">
    <cfRule type="cellIs" dxfId="496" priority="945" stopIfTrue="1" operator="greaterThan">
      <formula>$H$486</formula>
    </cfRule>
  </conditionalFormatting>
  <conditionalFormatting sqref="I486">
    <cfRule type="cellIs" dxfId="495" priority="946" stopIfTrue="1" operator="lessThan">
      <formula>$H$486*(-1)</formula>
    </cfRule>
  </conditionalFormatting>
  <conditionalFormatting sqref="I487">
    <cfRule type="cellIs" dxfId="494" priority="947" stopIfTrue="1" operator="greaterThan">
      <formula>$H$487</formula>
    </cfRule>
  </conditionalFormatting>
  <conditionalFormatting sqref="I487">
    <cfRule type="cellIs" dxfId="493" priority="948" stopIfTrue="1" operator="lessThan">
      <formula>$H$487*(-1)</formula>
    </cfRule>
  </conditionalFormatting>
  <conditionalFormatting sqref="I488">
    <cfRule type="cellIs" dxfId="492" priority="949" stopIfTrue="1" operator="greaterThan">
      <formula>$H$488</formula>
    </cfRule>
  </conditionalFormatting>
  <conditionalFormatting sqref="I488">
    <cfRule type="cellIs" dxfId="491" priority="950" stopIfTrue="1" operator="lessThan">
      <formula>$H$488*(-1)</formula>
    </cfRule>
  </conditionalFormatting>
  <conditionalFormatting sqref="I489">
    <cfRule type="cellIs" dxfId="490" priority="951" stopIfTrue="1" operator="greaterThan">
      <formula>$H$489</formula>
    </cfRule>
  </conditionalFormatting>
  <conditionalFormatting sqref="I489">
    <cfRule type="cellIs" dxfId="489" priority="952" stopIfTrue="1" operator="lessThan">
      <formula>$H$489*(-1)</formula>
    </cfRule>
  </conditionalFormatting>
  <conditionalFormatting sqref="I490">
    <cfRule type="cellIs" dxfId="488" priority="953" stopIfTrue="1" operator="greaterThan">
      <formula>$H$490</formula>
    </cfRule>
  </conditionalFormatting>
  <conditionalFormatting sqref="I490">
    <cfRule type="cellIs" dxfId="487" priority="954" stopIfTrue="1" operator="lessThan">
      <formula>$H$490*(-1)</formula>
    </cfRule>
  </conditionalFormatting>
  <conditionalFormatting sqref="I491">
    <cfRule type="cellIs" dxfId="486" priority="955" stopIfTrue="1" operator="greaterThan">
      <formula>$H$491</formula>
    </cfRule>
  </conditionalFormatting>
  <conditionalFormatting sqref="I491">
    <cfRule type="cellIs" dxfId="485" priority="956" stopIfTrue="1" operator="lessThan">
      <formula>$H$491*(-1)</formula>
    </cfRule>
  </conditionalFormatting>
  <conditionalFormatting sqref="I492">
    <cfRule type="cellIs" dxfId="484" priority="957" stopIfTrue="1" operator="greaterThan">
      <formula>$H$492</formula>
    </cfRule>
  </conditionalFormatting>
  <conditionalFormatting sqref="I492">
    <cfRule type="cellIs" dxfId="483" priority="958" stopIfTrue="1" operator="lessThan">
      <formula>$H$492*(-1)</formula>
    </cfRule>
  </conditionalFormatting>
  <conditionalFormatting sqref="I493">
    <cfRule type="cellIs" dxfId="482" priority="959" stopIfTrue="1" operator="greaterThan">
      <formula>$H$493</formula>
    </cfRule>
  </conditionalFormatting>
  <conditionalFormatting sqref="I493">
    <cfRule type="cellIs" dxfId="481" priority="960" stopIfTrue="1" operator="lessThan">
      <formula>$H$493*(-1)</formula>
    </cfRule>
  </conditionalFormatting>
  <conditionalFormatting sqref="I494">
    <cfRule type="cellIs" dxfId="480" priority="961" stopIfTrue="1" operator="greaterThan">
      <formula>$H$494</formula>
    </cfRule>
  </conditionalFormatting>
  <conditionalFormatting sqref="I494">
    <cfRule type="cellIs" dxfId="479" priority="962" stopIfTrue="1" operator="lessThan">
      <formula>$H$494*(-1)</formula>
    </cfRule>
  </conditionalFormatting>
  <conditionalFormatting sqref="I495">
    <cfRule type="cellIs" dxfId="478" priority="963" stopIfTrue="1" operator="greaterThan">
      <formula>$H$495</formula>
    </cfRule>
  </conditionalFormatting>
  <conditionalFormatting sqref="I495">
    <cfRule type="cellIs" dxfId="477" priority="964" stopIfTrue="1" operator="lessThan">
      <formula>$H$495*(-1)</formula>
    </cfRule>
  </conditionalFormatting>
  <conditionalFormatting sqref="I496">
    <cfRule type="cellIs" dxfId="476" priority="965" stopIfTrue="1" operator="greaterThan">
      <formula>$H$496</formula>
    </cfRule>
  </conditionalFormatting>
  <conditionalFormatting sqref="I496">
    <cfRule type="cellIs" dxfId="475" priority="966" stopIfTrue="1" operator="lessThan">
      <formula>$H$496*(-1)</formula>
    </cfRule>
  </conditionalFormatting>
  <conditionalFormatting sqref="I497">
    <cfRule type="cellIs" dxfId="474" priority="967" stopIfTrue="1" operator="greaterThan">
      <formula>$H$497</formula>
    </cfRule>
  </conditionalFormatting>
  <conditionalFormatting sqref="I497">
    <cfRule type="cellIs" dxfId="473" priority="968" stopIfTrue="1" operator="lessThan">
      <formula>$H$497*(-1)</formula>
    </cfRule>
  </conditionalFormatting>
  <conditionalFormatting sqref="I498">
    <cfRule type="cellIs" dxfId="472" priority="969" stopIfTrue="1" operator="greaterThan">
      <formula>$H$498</formula>
    </cfRule>
  </conditionalFormatting>
  <conditionalFormatting sqref="I498">
    <cfRule type="cellIs" dxfId="471" priority="970" stopIfTrue="1" operator="lessThan">
      <formula>$H$498*(-1)</formula>
    </cfRule>
  </conditionalFormatting>
  <conditionalFormatting sqref="I499">
    <cfRule type="cellIs" dxfId="470" priority="971" stopIfTrue="1" operator="greaterThan">
      <formula>$H$499</formula>
    </cfRule>
  </conditionalFormatting>
  <conditionalFormatting sqref="I499">
    <cfRule type="cellIs" dxfId="469" priority="972" stopIfTrue="1" operator="lessThan">
      <formula>$H$499*(-1)</formula>
    </cfRule>
  </conditionalFormatting>
  <conditionalFormatting sqref="I500">
    <cfRule type="cellIs" dxfId="468" priority="973" stopIfTrue="1" operator="greaterThan">
      <formula>$H$500</formula>
    </cfRule>
  </conditionalFormatting>
  <conditionalFormatting sqref="I500">
    <cfRule type="cellIs" dxfId="467" priority="974" stopIfTrue="1" operator="lessThan">
      <formula>$H$500*(-1)</formula>
    </cfRule>
  </conditionalFormatting>
  <conditionalFormatting sqref="I501">
    <cfRule type="cellIs" dxfId="466" priority="975" stopIfTrue="1" operator="greaterThan">
      <formula>$H$501</formula>
    </cfRule>
  </conditionalFormatting>
  <conditionalFormatting sqref="I501">
    <cfRule type="cellIs" dxfId="465" priority="976" stopIfTrue="1" operator="lessThan">
      <formula>$H$501*(-1)</formula>
    </cfRule>
  </conditionalFormatting>
  <conditionalFormatting sqref="I502">
    <cfRule type="cellIs" dxfId="464" priority="977" stopIfTrue="1" operator="greaterThan">
      <formula>$H$502</formula>
    </cfRule>
  </conditionalFormatting>
  <conditionalFormatting sqref="I502">
    <cfRule type="cellIs" dxfId="463" priority="978" stopIfTrue="1" operator="lessThan">
      <formula>$H$502*(-1)</formula>
    </cfRule>
  </conditionalFormatting>
  <conditionalFormatting sqref="I503">
    <cfRule type="cellIs" dxfId="462" priority="979" stopIfTrue="1" operator="greaterThan">
      <formula>$H$503</formula>
    </cfRule>
  </conditionalFormatting>
  <conditionalFormatting sqref="I503">
    <cfRule type="cellIs" dxfId="461" priority="980" stopIfTrue="1" operator="lessThan">
      <formula>$H$503*(-1)</formula>
    </cfRule>
  </conditionalFormatting>
  <conditionalFormatting sqref="I504">
    <cfRule type="cellIs" dxfId="460" priority="981" stopIfTrue="1" operator="greaterThan">
      <formula>$H$504</formula>
    </cfRule>
  </conditionalFormatting>
  <conditionalFormatting sqref="I504">
    <cfRule type="cellIs" dxfId="459" priority="982" stopIfTrue="1" operator="lessThan">
      <formula>$H$504*(-1)</formula>
    </cfRule>
  </conditionalFormatting>
  <conditionalFormatting sqref="I505">
    <cfRule type="cellIs" dxfId="458" priority="983" stopIfTrue="1" operator="greaterThan">
      <formula>$H$505</formula>
    </cfRule>
  </conditionalFormatting>
  <conditionalFormatting sqref="I505">
    <cfRule type="cellIs" dxfId="457" priority="984" stopIfTrue="1" operator="lessThan">
      <formula>$H$505*(-1)</formula>
    </cfRule>
  </conditionalFormatting>
  <conditionalFormatting sqref="I506">
    <cfRule type="cellIs" dxfId="456" priority="985" stopIfTrue="1" operator="greaterThan">
      <formula>$H$506</formula>
    </cfRule>
  </conditionalFormatting>
  <conditionalFormatting sqref="I506">
    <cfRule type="cellIs" dxfId="455" priority="986" stopIfTrue="1" operator="lessThan">
      <formula>$H$506*(-1)</formula>
    </cfRule>
  </conditionalFormatting>
  <conditionalFormatting sqref="I507">
    <cfRule type="cellIs" dxfId="454" priority="987" stopIfTrue="1" operator="greaterThan">
      <formula>$H$507</formula>
    </cfRule>
  </conditionalFormatting>
  <conditionalFormatting sqref="I507">
    <cfRule type="cellIs" dxfId="453" priority="988" stopIfTrue="1" operator="lessThan">
      <formula>$H$507*(-1)</formula>
    </cfRule>
  </conditionalFormatting>
  <conditionalFormatting sqref="I508">
    <cfRule type="cellIs" dxfId="452" priority="989" stopIfTrue="1" operator="greaterThan">
      <formula>$H$508</formula>
    </cfRule>
  </conditionalFormatting>
  <conditionalFormatting sqref="I508">
    <cfRule type="cellIs" dxfId="451" priority="990" stopIfTrue="1" operator="lessThan">
      <formula>$H$508*(-1)</formula>
    </cfRule>
  </conditionalFormatting>
  <conditionalFormatting sqref="I509">
    <cfRule type="cellIs" dxfId="450" priority="991" stopIfTrue="1" operator="greaterThan">
      <formula>$H$509</formula>
    </cfRule>
  </conditionalFormatting>
  <conditionalFormatting sqref="I509">
    <cfRule type="cellIs" dxfId="449" priority="992" stopIfTrue="1" operator="lessThan">
      <formula>$H$509*(-1)</formula>
    </cfRule>
  </conditionalFormatting>
  <conditionalFormatting sqref="I510">
    <cfRule type="cellIs" dxfId="448" priority="993" stopIfTrue="1" operator="greaterThan">
      <formula>$H$510</formula>
    </cfRule>
  </conditionalFormatting>
  <conditionalFormatting sqref="I510">
    <cfRule type="cellIs" dxfId="447" priority="994" stopIfTrue="1" operator="lessThan">
      <formula>$H$510*(-1)</formula>
    </cfRule>
  </conditionalFormatting>
  <conditionalFormatting sqref="I511">
    <cfRule type="cellIs" dxfId="446" priority="995" stopIfTrue="1" operator="greaterThan">
      <formula>$H$511</formula>
    </cfRule>
  </conditionalFormatting>
  <conditionalFormatting sqref="I511">
    <cfRule type="cellIs" dxfId="445" priority="996" stopIfTrue="1" operator="lessThan">
      <formula>$H$511*(-1)</formula>
    </cfRule>
  </conditionalFormatting>
  <conditionalFormatting sqref="I512">
    <cfRule type="cellIs" dxfId="444" priority="997" stopIfTrue="1" operator="greaterThan">
      <formula>$H$512</formula>
    </cfRule>
  </conditionalFormatting>
  <conditionalFormatting sqref="I512">
    <cfRule type="cellIs" dxfId="443" priority="998" stopIfTrue="1" operator="lessThan">
      <formula>$H$512*(-1)</formula>
    </cfRule>
  </conditionalFormatting>
  <conditionalFormatting sqref="I513">
    <cfRule type="cellIs" dxfId="442" priority="999" stopIfTrue="1" operator="greaterThan">
      <formula>$H$513</formula>
    </cfRule>
  </conditionalFormatting>
  <conditionalFormatting sqref="I513">
    <cfRule type="cellIs" dxfId="441" priority="1000" stopIfTrue="1" operator="lessThan">
      <formula>$H$513*(-1)</formula>
    </cfRule>
  </conditionalFormatting>
  <conditionalFormatting sqref="I514">
    <cfRule type="cellIs" dxfId="440" priority="1001" stopIfTrue="1" operator="greaterThan">
      <formula>$H$514</formula>
    </cfRule>
  </conditionalFormatting>
  <conditionalFormatting sqref="I514">
    <cfRule type="cellIs" dxfId="439" priority="1002" stopIfTrue="1" operator="lessThan">
      <formula>$H$514*(-1)</formula>
    </cfRule>
  </conditionalFormatting>
  <conditionalFormatting sqref="I515">
    <cfRule type="cellIs" dxfId="438" priority="1003" stopIfTrue="1" operator="greaterThan">
      <formula>$H$515</formula>
    </cfRule>
  </conditionalFormatting>
  <conditionalFormatting sqref="I515">
    <cfRule type="cellIs" dxfId="437" priority="1004" stopIfTrue="1" operator="lessThan">
      <formula>$H$515*(-1)</formula>
    </cfRule>
  </conditionalFormatting>
  <conditionalFormatting sqref="I516">
    <cfRule type="cellIs" dxfId="436" priority="1005" stopIfTrue="1" operator="greaterThan">
      <formula>$H$516</formula>
    </cfRule>
  </conditionalFormatting>
  <conditionalFormatting sqref="I516">
    <cfRule type="cellIs" dxfId="435" priority="1006" stopIfTrue="1" operator="lessThan">
      <formula>$H$516*(-1)</formula>
    </cfRule>
  </conditionalFormatting>
  <conditionalFormatting sqref="I517">
    <cfRule type="cellIs" dxfId="434" priority="1007" stopIfTrue="1" operator="greaterThan">
      <formula>$H$517</formula>
    </cfRule>
  </conditionalFormatting>
  <conditionalFormatting sqref="I517">
    <cfRule type="cellIs" dxfId="433" priority="1008" stopIfTrue="1" operator="lessThan">
      <formula>$H$517*(-1)</formula>
    </cfRule>
  </conditionalFormatting>
  <conditionalFormatting sqref="I518">
    <cfRule type="cellIs" dxfId="432" priority="1009" stopIfTrue="1" operator="greaterThan">
      <formula>$H$518</formula>
    </cfRule>
  </conditionalFormatting>
  <conditionalFormatting sqref="I518">
    <cfRule type="cellIs" dxfId="431" priority="1010" stopIfTrue="1" operator="lessThan">
      <formula>$H$518*(-1)</formula>
    </cfRule>
  </conditionalFormatting>
  <conditionalFormatting sqref="I519">
    <cfRule type="cellIs" dxfId="430" priority="1011" stopIfTrue="1" operator="greaterThan">
      <formula>$H$519</formula>
    </cfRule>
  </conditionalFormatting>
  <conditionalFormatting sqref="I519">
    <cfRule type="cellIs" dxfId="429" priority="1012" stopIfTrue="1" operator="lessThan">
      <formula>$H$519*(-1)</formula>
    </cfRule>
  </conditionalFormatting>
  <conditionalFormatting sqref="I520">
    <cfRule type="cellIs" dxfId="428" priority="1013" stopIfTrue="1" operator="greaterThan">
      <formula>$H$520</formula>
    </cfRule>
  </conditionalFormatting>
  <conditionalFormatting sqref="I520">
    <cfRule type="cellIs" dxfId="427" priority="1014" stopIfTrue="1" operator="lessThan">
      <formula>$H$520*(-1)</formula>
    </cfRule>
  </conditionalFormatting>
  <conditionalFormatting sqref="I521">
    <cfRule type="cellIs" dxfId="426" priority="1015" stopIfTrue="1" operator="greaterThan">
      <formula>$H$521</formula>
    </cfRule>
  </conditionalFormatting>
  <conditionalFormatting sqref="I521">
    <cfRule type="cellIs" dxfId="425" priority="1016" stopIfTrue="1" operator="lessThan">
      <formula>$H$521*(-1)</formula>
    </cfRule>
  </conditionalFormatting>
  <conditionalFormatting sqref="I522">
    <cfRule type="cellIs" dxfId="424" priority="1017" stopIfTrue="1" operator="greaterThan">
      <formula>$H$522</formula>
    </cfRule>
  </conditionalFormatting>
  <conditionalFormatting sqref="I522">
    <cfRule type="cellIs" dxfId="423" priority="1018" stopIfTrue="1" operator="lessThan">
      <formula>$H$522*(-1)</formula>
    </cfRule>
  </conditionalFormatting>
  <conditionalFormatting sqref="I523">
    <cfRule type="cellIs" dxfId="422" priority="1019" stopIfTrue="1" operator="greaterThan">
      <formula>$H$523</formula>
    </cfRule>
  </conditionalFormatting>
  <conditionalFormatting sqref="I523">
    <cfRule type="cellIs" dxfId="421" priority="1020" stopIfTrue="1" operator="lessThan">
      <formula>$H$523*(-1)</formula>
    </cfRule>
  </conditionalFormatting>
  <conditionalFormatting sqref="I524">
    <cfRule type="cellIs" dxfId="420" priority="1021" stopIfTrue="1" operator="greaterThan">
      <formula>$H$524</formula>
    </cfRule>
  </conditionalFormatting>
  <conditionalFormatting sqref="I524">
    <cfRule type="cellIs" dxfId="419" priority="1022" stopIfTrue="1" operator="lessThan">
      <formula>$H$524*(-1)</formula>
    </cfRule>
  </conditionalFormatting>
  <conditionalFormatting sqref="I525">
    <cfRule type="cellIs" dxfId="418" priority="1023" stopIfTrue="1" operator="greaterThan">
      <formula>$H$525</formula>
    </cfRule>
  </conditionalFormatting>
  <conditionalFormatting sqref="I525">
    <cfRule type="cellIs" dxfId="417" priority="1024" stopIfTrue="1" operator="lessThan">
      <formula>$H$525*(-1)</formula>
    </cfRule>
  </conditionalFormatting>
  <conditionalFormatting sqref="I526">
    <cfRule type="cellIs" dxfId="416" priority="1025" stopIfTrue="1" operator="greaterThan">
      <formula>$H$526</formula>
    </cfRule>
  </conditionalFormatting>
  <conditionalFormatting sqref="I526">
    <cfRule type="cellIs" dxfId="415" priority="1026" stopIfTrue="1" operator="lessThan">
      <formula>$H$526*(-1)</formula>
    </cfRule>
  </conditionalFormatting>
  <conditionalFormatting sqref="I527">
    <cfRule type="cellIs" dxfId="414" priority="1027" stopIfTrue="1" operator="greaterThan">
      <formula>$H$527</formula>
    </cfRule>
  </conditionalFormatting>
  <conditionalFormatting sqref="I527">
    <cfRule type="cellIs" dxfId="413" priority="1028" stopIfTrue="1" operator="lessThan">
      <formula>$H$527*(-1)</formula>
    </cfRule>
  </conditionalFormatting>
  <conditionalFormatting sqref="I528">
    <cfRule type="cellIs" dxfId="412" priority="1029" stopIfTrue="1" operator="greaterThan">
      <formula>$H$528</formula>
    </cfRule>
  </conditionalFormatting>
  <conditionalFormatting sqref="I528">
    <cfRule type="cellIs" dxfId="411" priority="1030" stopIfTrue="1" operator="lessThan">
      <formula>$H$528*(-1)</formula>
    </cfRule>
  </conditionalFormatting>
  <conditionalFormatting sqref="I529">
    <cfRule type="cellIs" dxfId="410" priority="1031" stopIfTrue="1" operator="greaterThan">
      <formula>$H$529</formula>
    </cfRule>
  </conditionalFormatting>
  <conditionalFormatting sqref="I529">
    <cfRule type="cellIs" dxfId="409" priority="1032" stopIfTrue="1" operator="lessThan">
      <formula>$H$529*(-1)</formula>
    </cfRule>
  </conditionalFormatting>
  <conditionalFormatting sqref="I530">
    <cfRule type="cellIs" dxfId="408" priority="1033" stopIfTrue="1" operator="greaterThan">
      <formula>$H$530</formula>
    </cfRule>
  </conditionalFormatting>
  <conditionalFormatting sqref="I530">
    <cfRule type="cellIs" dxfId="407" priority="1034" stopIfTrue="1" operator="lessThan">
      <formula>$H$530*(-1)</formula>
    </cfRule>
  </conditionalFormatting>
  <conditionalFormatting sqref="I531">
    <cfRule type="cellIs" dxfId="406" priority="1035" stopIfTrue="1" operator="greaterThan">
      <formula>$H$531</formula>
    </cfRule>
  </conditionalFormatting>
  <conditionalFormatting sqref="I531">
    <cfRule type="cellIs" dxfId="405" priority="1036" stopIfTrue="1" operator="lessThan">
      <formula>$H$531*(-1)</formula>
    </cfRule>
  </conditionalFormatting>
  <conditionalFormatting sqref="I532">
    <cfRule type="cellIs" dxfId="404" priority="1037" stopIfTrue="1" operator="greaterThan">
      <formula>$H$532</formula>
    </cfRule>
  </conditionalFormatting>
  <conditionalFormatting sqref="I532">
    <cfRule type="cellIs" dxfId="403" priority="1038" stopIfTrue="1" operator="lessThan">
      <formula>$H$532*(-1)</formula>
    </cfRule>
  </conditionalFormatting>
  <conditionalFormatting sqref="I533">
    <cfRule type="cellIs" dxfId="402" priority="1039" stopIfTrue="1" operator="greaterThan">
      <formula>$H$533</formula>
    </cfRule>
  </conditionalFormatting>
  <conditionalFormatting sqref="I533">
    <cfRule type="cellIs" dxfId="401" priority="1040" stopIfTrue="1" operator="lessThan">
      <formula>$H$533*(-1)</formula>
    </cfRule>
  </conditionalFormatting>
  <conditionalFormatting sqref="I534">
    <cfRule type="cellIs" dxfId="400" priority="1041" stopIfTrue="1" operator="greaterThan">
      <formula>$H$534</formula>
    </cfRule>
  </conditionalFormatting>
  <conditionalFormatting sqref="I534">
    <cfRule type="cellIs" dxfId="399" priority="1042" stopIfTrue="1" operator="lessThan">
      <formula>$H$534*(-1)</formula>
    </cfRule>
  </conditionalFormatting>
  <conditionalFormatting sqref="I535">
    <cfRule type="cellIs" dxfId="398" priority="1043" stopIfTrue="1" operator="greaterThan">
      <formula>$H$535</formula>
    </cfRule>
  </conditionalFormatting>
  <conditionalFormatting sqref="I535">
    <cfRule type="cellIs" dxfId="397" priority="1044" stopIfTrue="1" operator="lessThan">
      <formula>$H$535*(-1)</formula>
    </cfRule>
  </conditionalFormatting>
  <conditionalFormatting sqref="I536">
    <cfRule type="cellIs" dxfId="396" priority="1045" stopIfTrue="1" operator="greaterThan">
      <formula>$H$536</formula>
    </cfRule>
  </conditionalFormatting>
  <conditionalFormatting sqref="I536">
    <cfRule type="cellIs" dxfId="395" priority="1046" stopIfTrue="1" operator="lessThan">
      <formula>$H$536*(-1)</formula>
    </cfRule>
  </conditionalFormatting>
  <conditionalFormatting sqref="I537">
    <cfRule type="cellIs" dxfId="394" priority="1047" stopIfTrue="1" operator="greaterThan">
      <formula>$H$537</formula>
    </cfRule>
  </conditionalFormatting>
  <conditionalFormatting sqref="I537">
    <cfRule type="cellIs" dxfId="393" priority="1048" stopIfTrue="1" operator="lessThan">
      <formula>$H$537*(-1)</formula>
    </cfRule>
  </conditionalFormatting>
  <conditionalFormatting sqref="I538">
    <cfRule type="cellIs" dxfId="392" priority="1049" stopIfTrue="1" operator="greaterThan">
      <formula>$H$538</formula>
    </cfRule>
  </conditionalFormatting>
  <conditionalFormatting sqref="I538">
    <cfRule type="cellIs" dxfId="391" priority="1050" stopIfTrue="1" operator="lessThan">
      <formula>$H$538*(-1)</formula>
    </cfRule>
  </conditionalFormatting>
  <conditionalFormatting sqref="I539">
    <cfRule type="cellIs" dxfId="390" priority="1051" stopIfTrue="1" operator="greaterThan">
      <formula>$H$539</formula>
    </cfRule>
  </conditionalFormatting>
  <conditionalFormatting sqref="I539">
    <cfRule type="cellIs" dxfId="389" priority="1052" stopIfTrue="1" operator="lessThan">
      <formula>$H$539*(-1)</formula>
    </cfRule>
  </conditionalFormatting>
  <conditionalFormatting sqref="I540">
    <cfRule type="cellIs" dxfId="388" priority="1053" stopIfTrue="1" operator="greaterThan">
      <formula>$H$540</formula>
    </cfRule>
  </conditionalFormatting>
  <conditionalFormatting sqref="I540">
    <cfRule type="cellIs" dxfId="387" priority="1054" stopIfTrue="1" operator="lessThan">
      <formula>$H$540*(-1)</formula>
    </cfRule>
  </conditionalFormatting>
  <conditionalFormatting sqref="I541">
    <cfRule type="cellIs" dxfId="386" priority="1055" stopIfTrue="1" operator="greaterThan">
      <formula>$H$541</formula>
    </cfRule>
  </conditionalFormatting>
  <conditionalFormatting sqref="I541">
    <cfRule type="cellIs" dxfId="385" priority="1056" stopIfTrue="1" operator="lessThan">
      <formula>$H$541*(-1)</formula>
    </cfRule>
  </conditionalFormatting>
  <conditionalFormatting sqref="I542">
    <cfRule type="cellIs" dxfId="384" priority="1057" stopIfTrue="1" operator="greaterThan">
      <formula>$H$542</formula>
    </cfRule>
  </conditionalFormatting>
  <conditionalFormatting sqref="I542">
    <cfRule type="cellIs" dxfId="383" priority="1058" stopIfTrue="1" operator="lessThan">
      <formula>$H$542*(-1)</formula>
    </cfRule>
  </conditionalFormatting>
  <conditionalFormatting sqref="I543">
    <cfRule type="cellIs" dxfId="382" priority="1059" stopIfTrue="1" operator="greaterThan">
      <formula>$H$543</formula>
    </cfRule>
  </conditionalFormatting>
  <conditionalFormatting sqref="I543">
    <cfRule type="cellIs" dxfId="381" priority="1060" stopIfTrue="1" operator="lessThan">
      <formula>$H$543*(-1)</formula>
    </cfRule>
  </conditionalFormatting>
  <conditionalFormatting sqref="I544">
    <cfRule type="cellIs" dxfId="380" priority="1061" stopIfTrue="1" operator="greaterThan">
      <formula>$H$544</formula>
    </cfRule>
  </conditionalFormatting>
  <conditionalFormatting sqref="I544">
    <cfRule type="cellIs" dxfId="379" priority="1062" stopIfTrue="1" operator="lessThan">
      <formula>$H$544*(-1)</formula>
    </cfRule>
  </conditionalFormatting>
  <conditionalFormatting sqref="I545">
    <cfRule type="cellIs" dxfId="378" priority="1063" stopIfTrue="1" operator="greaterThan">
      <formula>$H$545</formula>
    </cfRule>
  </conditionalFormatting>
  <conditionalFormatting sqref="I545">
    <cfRule type="cellIs" dxfId="377" priority="1064" stopIfTrue="1" operator="lessThan">
      <formula>$H$545*(-1)</formula>
    </cfRule>
  </conditionalFormatting>
  <conditionalFormatting sqref="I546">
    <cfRule type="cellIs" dxfId="376" priority="1065" stopIfTrue="1" operator="greaterThan">
      <formula>$H$546</formula>
    </cfRule>
  </conditionalFormatting>
  <conditionalFormatting sqref="I546">
    <cfRule type="cellIs" dxfId="375" priority="1066" stopIfTrue="1" operator="lessThan">
      <formula>$H$546*(-1)</formula>
    </cfRule>
  </conditionalFormatting>
  <conditionalFormatting sqref="I547">
    <cfRule type="cellIs" dxfId="374" priority="1067" stopIfTrue="1" operator="greaterThan">
      <formula>$H$547</formula>
    </cfRule>
  </conditionalFormatting>
  <conditionalFormatting sqref="I547">
    <cfRule type="cellIs" dxfId="373" priority="1068" stopIfTrue="1" operator="lessThan">
      <formula>$H$547*(-1)</formula>
    </cfRule>
  </conditionalFormatting>
  <conditionalFormatting sqref="I548">
    <cfRule type="cellIs" dxfId="372" priority="1069" stopIfTrue="1" operator="greaterThan">
      <formula>$H$548</formula>
    </cfRule>
  </conditionalFormatting>
  <conditionalFormatting sqref="I548">
    <cfRule type="cellIs" dxfId="371" priority="1070" stopIfTrue="1" operator="lessThan">
      <formula>$H$548*(-1)</formula>
    </cfRule>
  </conditionalFormatting>
  <conditionalFormatting sqref="I549">
    <cfRule type="cellIs" dxfId="370" priority="1071" stopIfTrue="1" operator="greaterThan">
      <formula>$H$549</formula>
    </cfRule>
  </conditionalFormatting>
  <conditionalFormatting sqref="I549">
    <cfRule type="cellIs" dxfId="369" priority="1072" stopIfTrue="1" operator="lessThan">
      <formula>$H$549*(-1)</formula>
    </cfRule>
  </conditionalFormatting>
  <conditionalFormatting sqref="I550">
    <cfRule type="cellIs" dxfId="368" priority="1073" stopIfTrue="1" operator="greaterThan">
      <formula>$H$550</formula>
    </cfRule>
  </conditionalFormatting>
  <conditionalFormatting sqref="I550">
    <cfRule type="cellIs" dxfId="367" priority="1074" stopIfTrue="1" operator="lessThan">
      <formula>$H$550*(-1)</formula>
    </cfRule>
  </conditionalFormatting>
  <conditionalFormatting sqref="I551">
    <cfRule type="cellIs" dxfId="366" priority="1075" stopIfTrue="1" operator="greaterThan">
      <formula>$H$551</formula>
    </cfRule>
  </conditionalFormatting>
  <conditionalFormatting sqref="I551">
    <cfRule type="cellIs" dxfId="365" priority="1076" stopIfTrue="1" operator="lessThan">
      <formula>$H$551*(-1)</formula>
    </cfRule>
  </conditionalFormatting>
  <conditionalFormatting sqref="I552">
    <cfRule type="cellIs" dxfId="364" priority="1077" stopIfTrue="1" operator="greaterThan">
      <formula>$H$552</formula>
    </cfRule>
  </conditionalFormatting>
  <conditionalFormatting sqref="I552">
    <cfRule type="cellIs" dxfId="363" priority="1078" stopIfTrue="1" operator="lessThan">
      <formula>$H$552*(-1)</formula>
    </cfRule>
  </conditionalFormatting>
  <conditionalFormatting sqref="I553">
    <cfRule type="cellIs" dxfId="362" priority="1079" stopIfTrue="1" operator="greaterThan">
      <formula>$H$553</formula>
    </cfRule>
  </conditionalFormatting>
  <conditionalFormatting sqref="I553">
    <cfRule type="cellIs" dxfId="361" priority="1080" stopIfTrue="1" operator="lessThan">
      <formula>$H$553*(-1)</formula>
    </cfRule>
  </conditionalFormatting>
  <conditionalFormatting sqref="I554">
    <cfRule type="cellIs" dxfId="360" priority="1081" stopIfTrue="1" operator="greaterThan">
      <formula>$H$554</formula>
    </cfRule>
  </conditionalFormatting>
  <conditionalFormatting sqref="I554">
    <cfRule type="cellIs" dxfId="359" priority="1082" stopIfTrue="1" operator="lessThan">
      <formula>$H$554*(-1)</formula>
    </cfRule>
  </conditionalFormatting>
  <conditionalFormatting sqref="I555">
    <cfRule type="cellIs" dxfId="358" priority="1083" stopIfTrue="1" operator="greaterThan">
      <formula>$H$555</formula>
    </cfRule>
  </conditionalFormatting>
  <conditionalFormatting sqref="I555">
    <cfRule type="cellIs" dxfId="357" priority="1084" stopIfTrue="1" operator="lessThan">
      <formula>$H$555*(-1)</formula>
    </cfRule>
  </conditionalFormatting>
  <conditionalFormatting sqref="I556">
    <cfRule type="cellIs" dxfId="356" priority="1085" stopIfTrue="1" operator="greaterThan">
      <formula>$H$556</formula>
    </cfRule>
  </conditionalFormatting>
  <conditionalFormatting sqref="I556">
    <cfRule type="cellIs" dxfId="355" priority="1086" stopIfTrue="1" operator="lessThan">
      <formula>$H$556*(-1)</formula>
    </cfRule>
  </conditionalFormatting>
  <conditionalFormatting sqref="I557">
    <cfRule type="cellIs" dxfId="354" priority="1087" stopIfTrue="1" operator="greaterThan">
      <formula>$H$557</formula>
    </cfRule>
  </conditionalFormatting>
  <conditionalFormatting sqref="I557">
    <cfRule type="cellIs" dxfId="353" priority="1088" stopIfTrue="1" operator="lessThan">
      <formula>$H$557*(-1)</formula>
    </cfRule>
  </conditionalFormatting>
  <conditionalFormatting sqref="I558">
    <cfRule type="cellIs" dxfId="352" priority="1089" stopIfTrue="1" operator="greaterThan">
      <formula>$H$558</formula>
    </cfRule>
  </conditionalFormatting>
  <conditionalFormatting sqref="I558">
    <cfRule type="cellIs" dxfId="351" priority="1090" stopIfTrue="1" operator="lessThan">
      <formula>$H$558*(-1)</formula>
    </cfRule>
  </conditionalFormatting>
  <conditionalFormatting sqref="I559">
    <cfRule type="cellIs" dxfId="350" priority="1091" stopIfTrue="1" operator="greaterThan">
      <formula>$H$559</formula>
    </cfRule>
  </conditionalFormatting>
  <conditionalFormatting sqref="I559">
    <cfRule type="cellIs" dxfId="349" priority="1092" stopIfTrue="1" operator="lessThan">
      <formula>$H$559*(-1)</formula>
    </cfRule>
  </conditionalFormatting>
  <conditionalFormatting sqref="I560">
    <cfRule type="cellIs" dxfId="348" priority="1093" stopIfTrue="1" operator="greaterThan">
      <formula>$H$560</formula>
    </cfRule>
  </conditionalFormatting>
  <conditionalFormatting sqref="I560">
    <cfRule type="cellIs" dxfId="347" priority="1094" stopIfTrue="1" operator="lessThan">
      <formula>$H$560*(-1)</formula>
    </cfRule>
  </conditionalFormatting>
  <conditionalFormatting sqref="I561">
    <cfRule type="cellIs" dxfId="346" priority="1095" stopIfTrue="1" operator="greaterThan">
      <formula>$H$561</formula>
    </cfRule>
  </conditionalFormatting>
  <conditionalFormatting sqref="I561">
    <cfRule type="cellIs" dxfId="345" priority="1096" stopIfTrue="1" operator="lessThan">
      <formula>$H$561*(-1)</formula>
    </cfRule>
  </conditionalFormatting>
  <conditionalFormatting sqref="I562">
    <cfRule type="cellIs" dxfId="344" priority="1097" stopIfTrue="1" operator="greaterThan">
      <formula>$H$562</formula>
    </cfRule>
  </conditionalFormatting>
  <conditionalFormatting sqref="I562">
    <cfRule type="cellIs" dxfId="343" priority="1098" stopIfTrue="1" operator="lessThan">
      <formula>$H$562*(-1)</formula>
    </cfRule>
  </conditionalFormatting>
  <conditionalFormatting sqref="I563">
    <cfRule type="cellIs" dxfId="342" priority="1099" stopIfTrue="1" operator="greaterThan">
      <formula>$H$563</formula>
    </cfRule>
  </conditionalFormatting>
  <conditionalFormatting sqref="I563">
    <cfRule type="cellIs" dxfId="341" priority="1100" stopIfTrue="1" operator="lessThan">
      <formula>$H$563*(-1)</formula>
    </cfRule>
  </conditionalFormatting>
  <conditionalFormatting sqref="I564">
    <cfRule type="cellIs" dxfId="340" priority="1101" stopIfTrue="1" operator="greaterThan">
      <formula>$H$564</formula>
    </cfRule>
  </conditionalFormatting>
  <conditionalFormatting sqref="I564">
    <cfRule type="cellIs" dxfId="339" priority="1102" stopIfTrue="1" operator="lessThan">
      <formula>$H$564*(-1)</formula>
    </cfRule>
  </conditionalFormatting>
  <conditionalFormatting sqref="I565">
    <cfRule type="cellIs" dxfId="338" priority="1103" stopIfTrue="1" operator="greaterThan">
      <formula>$H$565</formula>
    </cfRule>
  </conditionalFormatting>
  <conditionalFormatting sqref="I565">
    <cfRule type="cellIs" dxfId="337" priority="1104" stopIfTrue="1" operator="lessThan">
      <formula>$H$565*(-1)</formula>
    </cfRule>
  </conditionalFormatting>
  <conditionalFormatting sqref="I566">
    <cfRule type="cellIs" dxfId="336" priority="1105" stopIfTrue="1" operator="greaterThan">
      <formula>$H$566</formula>
    </cfRule>
  </conditionalFormatting>
  <conditionalFormatting sqref="I566">
    <cfRule type="cellIs" dxfId="335" priority="1106" stopIfTrue="1" operator="lessThan">
      <formula>$H$566*(-1)</formula>
    </cfRule>
  </conditionalFormatting>
  <conditionalFormatting sqref="I567">
    <cfRule type="cellIs" dxfId="334" priority="1107" stopIfTrue="1" operator="greaterThan">
      <formula>$H$567</formula>
    </cfRule>
  </conditionalFormatting>
  <conditionalFormatting sqref="I567">
    <cfRule type="cellIs" dxfId="333" priority="1108" stopIfTrue="1" operator="lessThan">
      <formula>$H$567*(-1)</formula>
    </cfRule>
  </conditionalFormatting>
  <conditionalFormatting sqref="I568">
    <cfRule type="cellIs" dxfId="332" priority="1109" stopIfTrue="1" operator="greaterThan">
      <formula>$H$568</formula>
    </cfRule>
  </conditionalFormatting>
  <conditionalFormatting sqref="I568">
    <cfRule type="cellIs" dxfId="331" priority="1110" stopIfTrue="1" operator="lessThan">
      <formula>$H$568*(-1)</formula>
    </cfRule>
  </conditionalFormatting>
  <conditionalFormatting sqref="I569">
    <cfRule type="cellIs" dxfId="330" priority="1111" stopIfTrue="1" operator="greaterThan">
      <formula>$H$569</formula>
    </cfRule>
  </conditionalFormatting>
  <conditionalFormatting sqref="I569">
    <cfRule type="cellIs" dxfId="329" priority="1112" stopIfTrue="1" operator="lessThan">
      <formula>$H$569*(-1)</formula>
    </cfRule>
  </conditionalFormatting>
  <conditionalFormatting sqref="I570">
    <cfRule type="cellIs" dxfId="328" priority="1113" stopIfTrue="1" operator="greaterThan">
      <formula>$H$570</formula>
    </cfRule>
  </conditionalFormatting>
  <conditionalFormatting sqref="I570">
    <cfRule type="cellIs" dxfId="327" priority="1114" stopIfTrue="1" operator="lessThan">
      <formula>$H$570*(-1)</formula>
    </cfRule>
  </conditionalFormatting>
  <conditionalFormatting sqref="I571">
    <cfRule type="cellIs" dxfId="326" priority="1115" stopIfTrue="1" operator="greaterThan">
      <formula>$H$571</formula>
    </cfRule>
  </conditionalFormatting>
  <conditionalFormatting sqref="I571">
    <cfRule type="cellIs" dxfId="325" priority="1116" stopIfTrue="1" operator="lessThan">
      <formula>$H$571*(-1)</formula>
    </cfRule>
  </conditionalFormatting>
  <conditionalFormatting sqref="I572">
    <cfRule type="cellIs" dxfId="324" priority="1117" stopIfTrue="1" operator="greaterThan">
      <formula>$H$572</formula>
    </cfRule>
  </conditionalFormatting>
  <conditionalFormatting sqref="I572">
    <cfRule type="cellIs" dxfId="323" priority="1118" stopIfTrue="1" operator="lessThan">
      <formula>$H$572*(-1)</formula>
    </cfRule>
  </conditionalFormatting>
  <conditionalFormatting sqref="I573">
    <cfRule type="cellIs" dxfId="322" priority="1119" stopIfTrue="1" operator="greaterThan">
      <formula>$H$573</formula>
    </cfRule>
  </conditionalFormatting>
  <conditionalFormatting sqref="I573">
    <cfRule type="cellIs" dxfId="321" priority="1120" stopIfTrue="1" operator="lessThan">
      <formula>$H$573*(-1)</formula>
    </cfRule>
  </conditionalFormatting>
  <conditionalFormatting sqref="I574">
    <cfRule type="cellIs" dxfId="320" priority="1121" stopIfTrue="1" operator="greaterThan">
      <formula>$H$574</formula>
    </cfRule>
  </conditionalFormatting>
  <conditionalFormatting sqref="I574">
    <cfRule type="cellIs" dxfId="319" priority="1122" stopIfTrue="1" operator="lessThan">
      <formula>$H$574*(-1)</formula>
    </cfRule>
  </conditionalFormatting>
  <conditionalFormatting sqref="I575">
    <cfRule type="cellIs" dxfId="318" priority="1123" stopIfTrue="1" operator="greaterThan">
      <formula>$H$575</formula>
    </cfRule>
  </conditionalFormatting>
  <conditionalFormatting sqref="I575">
    <cfRule type="cellIs" dxfId="317" priority="1124" stopIfTrue="1" operator="lessThan">
      <formula>$H$575*(-1)</formula>
    </cfRule>
  </conditionalFormatting>
  <conditionalFormatting sqref="I576">
    <cfRule type="cellIs" dxfId="316" priority="1125" stopIfTrue="1" operator="greaterThan">
      <formula>$H$576</formula>
    </cfRule>
  </conditionalFormatting>
  <conditionalFormatting sqref="I576">
    <cfRule type="cellIs" dxfId="315" priority="1126" stopIfTrue="1" operator="lessThan">
      <formula>$H$576*(-1)</formula>
    </cfRule>
  </conditionalFormatting>
  <conditionalFormatting sqref="I577">
    <cfRule type="cellIs" dxfId="314" priority="1127" stopIfTrue="1" operator="greaterThan">
      <formula>$H$577</formula>
    </cfRule>
  </conditionalFormatting>
  <conditionalFormatting sqref="I577">
    <cfRule type="cellIs" dxfId="313" priority="1128" stopIfTrue="1" operator="lessThan">
      <formula>$H$577*(-1)</formula>
    </cfRule>
  </conditionalFormatting>
  <conditionalFormatting sqref="I578">
    <cfRule type="cellIs" dxfId="312" priority="1129" stopIfTrue="1" operator="greaterThan">
      <formula>$H$578</formula>
    </cfRule>
  </conditionalFormatting>
  <conditionalFormatting sqref="I578">
    <cfRule type="cellIs" dxfId="311" priority="1130" stopIfTrue="1" operator="lessThan">
      <formula>$H$578*(-1)</formula>
    </cfRule>
  </conditionalFormatting>
  <conditionalFormatting sqref="I579">
    <cfRule type="cellIs" dxfId="310" priority="1131" stopIfTrue="1" operator="greaterThan">
      <formula>$H$579</formula>
    </cfRule>
  </conditionalFormatting>
  <conditionalFormatting sqref="I579">
    <cfRule type="cellIs" dxfId="309" priority="1132" stopIfTrue="1" operator="lessThan">
      <formula>$H$579*(-1)</formula>
    </cfRule>
  </conditionalFormatting>
  <conditionalFormatting sqref="I580">
    <cfRule type="cellIs" dxfId="308" priority="1133" stopIfTrue="1" operator="greaterThan">
      <formula>$H$580</formula>
    </cfRule>
  </conditionalFormatting>
  <conditionalFormatting sqref="I580">
    <cfRule type="cellIs" dxfId="307" priority="1134" stopIfTrue="1" operator="lessThan">
      <formula>$H$580*(-1)</formula>
    </cfRule>
  </conditionalFormatting>
  <conditionalFormatting sqref="I581">
    <cfRule type="cellIs" dxfId="306" priority="1135" stopIfTrue="1" operator="greaterThan">
      <formula>$H$581</formula>
    </cfRule>
  </conditionalFormatting>
  <conditionalFormatting sqref="I581">
    <cfRule type="cellIs" dxfId="305" priority="1136" stopIfTrue="1" operator="lessThan">
      <formula>$H$581*(-1)</formula>
    </cfRule>
  </conditionalFormatting>
  <conditionalFormatting sqref="I582">
    <cfRule type="cellIs" dxfId="304" priority="1137" stopIfTrue="1" operator="greaterThan">
      <formula>$H$582</formula>
    </cfRule>
  </conditionalFormatting>
  <conditionalFormatting sqref="I582">
    <cfRule type="cellIs" dxfId="303" priority="1138" stopIfTrue="1" operator="lessThan">
      <formula>$H$582*(-1)</formula>
    </cfRule>
  </conditionalFormatting>
  <conditionalFormatting sqref="I583">
    <cfRule type="cellIs" dxfId="302" priority="1139" stopIfTrue="1" operator="greaterThan">
      <formula>$H$583</formula>
    </cfRule>
  </conditionalFormatting>
  <conditionalFormatting sqref="I583">
    <cfRule type="cellIs" dxfId="301" priority="1140" stopIfTrue="1" operator="lessThan">
      <formula>$H$583*(-1)</formula>
    </cfRule>
  </conditionalFormatting>
  <conditionalFormatting sqref="I584">
    <cfRule type="cellIs" dxfId="300" priority="1141" stopIfTrue="1" operator="greaterThan">
      <formula>$H$584</formula>
    </cfRule>
  </conditionalFormatting>
  <conditionalFormatting sqref="I584">
    <cfRule type="cellIs" dxfId="299" priority="1142" stopIfTrue="1" operator="lessThan">
      <formula>$H$584*(-1)</formula>
    </cfRule>
  </conditionalFormatting>
  <conditionalFormatting sqref="I585">
    <cfRule type="cellIs" dxfId="298" priority="1143" stopIfTrue="1" operator="greaterThan">
      <formula>$H$585</formula>
    </cfRule>
  </conditionalFormatting>
  <conditionalFormatting sqref="I585">
    <cfRule type="cellIs" dxfId="297" priority="1144" stopIfTrue="1" operator="lessThan">
      <formula>$H$585*(-1)</formula>
    </cfRule>
  </conditionalFormatting>
  <conditionalFormatting sqref="I586">
    <cfRule type="cellIs" dxfId="296" priority="1145" stopIfTrue="1" operator="greaterThan">
      <formula>$H$586</formula>
    </cfRule>
  </conditionalFormatting>
  <conditionalFormatting sqref="I586">
    <cfRule type="cellIs" dxfId="295" priority="1146" stopIfTrue="1" operator="lessThan">
      <formula>$H$586*(-1)</formula>
    </cfRule>
  </conditionalFormatting>
  <conditionalFormatting sqref="I587">
    <cfRule type="cellIs" dxfId="294" priority="1147" stopIfTrue="1" operator="greaterThan">
      <formula>$H$587</formula>
    </cfRule>
  </conditionalFormatting>
  <conditionalFormatting sqref="I587">
    <cfRule type="cellIs" dxfId="293" priority="1148" stopIfTrue="1" operator="lessThan">
      <formula>$H$587*(-1)</formula>
    </cfRule>
  </conditionalFormatting>
  <conditionalFormatting sqref="I588">
    <cfRule type="cellIs" dxfId="292" priority="1149" stopIfTrue="1" operator="greaterThan">
      <formula>$H$588</formula>
    </cfRule>
  </conditionalFormatting>
  <conditionalFormatting sqref="I588">
    <cfRule type="cellIs" dxfId="291" priority="1150" stopIfTrue="1" operator="lessThan">
      <formula>$H$588*(-1)</formula>
    </cfRule>
  </conditionalFormatting>
  <conditionalFormatting sqref="I589">
    <cfRule type="cellIs" dxfId="290" priority="1151" stopIfTrue="1" operator="greaterThan">
      <formula>$H$589</formula>
    </cfRule>
  </conditionalFormatting>
  <conditionalFormatting sqref="I589">
    <cfRule type="cellIs" dxfId="289" priority="1152" stopIfTrue="1" operator="lessThan">
      <formula>$H$589*(-1)</formula>
    </cfRule>
  </conditionalFormatting>
  <conditionalFormatting sqref="I590">
    <cfRule type="cellIs" dxfId="288" priority="1153" stopIfTrue="1" operator="greaterThan">
      <formula>$H$590</formula>
    </cfRule>
  </conditionalFormatting>
  <conditionalFormatting sqref="I590">
    <cfRule type="cellIs" dxfId="287" priority="1154" stopIfTrue="1" operator="lessThan">
      <formula>$H$590*(-1)</formula>
    </cfRule>
  </conditionalFormatting>
  <conditionalFormatting sqref="I591">
    <cfRule type="cellIs" dxfId="286" priority="1155" stopIfTrue="1" operator="greaterThan">
      <formula>$H$591</formula>
    </cfRule>
  </conditionalFormatting>
  <conditionalFormatting sqref="I591">
    <cfRule type="cellIs" dxfId="285" priority="1156" stopIfTrue="1" operator="lessThan">
      <formula>$H$591*(-1)</formula>
    </cfRule>
  </conditionalFormatting>
  <conditionalFormatting sqref="I592">
    <cfRule type="cellIs" dxfId="284" priority="1157" stopIfTrue="1" operator="greaterThan">
      <formula>$H$592</formula>
    </cfRule>
  </conditionalFormatting>
  <conditionalFormatting sqref="I592">
    <cfRule type="cellIs" dxfId="283" priority="1158" stopIfTrue="1" operator="lessThan">
      <formula>$H$592*(-1)</formula>
    </cfRule>
  </conditionalFormatting>
  <conditionalFormatting sqref="I593">
    <cfRule type="cellIs" dxfId="282" priority="1159" stopIfTrue="1" operator="greaterThan">
      <formula>$H$593</formula>
    </cfRule>
  </conditionalFormatting>
  <conditionalFormatting sqref="I593">
    <cfRule type="cellIs" dxfId="281" priority="1160" stopIfTrue="1" operator="lessThan">
      <formula>$H$593*(-1)</formula>
    </cfRule>
  </conditionalFormatting>
  <conditionalFormatting sqref="I594">
    <cfRule type="cellIs" dxfId="280" priority="1161" stopIfTrue="1" operator="greaterThan">
      <formula>$H$594</formula>
    </cfRule>
  </conditionalFormatting>
  <conditionalFormatting sqref="I594">
    <cfRule type="cellIs" dxfId="279" priority="1162" stopIfTrue="1" operator="lessThan">
      <formula>$H$594*(-1)</formula>
    </cfRule>
  </conditionalFormatting>
  <conditionalFormatting sqref="I595">
    <cfRule type="cellIs" dxfId="278" priority="1163" stopIfTrue="1" operator="greaterThan">
      <formula>$H$595</formula>
    </cfRule>
  </conditionalFormatting>
  <conditionalFormatting sqref="I595">
    <cfRule type="cellIs" dxfId="277" priority="1164" stopIfTrue="1" operator="lessThan">
      <formula>$H$595*(-1)</formula>
    </cfRule>
  </conditionalFormatting>
  <conditionalFormatting sqref="I596">
    <cfRule type="cellIs" dxfId="276" priority="1165" stopIfTrue="1" operator="greaterThan">
      <formula>$H$596</formula>
    </cfRule>
  </conditionalFormatting>
  <conditionalFormatting sqref="I596">
    <cfRule type="cellIs" dxfId="275" priority="1166" stopIfTrue="1" operator="lessThan">
      <formula>$H$596*(-1)</formula>
    </cfRule>
  </conditionalFormatting>
  <conditionalFormatting sqref="I597">
    <cfRule type="cellIs" dxfId="274" priority="1167" stopIfTrue="1" operator="greaterThan">
      <formula>$H$597</formula>
    </cfRule>
  </conditionalFormatting>
  <conditionalFormatting sqref="I597">
    <cfRule type="cellIs" dxfId="273" priority="1168" stopIfTrue="1" operator="lessThan">
      <formula>$H$597*(-1)</formula>
    </cfRule>
  </conditionalFormatting>
  <conditionalFormatting sqref="I598">
    <cfRule type="cellIs" dxfId="272" priority="1169" stopIfTrue="1" operator="greaterThan">
      <formula>$H$598</formula>
    </cfRule>
  </conditionalFormatting>
  <conditionalFormatting sqref="I598">
    <cfRule type="cellIs" dxfId="271" priority="1170" stopIfTrue="1" operator="lessThan">
      <formula>$H$598*(-1)</formula>
    </cfRule>
  </conditionalFormatting>
  <conditionalFormatting sqref="I599">
    <cfRule type="cellIs" dxfId="270" priority="1171" stopIfTrue="1" operator="greaterThan">
      <formula>$H$599</formula>
    </cfRule>
  </conditionalFormatting>
  <conditionalFormatting sqref="I599">
    <cfRule type="cellIs" dxfId="269" priority="1172" stopIfTrue="1" operator="lessThan">
      <formula>$H$599*(-1)</formula>
    </cfRule>
  </conditionalFormatting>
  <conditionalFormatting sqref="I600">
    <cfRule type="cellIs" dxfId="268" priority="1173" stopIfTrue="1" operator="greaterThan">
      <formula>$H$600</formula>
    </cfRule>
  </conditionalFormatting>
  <conditionalFormatting sqref="I600">
    <cfRule type="cellIs" dxfId="267" priority="1174" stopIfTrue="1" operator="lessThan">
      <formula>$H$600*(-1)</formula>
    </cfRule>
  </conditionalFormatting>
  <conditionalFormatting sqref="I601">
    <cfRule type="cellIs" dxfId="266" priority="1175" stopIfTrue="1" operator="greaterThan">
      <formula>$H$601</formula>
    </cfRule>
  </conditionalFormatting>
  <conditionalFormatting sqref="I601">
    <cfRule type="cellIs" dxfId="265" priority="1176" stopIfTrue="1" operator="lessThan">
      <formula>$H$601*(-1)</formula>
    </cfRule>
  </conditionalFormatting>
  <conditionalFormatting sqref="I602">
    <cfRule type="cellIs" dxfId="264" priority="1177" stopIfTrue="1" operator="greaterThan">
      <formula>$H$602</formula>
    </cfRule>
  </conditionalFormatting>
  <conditionalFormatting sqref="I602">
    <cfRule type="cellIs" dxfId="263" priority="1178" stopIfTrue="1" operator="lessThan">
      <formula>$H$602*(-1)</formula>
    </cfRule>
  </conditionalFormatting>
  <conditionalFormatting sqref="I603">
    <cfRule type="cellIs" dxfId="262" priority="1179" stopIfTrue="1" operator="greaterThan">
      <formula>$H$603</formula>
    </cfRule>
  </conditionalFormatting>
  <conditionalFormatting sqref="I603">
    <cfRule type="cellIs" dxfId="261" priority="1180" stopIfTrue="1" operator="lessThan">
      <formula>$H$603*(-1)</formula>
    </cfRule>
  </conditionalFormatting>
  <conditionalFormatting sqref="I604">
    <cfRule type="cellIs" dxfId="260" priority="1181" stopIfTrue="1" operator="greaterThan">
      <formula>$H$604</formula>
    </cfRule>
  </conditionalFormatting>
  <conditionalFormatting sqref="I604">
    <cfRule type="cellIs" dxfId="259" priority="1182" stopIfTrue="1" operator="lessThan">
      <formula>$H$604*(-1)</formula>
    </cfRule>
  </conditionalFormatting>
  <conditionalFormatting sqref="I605">
    <cfRule type="cellIs" dxfId="258" priority="1183" stopIfTrue="1" operator="greaterThan">
      <formula>$H$605</formula>
    </cfRule>
  </conditionalFormatting>
  <conditionalFormatting sqref="I605">
    <cfRule type="cellIs" dxfId="257" priority="1184" stopIfTrue="1" operator="lessThan">
      <formula>$H$605*(-1)</formula>
    </cfRule>
  </conditionalFormatting>
  <conditionalFormatting sqref="I606">
    <cfRule type="cellIs" dxfId="256" priority="1185" stopIfTrue="1" operator="greaterThan">
      <formula>$H$606</formula>
    </cfRule>
  </conditionalFormatting>
  <conditionalFormatting sqref="I606">
    <cfRule type="cellIs" dxfId="255" priority="1186" stopIfTrue="1" operator="lessThan">
      <formula>$H$606*(-1)</formula>
    </cfRule>
  </conditionalFormatting>
  <conditionalFormatting sqref="I607">
    <cfRule type="cellIs" dxfId="254" priority="1187" stopIfTrue="1" operator="greaterThan">
      <formula>$H$607</formula>
    </cfRule>
  </conditionalFormatting>
  <conditionalFormatting sqref="I607">
    <cfRule type="cellIs" dxfId="253" priority="1188" stopIfTrue="1" operator="lessThan">
      <formula>$H$607*(-1)</formula>
    </cfRule>
  </conditionalFormatting>
  <conditionalFormatting sqref="I608">
    <cfRule type="cellIs" dxfId="252" priority="1189" stopIfTrue="1" operator="greaterThan">
      <formula>$H$608</formula>
    </cfRule>
  </conditionalFormatting>
  <conditionalFormatting sqref="I608">
    <cfRule type="cellIs" dxfId="251" priority="1190" stopIfTrue="1" operator="lessThan">
      <formula>$H$608*(-1)</formula>
    </cfRule>
  </conditionalFormatting>
  <conditionalFormatting sqref="I609">
    <cfRule type="cellIs" dxfId="250" priority="1191" stopIfTrue="1" operator="greaterThan">
      <formula>$H$609</formula>
    </cfRule>
  </conditionalFormatting>
  <conditionalFormatting sqref="I609">
    <cfRule type="cellIs" dxfId="249" priority="1192" stopIfTrue="1" operator="lessThan">
      <formula>$H$609*(-1)</formula>
    </cfRule>
  </conditionalFormatting>
  <conditionalFormatting sqref="I610">
    <cfRule type="cellIs" dxfId="248" priority="1193" stopIfTrue="1" operator="greaterThan">
      <formula>$H$610</formula>
    </cfRule>
  </conditionalFormatting>
  <conditionalFormatting sqref="I610">
    <cfRule type="cellIs" dxfId="247" priority="1194" stopIfTrue="1" operator="lessThan">
      <formula>$H$610*(-1)</formula>
    </cfRule>
  </conditionalFormatting>
  <conditionalFormatting sqref="I611">
    <cfRule type="cellIs" dxfId="246" priority="1195" stopIfTrue="1" operator="greaterThan">
      <formula>$H$611</formula>
    </cfRule>
  </conditionalFormatting>
  <conditionalFormatting sqref="I611">
    <cfRule type="cellIs" dxfId="245" priority="1196" stopIfTrue="1" operator="lessThan">
      <formula>$H$611*(-1)</formula>
    </cfRule>
  </conditionalFormatting>
  <conditionalFormatting sqref="I612">
    <cfRule type="cellIs" dxfId="244" priority="1197" stopIfTrue="1" operator="greaterThan">
      <formula>$H$612</formula>
    </cfRule>
  </conditionalFormatting>
  <conditionalFormatting sqref="I612">
    <cfRule type="cellIs" dxfId="243" priority="1198" stopIfTrue="1" operator="lessThan">
      <formula>$H$612*(-1)</formula>
    </cfRule>
  </conditionalFormatting>
  <conditionalFormatting sqref="I613">
    <cfRule type="cellIs" dxfId="242" priority="1199" stopIfTrue="1" operator="greaterThan">
      <formula>$H$613</formula>
    </cfRule>
  </conditionalFormatting>
  <conditionalFormatting sqref="I613">
    <cfRule type="cellIs" dxfId="241" priority="1200" stopIfTrue="1" operator="lessThan">
      <formula>$H$613*(-1)</formula>
    </cfRule>
  </conditionalFormatting>
  <conditionalFormatting sqref="I614">
    <cfRule type="cellIs" dxfId="240" priority="1201" stopIfTrue="1" operator="greaterThan">
      <formula>$H$614</formula>
    </cfRule>
  </conditionalFormatting>
  <conditionalFormatting sqref="I614">
    <cfRule type="cellIs" dxfId="239" priority="1202" stopIfTrue="1" operator="lessThan">
      <formula>$H$614*(-1)</formula>
    </cfRule>
  </conditionalFormatting>
  <conditionalFormatting sqref="I615">
    <cfRule type="cellIs" dxfId="238" priority="1203" stopIfTrue="1" operator="greaterThan">
      <formula>$H$615</formula>
    </cfRule>
  </conditionalFormatting>
  <conditionalFormatting sqref="I615">
    <cfRule type="cellIs" dxfId="237" priority="1204" stopIfTrue="1" operator="lessThan">
      <formula>$H$615*(-1)</formula>
    </cfRule>
  </conditionalFormatting>
  <conditionalFormatting sqref="I616">
    <cfRule type="cellIs" dxfId="236" priority="1205" stopIfTrue="1" operator="greaterThan">
      <formula>$H$616</formula>
    </cfRule>
  </conditionalFormatting>
  <conditionalFormatting sqref="I616">
    <cfRule type="cellIs" dxfId="235" priority="1206" stopIfTrue="1" operator="lessThan">
      <formula>$H$616*(-1)</formula>
    </cfRule>
  </conditionalFormatting>
  <conditionalFormatting sqref="I617">
    <cfRule type="cellIs" dxfId="234" priority="1207" stopIfTrue="1" operator="greaterThan">
      <formula>$H$617</formula>
    </cfRule>
  </conditionalFormatting>
  <conditionalFormatting sqref="I617">
    <cfRule type="cellIs" dxfId="233" priority="1208" stopIfTrue="1" operator="lessThan">
      <formula>$H$617*(-1)</formula>
    </cfRule>
  </conditionalFormatting>
  <conditionalFormatting sqref="I618">
    <cfRule type="cellIs" dxfId="232" priority="1209" stopIfTrue="1" operator="greaterThan">
      <formula>$H$618</formula>
    </cfRule>
  </conditionalFormatting>
  <conditionalFormatting sqref="I618">
    <cfRule type="cellIs" dxfId="231" priority="1210" stopIfTrue="1" operator="lessThan">
      <formula>$H$618*(-1)</formula>
    </cfRule>
  </conditionalFormatting>
  <conditionalFormatting sqref="I619">
    <cfRule type="cellIs" dxfId="230" priority="1211" stopIfTrue="1" operator="greaterThan">
      <formula>$H$619</formula>
    </cfRule>
  </conditionalFormatting>
  <conditionalFormatting sqref="I619">
    <cfRule type="cellIs" dxfId="229" priority="1212" stopIfTrue="1" operator="lessThan">
      <formula>$H$619*(-1)</formula>
    </cfRule>
  </conditionalFormatting>
  <conditionalFormatting sqref="I620">
    <cfRule type="cellIs" dxfId="228" priority="1213" stopIfTrue="1" operator="greaterThan">
      <formula>$H$620</formula>
    </cfRule>
  </conditionalFormatting>
  <conditionalFormatting sqref="I620">
    <cfRule type="cellIs" dxfId="227" priority="1214" stopIfTrue="1" operator="lessThan">
      <formula>$H$620*(-1)</formula>
    </cfRule>
  </conditionalFormatting>
  <conditionalFormatting sqref="I621">
    <cfRule type="cellIs" dxfId="226" priority="1215" stopIfTrue="1" operator="greaterThan">
      <formula>$H$621</formula>
    </cfRule>
  </conditionalFormatting>
  <conditionalFormatting sqref="I621">
    <cfRule type="cellIs" dxfId="225" priority="1216" stopIfTrue="1" operator="lessThan">
      <formula>$H$621*(-1)</formula>
    </cfRule>
  </conditionalFormatting>
  <conditionalFormatting sqref="I622">
    <cfRule type="cellIs" dxfId="224" priority="1217" stopIfTrue="1" operator="greaterThan">
      <formula>$H$622</formula>
    </cfRule>
  </conditionalFormatting>
  <conditionalFormatting sqref="I622">
    <cfRule type="cellIs" dxfId="223" priority="1218" stopIfTrue="1" operator="lessThan">
      <formula>$H$622*(-1)</formula>
    </cfRule>
  </conditionalFormatting>
  <conditionalFormatting sqref="I623">
    <cfRule type="cellIs" dxfId="222" priority="1219" stopIfTrue="1" operator="greaterThan">
      <formula>$H$623</formula>
    </cfRule>
  </conditionalFormatting>
  <conditionalFormatting sqref="I623">
    <cfRule type="cellIs" dxfId="221" priority="1220" stopIfTrue="1" operator="lessThan">
      <formula>$H$623*(-1)</formula>
    </cfRule>
  </conditionalFormatting>
  <conditionalFormatting sqref="I624">
    <cfRule type="cellIs" dxfId="220" priority="1221" stopIfTrue="1" operator="greaterThan">
      <formula>$H$624</formula>
    </cfRule>
  </conditionalFormatting>
  <conditionalFormatting sqref="I624">
    <cfRule type="cellIs" dxfId="219" priority="1222" stopIfTrue="1" operator="lessThan">
      <formula>$H$624*(-1)</formula>
    </cfRule>
  </conditionalFormatting>
  <conditionalFormatting sqref="I625">
    <cfRule type="cellIs" dxfId="218" priority="1223" stopIfTrue="1" operator="greaterThan">
      <formula>$H$625</formula>
    </cfRule>
  </conditionalFormatting>
  <conditionalFormatting sqref="I625">
    <cfRule type="cellIs" dxfId="217" priority="1224" stopIfTrue="1" operator="lessThan">
      <formula>$H$625*(-1)</formula>
    </cfRule>
  </conditionalFormatting>
  <conditionalFormatting sqref="I626">
    <cfRule type="cellIs" dxfId="216" priority="1225" stopIfTrue="1" operator="greaterThan">
      <formula>$H$626</formula>
    </cfRule>
  </conditionalFormatting>
  <conditionalFormatting sqref="I626">
    <cfRule type="cellIs" dxfId="215" priority="1226" stopIfTrue="1" operator="lessThan">
      <formula>$H$626*(-1)</formula>
    </cfRule>
  </conditionalFormatting>
  <conditionalFormatting sqref="I627">
    <cfRule type="cellIs" dxfId="214" priority="1227" stopIfTrue="1" operator="greaterThan">
      <formula>$H$627</formula>
    </cfRule>
  </conditionalFormatting>
  <conditionalFormatting sqref="I627">
    <cfRule type="cellIs" dxfId="213" priority="1228" stopIfTrue="1" operator="lessThan">
      <formula>$H$627*(-1)</formula>
    </cfRule>
  </conditionalFormatting>
  <conditionalFormatting sqref="I628">
    <cfRule type="cellIs" dxfId="212" priority="1229" stopIfTrue="1" operator="greaterThan">
      <formula>$H$628</formula>
    </cfRule>
  </conditionalFormatting>
  <conditionalFormatting sqref="I628">
    <cfRule type="cellIs" dxfId="211" priority="1230" stopIfTrue="1" operator="lessThan">
      <formula>$H$628*(-1)</formula>
    </cfRule>
  </conditionalFormatting>
  <conditionalFormatting sqref="I629">
    <cfRule type="cellIs" dxfId="210" priority="1231" stopIfTrue="1" operator="greaterThan">
      <formula>$H$629</formula>
    </cfRule>
  </conditionalFormatting>
  <conditionalFormatting sqref="I629">
    <cfRule type="cellIs" dxfId="209" priority="1232" stopIfTrue="1" operator="lessThan">
      <formula>$H$629*(-1)</formula>
    </cfRule>
  </conditionalFormatting>
  <conditionalFormatting sqref="I630">
    <cfRule type="cellIs" dxfId="208" priority="1233" stopIfTrue="1" operator="greaterThan">
      <formula>$H$630</formula>
    </cfRule>
  </conditionalFormatting>
  <conditionalFormatting sqref="I630">
    <cfRule type="cellIs" dxfId="207" priority="1234" stopIfTrue="1" operator="lessThan">
      <formula>$H$630*(-1)</formula>
    </cfRule>
  </conditionalFormatting>
  <conditionalFormatting sqref="I631">
    <cfRule type="cellIs" dxfId="206" priority="1235" stopIfTrue="1" operator="greaterThan">
      <formula>$H$631</formula>
    </cfRule>
  </conditionalFormatting>
  <conditionalFormatting sqref="I631">
    <cfRule type="cellIs" dxfId="205" priority="1236" stopIfTrue="1" operator="lessThan">
      <formula>$H$631*(-1)</formula>
    </cfRule>
  </conditionalFormatting>
  <conditionalFormatting sqref="I632">
    <cfRule type="cellIs" dxfId="204" priority="1237" stopIfTrue="1" operator="greaterThan">
      <formula>$H$632</formula>
    </cfRule>
  </conditionalFormatting>
  <conditionalFormatting sqref="I632">
    <cfRule type="cellIs" dxfId="203" priority="1238" stopIfTrue="1" operator="lessThan">
      <formula>$H$632*(-1)</formula>
    </cfRule>
  </conditionalFormatting>
  <conditionalFormatting sqref="I633">
    <cfRule type="cellIs" dxfId="202" priority="1239" stopIfTrue="1" operator="greaterThan">
      <formula>$H$633</formula>
    </cfRule>
  </conditionalFormatting>
  <conditionalFormatting sqref="I633">
    <cfRule type="cellIs" dxfId="201" priority="1240" stopIfTrue="1" operator="lessThan">
      <formula>$H$633*(-1)</formula>
    </cfRule>
  </conditionalFormatting>
  <conditionalFormatting sqref="I634">
    <cfRule type="cellIs" dxfId="200" priority="1241" stopIfTrue="1" operator="greaterThan">
      <formula>$H$634</formula>
    </cfRule>
  </conditionalFormatting>
  <conditionalFormatting sqref="I634">
    <cfRule type="cellIs" dxfId="199" priority="1242" stopIfTrue="1" operator="lessThan">
      <formula>$H$634*(-1)</formula>
    </cfRule>
  </conditionalFormatting>
  <conditionalFormatting sqref="I635">
    <cfRule type="cellIs" dxfId="198" priority="1243" stopIfTrue="1" operator="greaterThan">
      <formula>$H$635</formula>
    </cfRule>
  </conditionalFormatting>
  <conditionalFormatting sqref="I635">
    <cfRule type="cellIs" dxfId="197" priority="1244" stopIfTrue="1" operator="lessThan">
      <formula>$H$635*(-1)</formula>
    </cfRule>
  </conditionalFormatting>
  <conditionalFormatting sqref="I636">
    <cfRule type="cellIs" dxfId="196" priority="1245" stopIfTrue="1" operator="greaterThan">
      <formula>$H$636</formula>
    </cfRule>
  </conditionalFormatting>
  <conditionalFormatting sqref="I636">
    <cfRule type="cellIs" dxfId="195" priority="1246" stopIfTrue="1" operator="lessThan">
      <formula>$H$636*(-1)</formula>
    </cfRule>
  </conditionalFormatting>
  <conditionalFormatting sqref="I637">
    <cfRule type="cellIs" dxfId="194" priority="1247" stopIfTrue="1" operator="greaterThan">
      <formula>$H$637</formula>
    </cfRule>
  </conditionalFormatting>
  <conditionalFormatting sqref="I637">
    <cfRule type="cellIs" dxfId="193" priority="1248" stopIfTrue="1" operator="lessThan">
      <formula>$H$637*(-1)</formula>
    </cfRule>
  </conditionalFormatting>
  <conditionalFormatting sqref="I638">
    <cfRule type="cellIs" dxfId="192" priority="1249" stopIfTrue="1" operator="greaterThan">
      <formula>$H$638</formula>
    </cfRule>
  </conditionalFormatting>
  <conditionalFormatting sqref="I638">
    <cfRule type="cellIs" dxfId="191" priority="1250" stopIfTrue="1" operator="lessThan">
      <formula>$H$638*(-1)</formula>
    </cfRule>
  </conditionalFormatting>
  <conditionalFormatting sqref="I639">
    <cfRule type="cellIs" dxfId="190" priority="1251" stopIfTrue="1" operator="greaterThan">
      <formula>$H$639</formula>
    </cfRule>
  </conditionalFormatting>
  <conditionalFormatting sqref="I639">
    <cfRule type="cellIs" dxfId="189" priority="1252" stopIfTrue="1" operator="lessThan">
      <formula>$H$639*(-1)</formula>
    </cfRule>
  </conditionalFormatting>
  <conditionalFormatting sqref="I640">
    <cfRule type="cellIs" dxfId="188" priority="1253" stopIfTrue="1" operator="greaterThan">
      <formula>$H$640</formula>
    </cfRule>
  </conditionalFormatting>
  <conditionalFormatting sqref="I640">
    <cfRule type="cellIs" dxfId="187" priority="1254" stopIfTrue="1" operator="lessThan">
      <formula>$H$640*(-1)</formula>
    </cfRule>
  </conditionalFormatting>
  <conditionalFormatting sqref="I641">
    <cfRule type="cellIs" dxfId="186" priority="1255" stopIfTrue="1" operator="greaterThan">
      <formula>$H$641</formula>
    </cfRule>
  </conditionalFormatting>
  <conditionalFormatting sqref="I641">
    <cfRule type="cellIs" dxfId="185" priority="1256" stopIfTrue="1" operator="lessThan">
      <formula>$H$641*(-1)</formula>
    </cfRule>
  </conditionalFormatting>
  <conditionalFormatting sqref="I642">
    <cfRule type="cellIs" dxfId="184" priority="1257" stopIfTrue="1" operator="greaterThan">
      <formula>$H$642</formula>
    </cfRule>
  </conditionalFormatting>
  <conditionalFormatting sqref="I642">
    <cfRule type="cellIs" dxfId="183" priority="1258" stopIfTrue="1" operator="lessThan">
      <formula>$H$642*(-1)</formula>
    </cfRule>
  </conditionalFormatting>
  <conditionalFormatting sqref="I643">
    <cfRule type="cellIs" dxfId="182" priority="1259" stopIfTrue="1" operator="greaterThan">
      <formula>$H$643</formula>
    </cfRule>
  </conditionalFormatting>
  <conditionalFormatting sqref="I643">
    <cfRule type="cellIs" dxfId="181" priority="1260" stopIfTrue="1" operator="lessThan">
      <formula>$H$643*(-1)</formula>
    </cfRule>
  </conditionalFormatting>
  <conditionalFormatting sqref="I644">
    <cfRule type="cellIs" dxfId="180" priority="1261" stopIfTrue="1" operator="greaterThan">
      <formula>$H$644</formula>
    </cfRule>
  </conditionalFormatting>
  <conditionalFormatting sqref="I644">
    <cfRule type="cellIs" dxfId="179" priority="1262" stopIfTrue="1" operator="lessThan">
      <formula>$H$644*(-1)</formula>
    </cfRule>
  </conditionalFormatting>
  <conditionalFormatting sqref="I645">
    <cfRule type="cellIs" dxfId="178" priority="1263" stopIfTrue="1" operator="greaterThan">
      <formula>$H$645</formula>
    </cfRule>
  </conditionalFormatting>
  <conditionalFormatting sqref="I645">
    <cfRule type="cellIs" dxfId="177" priority="1264" stopIfTrue="1" operator="lessThan">
      <formula>$H$645*(-1)</formula>
    </cfRule>
  </conditionalFormatting>
  <conditionalFormatting sqref="I646">
    <cfRule type="cellIs" dxfId="176" priority="1265" stopIfTrue="1" operator="greaterThan">
      <formula>$H$646</formula>
    </cfRule>
  </conditionalFormatting>
  <conditionalFormatting sqref="I646">
    <cfRule type="cellIs" dxfId="175" priority="1266" stopIfTrue="1" operator="lessThan">
      <formula>$H$646*(-1)</formula>
    </cfRule>
  </conditionalFormatting>
  <conditionalFormatting sqref="I647">
    <cfRule type="cellIs" dxfId="174" priority="1267" stopIfTrue="1" operator="greaterThan">
      <formula>$H$647</formula>
    </cfRule>
  </conditionalFormatting>
  <conditionalFormatting sqref="I647">
    <cfRule type="cellIs" dxfId="173" priority="1268" stopIfTrue="1" operator="lessThan">
      <formula>$H$647*(-1)</formula>
    </cfRule>
  </conditionalFormatting>
  <conditionalFormatting sqref="I648">
    <cfRule type="cellIs" dxfId="172" priority="1269" stopIfTrue="1" operator="greaterThan">
      <formula>$H$648</formula>
    </cfRule>
  </conditionalFormatting>
  <conditionalFormatting sqref="I648">
    <cfRule type="cellIs" dxfId="171" priority="1270" stopIfTrue="1" operator="lessThan">
      <formula>$H$648*(-1)</formula>
    </cfRule>
  </conditionalFormatting>
  <conditionalFormatting sqref="I649">
    <cfRule type="cellIs" dxfId="170" priority="1271" stopIfTrue="1" operator="greaterThan">
      <formula>$H$649</formula>
    </cfRule>
  </conditionalFormatting>
  <conditionalFormatting sqref="I649">
    <cfRule type="cellIs" dxfId="169" priority="1272" stopIfTrue="1" operator="lessThan">
      <formula>$H$649*(-1)</formula>
    </cfRule>
  </conditionalFormatting>
  <conditionalFormatting sqref="I650">
    <cfRule type="cellIs" dxfId="168" priority="1273" stopIfTrue="1" operator="greaterThan">
      <formula>$H$650</formula>
    </cfRule>
  </conditionalFormatting>
  <conditionalFormatting sqref="I650">
    <cfRule type="cellIs" dxfId="167" priority="1274" stopIfTrue="1" operator="lessThan">
      <formula>$H$650*(-1)</formula>
    </cfRule>
  </conditionalFormatting>
  <conditionalFormatting sqref="I651">
    <cfRule type="cellIs" dxfId="166" priority="1275" stopIfTrue="1" operator="greaterThan">
      <formula>$H$651</formula>
    </cfRule>
  </conditionalFormatting>
  <conditionalFormatting sqref="I651">
    <cfRule type="cellIs" dxfId="165" priority="1276" stopIfTrue="1" operator="lessThan">
      <formula>$H$651*(-1)</formula>
    </cfRule>
  </conditionalFormatting>
  <conditionalFormatting sqref="I652">
    <cfRule type="cellIs" dxfId="164" priority="1277" stopIfTrue="1" operator="greaterThan">
      <formula>$H$652</formula>
    </cfRule>
  </conditionalFormatting>
  <conditionalFormatting sqref="I652">
    <cfRule type="cellIs" dxfId="163" priority="1278" stopIfTrue="1" operator="lessThan">
      <formula>$H$652*(-1)</formula>
    </cfRule>
  </conditionalFormatting>
  <conditionalFormatting sqref="I653">
    <cfRule type="cellIs" dxfId="162" priority="1279" stopIfTrue="1" operator="greaterThan">
      <formula>$H$653</formula>
    </cfRule>
  </conditionalFormatting>
  <conditionalFormatting sqref="I653">
    <cfRule type="cellIs" dxfId="161" priority="1280" stopIfTrue="1" operator="lessThan">
      <formula>$H$653*(-1)</formula>
    </cfRule>
  </conditionalFormatting>
  <conditionalFormatting sqref="I654">
    <cfRule type="cellIs" dxfId="160" priority="1281" stopIfTrue="1" operator="greaterThan">
      <formula>$H$654</formula>
    </cfRule>
  </conditionalFormatting>
  <conditionalFormatting sqref="I654">
    <cfRule type="cellIs" dxfId="159" priority="1282" stopIfTrue="1" operator="lessThan">
      <formula>$H$654*(-1)</formula>
    </cfRule>
  </conditionalFormatting>
  <conditionalFormatting sqref="I655">
    <cfRule type="cellIs" dxfId="158" priority="1283" stopIfTrue="1" operator="greaterThan">
      <formula>$H$655</formula>
    </cfRule>
  </conditionalFormatting>
  <conditionalFormatting sqref="I655">
    <cfRule type="cellIs" dxfId="157" priority="1284" stopIfTrue="1" operator="lessThan">
      <formula>$H$655*(-1)</formula>
    </cfRule>
  </conditionalFormatting>
  <conditionalFormatting sqref="I656">
    <cfRule type="cellIs" dxfId="156" priority="1285" stopIfTrue="1" operator="greaterThan">
      <formula>$H$656</formula>
    </cfRule>
  </conditionalFormatting>
  <conditionalFormatting sqref="I656">
    <cfRule type="cellIs" dxfId="155" priority="1286" stopIfTrue="1" operator="lessThan">
      <formula>$H$656*(-1)</formula>
    </cfRule>
  </conditionalFormatting>
  <conditionalFormatting sqref="I657">
    <cfRule type="cellIs" dxfId="154" priority="1287" stopIfTrue="1" operator="greaterThan">
      <formula>$H$657</formula>
    </cfRule>
  </conditionalFormatting>
  <conditionalFormatting sqref="I657">
    <cfRule type="cellIs" dxfId="153" priority="1288" stopIfTrue="1" operator="lessThan">
      <formula>$H$657*(-1)</formula>
    </cfRule>
  </conditionalFormatting>
  <conditionalFormatting sqref="I658">
    <cfRule type="cellIs" dxfId="152" priority="1289" stopIfTrue="1" operator="greaterThan">
      <formula>$H$658</formula>
    </cfRule>
  </conditionalFormatting>
  <conditionalFormatting sqref="I658">
    <cfRule type="cellIs" dxfId="151" priority="1290" stopIfTrue="1" operator="lessThan">
      <formula>$H$658*(-1)</formula>
    </cfRule>
  </conditionalFormatting>
  <conditionalFormatting sqref="I659">
    <cfRule type="cellIs" dxfId="150" priority="1291" stopIfTrue="1" operator="greaterThan">
      <formula>$H$659</formula>
    </cfRule>
  </conditionalFormatting>
  <conditionalFormatting sqref="I659">
    <cfRule type="cellIs" dxfId="149" priority="1292" stopIfTrue="1" operator="lessThan">
      <formula>$H$659*(-1)</formula>
    </cfRule>
  </conditionalFormatting>
  <conditionalFormatting sqref="I660">
    <cfRule type="cellIs" dxfId="148" priority="1293" stopIfTrue="1" operator="greaterThan">
      <formula>$H$660</formula>
    </cfRule>
  </conditionalFormatting>
  <conditionalFormatting sqref="I660">
    <cfRule type="cellIs" dxfId="147" priority="1294" stopIfTrue="1" operator="lessThan">
      <formula>$H$660*(-1)</formula>
    </cfRule>
  </conditionalFormatting>
  <conditionalFormatting sqref="I661">
    <cfRule type="cellIs" dxfId="146" priority="1295" stopIfTrue="1" operator="greaterThan">
      <formula>$H$661</formula>
    </cfRule>
  </conditionalFormatting>
  <conditionalFormatting sqref="I661">
    <cfRule type="cellIs" dxfId="145" priority="1296" stopIfTrue="1" operator="lessThan">
      <formula>$H$661*(-1)</formula>
    </cfRule>
  </conditionalFormatting>
  <conditionalFormatting sqref="I662">
    <cfRule type="cellIs" dxfId="144" priority="1297" stopIfTrue="1" operator="greaterThan">
      <formula>$H$662</formula>
    </cfRule>
  </conditionalFormatting>
  <conditionalFormatting sqref="I662">
    <cfRule type="cellIs" dxfId="143" priority="1298" stopIfTrue="1" operator="lessThan">
      <formula>$H$662*(-1)</formula>
    </cfRule>
  </conditionalFormatting>
  <conditionalFormatting sqref="I663">
    <cfRule type="cellIs" dxfId="142" priority="1299" stopIfTrue="1" operator="greaterThan">
      <formula>$H$663</formula>
    </cfRule>
  </conditionalFormatting>
  <conditionalFormatting sqref="I663">
    <cfRule type="cellIs" dxfId="141" priority="1300" stopIfTrue="1" operator="lessThan">
      <formula>$H$663*(-1)</formula>
    </cfRule>
  </conditionalFormatting>
  <conditionalFormatting sqref="I664">
    <cfRule type="cellIs" dxfId="140" priority="1301" stopIfTrue="1" operator="greaterThan">
      <formula>$H$664</formula>
    </cfRule>
  </conditionalFormatting>
  <conditionalFormatting sqref="I664">
    <cfRule type="cellIs" dxfId="139" priority="1302" stopIfTrue="1" operator="lessThan">
      <formula>$H$664*(-1)</formula>
    </cfRule>
  </conditionalFormatting>
  <conditionalFormatting sqref="I665">
    <cfRule type="cellIs" dxfId="138" priority="1303" stopIfTrue="1" operator="greaterThan">
      <formula>$H$665</formula>
    </cfRule>
  </conditionalFormatting>
  <conditionalFormatting sqref="I665">
    <cfRule type="cellIs" dxfId="137" priority="1304" stopIfTrue="1" operator="lessThan">
      <formula>$H$665*(-1)</formula>
    </cfRule>
  </conditionalFormatting>
  <conditionalFormatting sqref="I666">
    <cfRule type="cellIs" dxfId="136" priority="1305" stopIfTrue="1" operator="greaterThan">
      <formula>$H$666</formula>
    </cfRule>
  </conditionalFormatting>
  <conditionalFormatting sqref="I666">
    <cfRule type="cellIs" dxfId="135" priority="1306" stopIfTrue="1" operator="lessThan">
      <formula>$H$666*(-1)</formula>
    </cfRule>
  </conditionalFormatting>
  <conditionalFormatting sqref="I667">
    <cfRule type="cellIs" dxfId="134" priority="1307" stopIfTrue="1" operator="greaterThan">
      <formula>$H$667</formula>
    </cfRule>
  </conditionalFormatting>
  <conditionalFormatting sqref="I667">
    <cfRule type="cellIs" dxfId="133" priority="1308" stopIfTrue="1" operator="lessThan">
      <formula>$H$667*(-1)</formula>
    </cfRule>
  </conditionalFormatting>
  <conditionalFormatting sqref="I668">
    <cfRule type="cellIs" dxfId="132" priority="1309" stopIfTrue="1" operator="greaterThan">
      <formula>$H$668</formula>
    </cfRule>
  </conditionalFormatting>
  <conditionalFormatting sqref="I668">
    <cfRule type="cellIs" dxfId="131" priority="1310" stopIfTrue="1" operator="lessThan">
      <formula>$H$668*(-1)</formula>
    </cfRule>
  </conditionalFormatting>
  <conditionalFormatting sqref="I669">
    <cfRule type="cellIs" dxfId="130" priority="1311" stopIfTrue="1" operator="greaterThan">
      <formula>$H$669</formula>
    </cfRule>
  </conditionalFormatting>
  <conditionalFormatting sqref="I669">
    <cfRule type="cellIs" dxfId="129" priority="1312" stopIfTrue="1" operator="lessThan">
      <formula>$H$669*(-1)</formula>
    </cfRule>
  </conditionalFormatting>
  <conditionalFormatting sqref="I670">
    <cfRule type="cellIs" dxfId="128" priority="1313" stopIfTrue="1" operator="greaterThan">
      <formula>$H$670</formula>
    </cfRule>
  </conditionalFormatting>
  <conditionalFormatting sqref="I670">
    <cfRule type="cellIs" dxfId="127" priority="1314" stopIfTrue="1" operator="lessThan">
      <formula>$H$670*(-1)</formula>
    </cfRule>
  </conditionalFormatting>
  <conditionalFormatting sqref="I671">
    <cfRule type="cellIs" dxfId="126" priority="1315" stopIfTrue="1" operator="greaterThan">
      <formula>$H$671</formula>
    </cfRule>
  </conditionalFormatting>
  <conditionalFormatting sqref="I671">
    <cfRule type="cellIs" dxfId="125" priority="1316" stopIfTrue="1" operator="lessThan">
      <formula>$H$671*(-1)</formula>
    </cfRule>
  </conditionalFormatting>
  <conditionalFormatting sqref="I672">
    <cfRule type="cellIs" dxfId="124" priority="1317" stopIfTrue="1" operator="greaterThan">
      <formula>$H$672</formula>
    </cfRule>
  </conditionalFormatting>
  <conditionalFormatting sqref="I672">
    <cfRule type="cellIs" dxfId="123" priority="1318" stopIfTrue="1" operator="lessThan">
      <formula>$H$672*(-1)</formula>
    </cfRule>
  </conditionalFormatting>
  <conditionalFormatting sqref="I673">
    <cfRule type="cellIs" dxfId="122" priority="1319" stopIfTrue="1" operator="greaterThan">
      <formula>$H$673</formula>
    </cfRule>
  </conditionalFormatting>
  <conditionalFormatting sqref="I673">
    <cfRule type="cellIs" dxfId="121" priority="1320" stopIfTrue="1" operator="lessThan">
      <formula>$H$673*(-1)</formula>
    </cfRule>
  </conditionalFormatting>
  <conditionalFormatting sqref="I674">
    <cfRule type="cellIs" dxfId="120" priority="1321" stopIfTrue="1" operator="greaterThan">
      <formula>$H$674</formula>
    </cfRule>
  </conditionalFormatting>
  <conditionalFormatting sqref="I674">
    <cfRule type="cellIs" dxfId="119" priority="1322" stopIfTrue="1" operator="lessThan">
      <formula>$H$674*(-1)</formula>
    </cfRule>
  </conditionalFormatting>
  <conditionalFormatting sqref="I675">
    <cfRule type="cellIs" dxfId="118" priority="1323" stopIfTrue="1" operator="greaterThan">
      <formula>$H$675</formula>
    </cfRule>
  </conditionalFormatting>
  <conditionalFormatting sqref="I675">
    <cfRule type="cellIs" dxfId="117" priority="1324" stopIfTrue="1" operator="lessThan">
      <formula>$H$675*(-1)</formula>
    </cfRule>
  </conditionalFormatting>
  <conditionalFormatting sqref="I676">
    <cfRule type="cellIs" dxfId="116" priority="1325" stopIfTrue="1" operator="greaterThan">
      <formula>$H$676</formula>
    </cfRule>
  </conditionalFormatting>
  <conditionalFormatting sqref="I676">
    <cfRule type="cellIs" dxfId="115" priority="1326" stopIfTrue="1" operator="lessThan">
      <formula>$H$676*(-1)</formula>
    </cfRule>
  </conditionalFormatting>
  <conditionalFormatting sqref="I677">
    <cfRule type="cellIs" dxfId="114" priority="1327" stopIfTrue="1" operator="greaterThan">
      <formula>$H$677</formula>
    </cfRule>
  </conditionalFormatting>
  <conditionalFormatting sqref="I677">
    <cfRule type="cellIs" dxfId="113" priority="1328" stopIfTrue="1" operator="lessThan">
      <formula>$H$677*(-1)</formula>
    </cfRule>
  </conditionalFormatting>
  <conditionalFormatting sqref="I678">
    <cfRule type="cellIs" dxfId="112" priority="1329" stopIfTrue="1" operator="greaterThan">
      <formula>$H$678</formula>
    </cfRule>
  </conditionalFormatting>
  <conditionalFormatting sqref="I678">
    <cfRule type="cellIs" dxfId="111" priority="1330" stopIfTrue="1" operator="lessThan">
      <formula>$H$678*(-1)</formula>
    </cfRule>
  </conditionalFormatting>
  <conditionalFormatting sqref="I679">
    <cfRule type="cellIs" dxfId="110" priority="1331" stopIfTrue="1" operator="greaterThan">
      <formula>$H$679</formula>
    </cfRule>
  </conditionalFormatting>
  <conditionalFormatting sqref="I679">
    <cfRule type="cellIs" dxfId="109" priority="1332" stopIfTrue="1" operator="lessThan">
      <formula>$H$679*(-1)</formula>
    </cfRule>
  </conditionalFormatting>
  <conditionalFormatting sqref="I680">
    <cfRule type="cellIs" dxfId="108" priority="1333" stopIfTrue="1" operator="greaterThan">
      <formula>$H$680</formula>
    </cfRule>
  </conditionalFormatting>
  <conditionalFormatting sqref="I680">
    <cfRule type="cellIs" dxfId="107" priority="1334" stopIfTrue="1" operator="lessThan">
      <formula>$H$680*(-1)</formula>
    </cfRule>
  </conditionalFormatting>
  <conditionalFormatting sqref="I681">
    <cfRule type="cellIs" dxfId="106" priority="1335" stopIfTrue="1" operator="greaterThan">
      <formula>$H$681</formula>
    </cfRule>
  </conditionalFormatting>
  <conditionalFormatting sqref="I681">
    <cfRule type="cellIs" dxfId="105" priority="1336" stopIfTrue="1" operator="lessThan">
      <formula>$H$681*(-1)</formula>
    </cfRule>
  </conditionalFormatting>
  <conditionalFormatting sqref="I682">
    <cfRule type="cellIs" dxfId="104" priority="1337" stopIfTrue="1" operator="greaterThan">
      <formula>$H$682</formula>
    </cfRule>
  </conditionalFormatting>
  <conditionalFormatting sqref="I682">
    <cfRule type="cellIs" dxfId="103" priority="1338" stopIfTrue="1" operator="lessThan">
      <formula>$H$682*(-1)</formula>
    </cfRule>
  </conditionalFormatting>
  <conditionalFormatting sqref="I683">
    <cfRule type="cellIs" dxfId="102" priority="1339" stopIfTrue="1" operator="greaterThan">
      <formula>$H$683</formula>
    </cfRule>
  </conditionalFormatting>
  <conditionalFormatting sqref="I683">
    <cfRule type="cellIs" dxfId="101" priority="1340" stopIfTrue="1" operator="lessThan">
      <formula>$H$683*(-1)</formula>
    </cfRule>
  </conditionalFormatting>
  <conditionalFormatting sqref="I684">
    <cfRule type="cellIs" dxfId="100" priority="1341" stopIfTrue="1" operator="greaterThan">
      <formula>$H$684</formula>
    </cfRule>
  </conditionalFormatting>
  <conditionalFormatting sqref="I684">
    <cfRule type="cellIs" dxfId="99" priority="1342" stopIfTrue="1" operator="lessThan">
      <formula>$H$684*(-1)</formula>
    </cfRule>
  </conditionalFormatting>
  <conditionalFormatting sqref="I685">
    <cfRule type="cellIs" dxfId="98" priority="1343" stopIfTrue="1" operator="greaterThan">
      <formula>$H$685</formula>
    </cfRule>
  </conditionalFormatting>
  <conditionalFormatting sqref="I685">
    <cfRule type="cellIs" dxfId="97" priority="1344" stopIfTrue="1" operator="lessThan">
      <formula>$H$685*(-1)</formula>
    </cfRule>
  </conditionalFormatting>
  <conditionalFormatting sqref="I686">
    <cfRule type="cellIs" dxfId="96" priority="1345" stopIfTrue="1" operator="greaterThan">
      <formula>$H$686</formula>
    </cfRule>
  </conditionalFormatting>
  <conditionalFormatting sqref="I686">
    <cfRule type="cellIs" dxfId="95" priority="1346" stopIfTrue="1" operator="lessThan">
      <formula>$H$686*(-1)</formula>
    </cfRule>
  </conditionalFormatting>
  <conditionalFormatting sqref="I687">
    <cfRule type="cellIs" dxfId="94" priority="1347" stopIfTrue="1" operator="greaterThan">
      <formula>$H$687</formula>
    </cfRule>
  </conditionalFormatting>
  <conditionalFormatting sqref="I687">
    <cfRule type="cellIs" dxfId="93" priority="1348" stopIfTrue="1" operator="lessThan">
      <formula>$H$687*(-1)</formula>
    </cfRule>
  </conditionalFormatting>
  <conditionalFormatting sqref="I688">
    <cfRule type="cellIs" dxfId="92" priority="1349" stopIfTrue="1" operator="greaterThan">
      <formula>$H$688</formula>
    </cfRule>
  </conditionalFormatting>
  <conditionalFormatting sqref="I688">
    <cfRule type="cellIs" dxfId="91" priority="1350" stopIfTrue="1" operator="lessThan">
      <formula>$H$688*(-1)</formula>
    </cfRule>
  </conditionalFormatting>
  <conditionalFormatting sqref="I689">
    <cfRule type="cellIs" dxfId="90" priority="1351" stopIfTrue="1" operator="greaterThan">
      <formula>$H$689</formula>
    </cfRule>
  </conditionalFormatting>
  <conditionalFormatting sqref="I689">
    <cfRule type="cellIs" dxfId="89" priority="1352" stopIfTrue="1" operator="lessThan">
      <formula>$H$689*(-1)</formula>
    </cfRule>
  </conditionalFormatting>
  <conditionalFormatting sqref="I690">
    <cfRule type="cellIs" dxfId="88" priority="1353" stopIfTrue="1" operator="greaterThan">
      <formula>$H$690</formula>
    </cfRule>
  </conditionalFormatting>
  <conditionalFormatting sqref="I690">
    <cfRule type="cellIs" dxfId="87" priority="1354" stopIfTrue="1" operator="lessThan">
      <formula>$H$690*(-1)</formula>
    </cfRule>
  </conditionalFormatting>
  <conditionalFormatting sqref="I691">
    <cfRule type="cellIs" dxfId="86" priority="1355" stopIfTrue="1" operator="greaterThan">
      <formula>$H$691</formula>
    </cfRule>
  </conditionalFormatting>
  <conditionalFormatting sqref="I691">
    <cfRule type="cellIs" dxfId="85" priority="1356" stopIfTrue="1" operator="lessThan">
      <formula>$H$691*(-1)</formula>
    </cfRule>
  </conditionalFormatting>
  <conditionalFormatting sqref="I692">
    <cfRule type="cellIs" dxfId="84" priority="1357" stopIfTrue="1" operator="greaterThan">
      <formula>$H$692</formula>
    </cfRule>
  </conditionalFormatting>
  <conditionalFormatting sqref="I692">
    <cfRule type="cellIs" dxfId="83" priority="1358" stopIfTrue="1" operator="lessThan">
      <formula>$H$692*(-1)</formula>
    </cfRule>
  </conditionalFormatting>
  <conditionalFormatting sqref="I693">
    <cfRule type="cellIs" dxfId="82" priority="1359" stopIfTrue="1" operator="greaterThan">
      <formula>$H$693</formula>
    </cfRule>
  </conditionalFormatting>
  <conditionalFormatting sqref="I693">
    <cfRule type="cellIs" dxfId="81" priority="1360" stopIfTrue="1" operator="lessThan">
      <formula>$H$693*(-1)</formula>
    </cfRule>
  </conditionalFormatting>
  <conditionalFormatting sqref="I694">
    <cfRule type="cellIs" dxfId="80" priority="1361" stopIfTrue="1" operator="greaterThan">
      <formula>$H$694</formula>
    </cfRule>
  </conditionalFormatting>
  <conditionalFormatting sqref="I694">
    <cfRule type="cellIs" dxfId="79" priority="1362" stopIfTrue="1" operator="lessThan">
      <formula>$H$694*(-1)</formula>
    </cfRule>
  </conditionalFormatting>
  <conditionalFormatting sqref="I695">
    <cfRule type="cellIs" dxfId="78" priority="1363" stopIfTrue="1" operator="greaterThan">
      <formula>$H$695</formula>
    </cfRule>
  </conditionalFormatting>
  <conditionalFormatting sqref="I695">
    <cfRule type="cellIs" dxfId="77" priority="1364" stopIfTrue="1" operator="lessThan">
      <formula>$H$695*(-1)</formula>
    </cfRule>
  </conditionalFormatting>
  <conditionalFormatting sqref="I696">
    <cfRule type="cellIs" dxfId="76" priority="1365" stopIfTrue="1" operator="greaterThan">
      <formula>$H$696</formula>
    </cfRule>
  </conditionalFormatting>
  <conditionalFormatting sqref="I696">
    <cfRule type="cellIs" dxfId="75" priority="1366" stopIfTrue="1" operator="lessThan">
      <formula>$H$696*(-1)</formula>
    </cfRule>
  </conditionalFormatting>
  <conditionalFormatting sqref="I697">
    <cfRule type="cellIs" dxfId="74" priority="1367" stopIfTrue="1" operator="greaterThan">
      <formula>$H$697</formula>
    </cfRule>
  </conditionalFormatting>
  <conditionalFormatting sqref="I697">
    <cfRule type="cellIs" dxfId="73" priority="1368" stopIfTrue="1" operator="lessThan">
      <formula>$H$697*(-1)</formula>
    </cfRule>
  </conditionalFormatting>
  <conditionalFormatting sqref="I698">
    <cfRule type="cellIs" dxfId="72" priority="1369" stopIfTrue="1" operator="greaterThan">
      <formula>$H$698</formula>
    </cfRule>
  </conditionalFormatting>
  <conditionalFormatting sqref="I698">
    <cfRule type="cellIs" dxfId="71" priority="1370" stopIfTrue="1" operator="lessThan">
      <formula>$H$698*(-1)</formula>
    </cfRule>
  </conditionalFormatting>
  <conditionalFormatting sqref="I699">
    <cfRule type="cellIs" dxfId="70" priority="1371" stopIfTrue="1" operator="greaterThan">
      <formula>$H$699</formula>
    </cfRule>
  </conditionalFormatting>
  <conditionalFormatting sqref="I699">
    <cfRule type="cellIs" dxfId="69" priority="1372" stopIfTrue="1" operator="lessThan">
      <formula>$H$699*(-1)</formula>
    </cfRule>
  </conditionalFormatting>
  <conditionalFormatting sqref="I700">
    <cfRule type="cellIs" dxfId="68" priority="1373" stopIfTrue="1" operator="greaterThan">
      <formula>$H$700</formula>
    </cfRule>
  </conditionalFormatting>
  <conditionalFormatting sqref="I700">
    <cfRule type="cellIs" dxfId="67" priority="1374" stopIfTrue="1" operator="lessThan">
      <formula>$H$700*(-1)</formula>
    </cfRule>
  </conditionalFormatting>
  <conditionalFormatting sqref="I701">
    <cfRule type="cellIs" dxfId="66" priority="1375" stopIfTrue="1" operator="greaterThan">
      <formula>$H$701</formula>
    </cfRule>
  </conditionalFormatting>
  <conditionalFormatting sqref="I701">
    <cfRule type="cellIs" dxfId="65" priority="1376" stopIfTrue="1" operator="lessThan">
      <formula>$H$701*(-1)</formula>
    </cfRule>
  </conditionalFormatting>
  <conditionalFormatting sqref="I702">
    <cfRule type="cellIs" dxfId="64" priority="1377" stopIfTrue="1" operator="greaterThan">
      <formula>$H$702</formula>
    </cfRule>
  </conditionalFormatting>
  <conditionalFormatting sqref="I702">
    <cfRule type="cellIs" dxfId="63" priority="1378" stopIfTrue="1" operator="lessThan">
      <formula>$H$702*(-1)</formula>
    </cfRule>
  </conditionalFormatting>
  <conditionalFormatting sqref="I703">
    <cfRule type="cellIs" dxfId="62" priority="1379" stopIfTrue="1" operator="greaterThan">
      <formula>$H$703</formula>
    </cfRule>
  </conditionalFormatting>
  <conditionalFormatting sqref="I703">
    <cfRule type="cellIs" dxfId="61" priority="1380" stopIfTrue="1" operator="lessThan">
      <formula>$H$703*(-1)</formula>
    </cfRule>
  </conditionalFormatting>
  <conditionalFormatting sqref="I704">
    <cfRule type="cellIs" dxfId="60" priority="1381" stopIfTrue="1" operator="greaterThan">
      <formula>$H$704</formula>
    </cfRule>
  </conditionalFormatting>
  <conditionalFormatting sqref="I704">
    <cfRule type="cellIs" dxfId="59" priority="1382" stopIfTrue="1" operator="lessThan">
      <formula>$H$704*(-1)</formula>
    </cfRule>
  </conditionalFormatting>
  <conditionalFormatting sqref="I705">
    <cfRule type="cellIs" dxfId="58" priority="1383" stopIfTrue="1" operator="greaterThan">
      <formula>$H$705</formula>
    </cfRule>
  </conditionalFormatting>
  <conditionalFormatting sqref="I705">
    <cfRule type="cellIs" dxfId="57" priority="1384" stopIfTrue="1" operator="lessThan">
      <formula>$H$705*(-1)</formula>
    </cfRule>
  </conditionalFormatting>
  <conditionalFormatting sqref="I706">
    <cfRule type="cellIs" dxfId="56" priority="1385" stopIfTrue="1" operator="greaterThan">
      <formula>$H$706</formula>
    </cfRule>
  </conditionalFormatting>
  <conditionalFormatting sqref="I706">
    <cfRule type="cellIs" dxfId="55" priority="1386" stopIfTrue="1" operator="lessThan">
      <formula>$H$706*(-1)</formula>
    </cfRule>
  </conditionalFormatting>
  <conditionalFormatting sqref="I707">
    <cfRule type="cellIs" dxfId="54" priority="1387" stopIfTrue="1" operator="greaterThan">
      <formula>$H$707</formula>
    </cfRule>
  </conditionalFormatting>
  <conditionalFormatting sqref="I707">
    <cfRule type="cellIs" dxfId="53" priority="1388" stopIfTrue="1" operator="lessThan">
      <formula>$H$707*(-1)</formula>
    </cfRule>
  </conditionalFormatting>
  <conditionalFormatting sqref="I708">
    <cfRule type="cellIs" dxfId="52" priority="1389" stopIfTrue="1" operator="greaterThan">
      <formula>$H$708</formula>
    </cfRule>
  </conditionalFormatting>
  <conditionalFormatting sqref="I708">
    <cfRule type="cellIs" dxfId="51" priority="1390" stopIfTrue="1" operator="lessThan">
      <formula>$H$708*(-1)</formula>
    </cfRule>
  </conditionalFormatting>
  <conditionalFormatting sqref="I709">
    <cfRule type="cellIs" dxfId="50" priority="1391" stopIfTrue="1" operator="greaterThan">
      <formula>$H$709</formula>
    </cfRule>
  </conditionalFormatting>
  <conditionalFormatting sqref="I709">
    <cfRule type="cellIs" dxfId="49" priority="1392" stopIfTrue="1" operator="lessThan">
      <formula>$H$709*(-1)</formula>
    </cfRule>
  </conditionalFormatting>
  <conditionalFormatting sqref="I710">
    <cfRule type="cellIs" dxfId="48" priority="1393" stopIfTrue="1" operator="greaterThan">
      <formula>$H$710</formula>
    </cfRule>
  </conditionalFormatting>
  <conditionalFormatting sqref="I710">
    <cfRule type="cellIs" dxfId="47" priority="1394" stopIfTrue="1" operator="lessThan">
      <formula>$H$710*(-1)</formula>
    </cfRule>
  </conditionalFormatting>
  <conditionalFormatting sqref="I711">
    <cfRule type="cellIs" dxfId="46" priority="1395" stopIfTrue="1" operator="greaterThan">
      <formula>$H$711</formula>
    </cfRule>
  </conditionalFormatting>
  <conditionalFormatting sqref="I711">
    <cfRule type="cellIs" dxfId="45" priority="1396" stopIfTrue="1" operator="lessThan">
      <formula>$H$711*(-1)</formula>
    </cfRule>
  </conditionalFormatting>
  <conditionalFormatting sqref="I712">
    <cfRule type="cellIs" dxfId="44" priority="1397" stopIfTrue="1" operator="greaterThan">
      <formula>$H$712</formula>
    </cfRule>
  </conditionalFormatting>
  <conditionalFormatting sqref="I712">
    <cfRule type="cellIs" dxfId="43" priority="1398" stopIfTrue="1" operator="lessThan">
      <formula>$H$712*(-1)</formula>
    </cfRule>
  </conditionalFormatting>
  <conditionalFormatting sqref="I713">
    <cfRule type="cellIs" dxfId="42" priority="1399" stopIfTrue="1" operator="greaterThan">
      <formula>$H$713</formula>
    </cfRule>
  </conditionalFormatting>
  <conditionalFormatting sqref="I713">
    <cfRule type="cellIs" dxfId="41" priority="1400" stopIfTrue="1" operator="lessThan">
      <formula>$H$713*(-1)</formula>
    </cfRule>
  </conditionalFormatting>
  <conditionalFormatting sqref="I714">
    <cfRule type="cellIs" dxfId="40" priority="1401" stopIfTrue="1" operator="greaterThan">
      <formula>$H$714</formula>
    </cfRule>
  </conditionalFormatting>
  <conditionalFormatting sqref="I714">
    <cfRule type="cellIs" dxfId="39" priority="1402" stopIfTrue="1" operator="lessThan">
      <formula>$H$714*(-1)</formula>
    </cfRule>
  </conditionalFormatting>
  <conditionalFormatting sqref="I715">
    <cfRule type="cellIs" dxfId="38" priority="1403" stopIfTrue="1" operator="greaterThan">
      <formula>$H$715</formula>
    </cfRule>
  </conditionalFormatting>
  <conditionalFormatting sqref="I715">
    <cfRule type="cellIs" dxfId="37" priority="1404" stopIfTrue="1" operator="lessThan">
      <formula>$H$715*(-1)</formula>
    </cfRule>
  </conditionalFormatting>
  <conditionalFormatting sqref="I716">
    <cfRule type="cellIs" dxfId="36" priority="1405" stopIfTrue="1" operator="greaterThan">
      <formula>$H$716</formula>
    </cfRule>
  </conditionalFormatting>
  <conditionalFormatting sqref="I716">
    <cfRule type="cellIs" dxfId="35" priority="1406" stopIfTrue="1" operator="lessThan">
      <formula>$H$716*(-1)</formula>
    </cfRule>
  </conditionalFormatting>
  <conditionalFormatting sqref="I717">
    <cfRule type="cellIs" dxfId="34" priority="1407" stopIfTrue="1" operator="greaterThan">
      <formula>$H$717</formula>
    </cfRule>
  </conditionalFormatting>
  <conditionalFormatting sqref="I717">
    <cfRule type="cellIs" dxfId="33" priority="1408" stopIfTrue="1" operator="lessThan">
      <formula>$H$717*(-1)</formula>
    </cfRule>
  </conditionalFormatting>
  <conditionalFormatting sqref="I718">
    <cfRule type="cellIs" dxfId="32" priority="1409" stopIfTrue="1" operator="greaterThan">
      <formula>$H$718</formula>
    </cfRule>
  </conditionalFormatting>
  <conditionalFormatting sqref="I718">
    <cfRule type="cellIs" dxfId="31" priority="1410" stopIfTrue="1" operator="lessThan">
      <formula>$H$718*(-1)</formula>
    </cfRule>
  </conditionalFormatting>
  <conditionalFormatting sqref="I719">
    <cfRule type="cellIs" dxfId="30" priority="1411" stopIfTrue="1" operator="greaterThan">
      <formula>$H$719</formula>
    </cfRule>
  </conditionalFormatting>
  <conditionalFormatting sqref="I719">
    <cfRule type="cellIs" dxfId="29" priority="1412" stopIfTrue="1" operator="lessThan">
      <formula>$H$719*(-1)</formula>
    </cfRule>
  </conditionalFormatting>
  <conditionalFormatting sqref="I720">
    <cfRule type="cellIs" dxfId="28" priority="1413" stopIfTrue="1" operator="greaterThan">
      <formula>$H$720</formula>
    </cfRule>
  </conditionalFormatting>
  <conditionalFormatting sqref="I720">
    <cfRule type="cellIs" dxfId="27" priority="1414" stopIfTrue="1" operator="lessThan">
      <formula>$H$720*(-1)</formula>
    </cfRule>
  </conditionalFormatting>
  <conditionalFormatting sqref="I721">
    <cfRule type="cellIs" dxfId="26" priority="1415" stopIfTrue="1" operator="greaterThan">
      <formula>$H$721</formula>
    </cfRule>
  </conditionalFormatting>
  <conditionalFormatting sqref="I721">
    <cfRule type="cellIs" dxfId="25" priority="1416" stopIfTrue="1" operator="lessThan">
      <formula>$H$721*(-1)</formula>
    </cfRule>
  </conditionalFormatting>
  <conditionalFormatting sqref="I722">
    <cfRule type="cellIs" dxfId="24" priority="1417" stopIfTrue="1" operator="greaterThan">
      <formula>$H$722</formula>
    </cfRule>
  </conditionalFormatting>
  <conditionalFormatting sqref="I722">
    <cfRule type="cellIs" dxfId="23" priority="1418" stopIfTrue="1" operator="lessThan">
      <formula>$H$722*(-1)</formula>
    </cfRule>
  </conditionalFormatting>
  <conditionalFormatting sqref="I723">
    <cfRule type="cellIs" dxfId="22" priority="1419" stopIfTrue="1" operator="greaterThan">
      <formula>$H$723</formula>
    </cfRule>
  </conditionalFormatting>
  <conditionalFormatting sqref="I723">
    <cfRule type="cellIs" dxfId="21" priority="1420" stopIfTrue="1" operator="lessThan">
      <formula>$H$723*(-1)</formula>
    </cfRule>
  </conditionalFormatting>
  <conditionalFormatting sqref="I724">
    <cfRule type="cellIs" dxfId="20" priority="1421" stopIfTrue="1" operator="greaterThan">
      <formula>$H$724</formula>
    </cfRule>
  </conditionalFormatting>
  <conditionalFormatting sqref="I724">
    <cfRule type="cellIs" dxfId="19" priority="1422" stopIfTrue="1" operator="lessThan">
      <formula>$H$724*(-1)</formula>
    </cfRule>
  </conditionalFormatting>
  <conditionalFormatting sqref="I725">
    <cfRule type="cellIs" dxfId="18" priority="1423" stopIfTrue="1" operator="greaterThan">
      <formula>$H$725</formula>
    </cfRule>
  </conditionalFormatting>
  <conditionalFormatting sqref="I725">
    <cfRule type="cellIs" dxfId="17" priority="1424" stopIfTrue="1" operator="lessThan">
      <formula>$H$725*(-1)</formula>
    </cfRule>
  </conditionalFormatting>
  <conditionalFormatting sqref="I726">
    <cfRule type="cellIs" dxfId="16" priority="1425" stopIfTrue="1" operator="greaterThan">
      <formula>$H$726</formula>
    </cfRule>
  </conditionalFormatting>
  <conditionalFormatting sqref="I726">
    <cfRule type="cellIs" dxfId="15" priority="1426" stopIfTrue="1" operator="lessThan">
      <formula>$H$726*(-1)</formula>
    </cfRule>
  </conditionalFormatting>
  <conditionalFormatting sqref="I727">
    <cfRule type="cellIs" dxfId="14" priority="1427" stopIfTrue="1" operator="greaterThan">
      <formula>$H$727</formula>
    </cfRule>
  </conditionalFormatting>
  <conditionalFormatting sqref="I727">
    <cfRule type="cellIs" dxfId="13" priority="1428" stopIfTrue="1" operator="lessThan">
      <formula>$H$727*(-1)</formula>
    </cfRule>
  </conditionalFormatting>
  <conditionalFormatting sqref="I728">
    <cfRule type="cellIs" dxfId="12" priority="1429" stopIfTrue="1" operator="greaterThan">
      <formula>$H$728</formula>
    </cfRule>
  </conditionalFormatting>
  <conditionalFormatting sqref="I728">
    <cfRule type="cellIs" dxfId="11" priority="1430" stopIfTrue="1" operator="lessThan">
      <formula>$H$728*(-1)</formula>
    </cfRule>
  </conditionalFormatting>
  <conditionalFormatting sqref="J14:J714">
    <cfRule type="cellIs" dxfId="10" priority="1431" stopIfTrue="1" operator="notEqual">
      <formula>0</formula>
    </cfRule>
  </conditionalFormatting>
  <conditionalFormatting sqref="L5">
    <cfRule type="cellIs" dxfId="9" priority="1432" stopIfTrue="1" operator="greaterThanOrEqual">
      <formula>$J$5</formula>
    </cfRule>
  </conditionalFormatting>
  <conditionalFormatting sqref="L6">
    <cfRule type="cellIs" dxfId="8" priority="1433" stopIfTrue="1" operator="greaterThanOrEqual">
      <formula>$J$6</formula>
    </cfRule>
  </conditionalFormatting>
  <conditionalFormatting sqref="L7">
    <cfRule type="cellIs" dxfId="7" priority="1434" stopIfTrue="1" operator="greaterThanOrEqual">
      <formula>$J$7</formula>
    </cfRule>
  </conditionalFormatting>
  <conditionalFormatting sqref="L8">
    <cfRule type="cellIs" dxfId="6" priority="1435" stopIfTrue="1" operator="greaterThanOrEqual">
      <formula>$J$8</formula>
    </cfRule>
  </conditionalFormatting>
  <conditionalFormatting sqref="L9">
    <cfRule type="cellIs" dxfId="5" priority="1436" stopIfTrue="1" operator="greaterThanOrEqual">
      <formula>$J$9</formula>
    </cfRule>
  </conditionalFormatting>
  <conditionalFormatting sqref="N5">
    <cfRule type="cellIs" dxfId="4" priority="1437" stopIfTrue="1" operator="greaterThanOrEqual">
      <formula>1</formula>
    </cfRule>
  </conditionalFormatting>
  <conditionalFormatting sqref="N6">
    <cfRule type="cellIs" dxfId="3" priority="1438" stopIfTrue="1" operator="greaterThanOrEqual">
      <formula>1</formula>
    </cfRule>
  </conditionalFormatting>
  <conditionalFormatting sqref="N7">
    <cfRule type="cellIs" dxfId="2" priority="1439" stopIfTrue="1" operator="greaterThanOrEqual">
      <formula>1</formula>
    </cfRule>
  </conditionalFormatting>
  <conditionalFormatting sqref="N8">
    <cfRule type="cellIs" dxfId="1" priority="1440" stopIfTrue="1" operator="greaterThanOrEqual">
      <formula>1</formula>
    </cfRule>
  </conditionalFormatting>
  <conditionalFormatting sqref="N9">
    <cfRule type="cellIs" dxfId="0" priority="1441" stopIfTrue="1" operator="greaterThanOr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PRDcalc (2)</vt:lpstr>
      <vt:lpstr>PRDcalc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Bright Frimprong</dc:creator>
  <cp:lastModifiedBy>Bright Frimprong</cp:lastModifiedBy>
  <dcterms:created xsi:type="dcterms:W3CDTF">2021-08-11T18:57:59Z</dcterms:created>
  <dcterms:modified xsi:type="dcterms:W3CDTF">2022-07-29T18:54:17Z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{0E9826B7-8A3A-4B58-89CA-D1AC9E8165C9}</vt:lpwstr>
  </property>
</Properties>
</file>