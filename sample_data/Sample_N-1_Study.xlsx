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calc (2)" sheetId="1" state="visible" r:id="rId1"/>
    <sheet name="PRDcalc" sheetId="2" state="visible" r:id="rId2"/>
  </sheets>
  <definedNames>
    <definedName name="_xlnm._FilterDatabase" localSheetId="0" hidden="1">'PRDcalc (2)'!$A$13:$V$35</definedName>
    <definedName name="_xlnm._FilterDatabase" localSheetId="1" hidden="1">'PRDcalc'!$A$13:$V$35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b val="1"/>
      <sz val="10"/>
    </font>
    <font>
      <name val="Courier New"/>
      <sz val="10"/>
    </font>
    <font>
      <name val="Courier New"/>
      <b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CCCCFF"/>
      </patternFill>
    </fill>
    <fill>
      <patternFill patternType="solid">
        <fgColor rgb="00FFFF00"/>
      </patternFill>
    </fill>
    <fill>
      <patternFill patternType="solid">
        <fgColor rgb="00C0C0C0"/>
      </patternFill>
    </fill>
    <fill>
      <patternFill patternType="solid">
        <fgColor rgb="00BFBFBF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3" fillId="2" borderId="5" pivotButton="0" quotePrefix="0" xfId="0"/>
    <xf numFmtId="0" fontId="3" fillId="2" borderId="6" pivotButton="0" quotePrefix="0" xfId="0"/>
    <xf numFmtId="0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1" fillId="3" borderId="2" pivotButton="0" quotePrefix="0" xfId="0"/>
    <xf numFmtId="0" fontId="1" fillId="4" borderId="2" pivotButton="0" quotePrefix="0" xfId="0"/>
    <xf numFmtId="0" fontId="1" fillId="4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5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1" fillId="5" borderId="8" pivotButton="0" quotePrefix="0" xfId="0"/>
    <xf numFmtId="0" fontId="2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.5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 ht="13.5" customHeight="1"/>
    <row r="3" ht="14" customHeight="1">
      <c r="A3" s="1" t="inlineStr">
        <is>
          <t>Flows</t>
        </is>
      </c>
    </row>
    <row r="4" ht="13.5" customHeight="1">
      <c r="A4" s="2" t="inlineStr">
        <is>
          <t>NN</t>
        </is>
      </c>
      <c r="B4" s="3" t="inlineStr">
        <is>
          <t>LFCaseName</t>
        </is>
      </c>
      <c r="C4" s="3" t="inlineStr">
        <is>
          <t>Monitored Element</t>
        </is>
      </c>
      <c r="D4" s="3" t="n"/>
      <c r="E4" s="3" t="n"/>
      <c r="F4" s="3" t="n"/>
      <c r="G4" s="3" t="n"/>
      <c r="H4" s="3" t="n"/>
      <c r="I4" s="3" t="inlineStr">
        <is>
          <t>Contingency</t>
        </is>
      </c>
      <c r="J4" s="3" t="inlineStr">
        <is>
          <t>Limit</t>
        </is>
      </c>
      <c r="K4" s="3" t="inlineStr">
        <is>
          <t>FlowInit</t>
        </is>
      </c>
      <c r="L4" s="3" t="inlineStr">
        <is>
          <t>FlowRes</t>
        </is>
      </c>
      <c r="M4" s="3" t="inlineStr">
        <is>
          <t>FlowChange</t>
        </is>
      </c>
      <c r="N4" s="4" t="inlineStr">
        <is>
          <t>Loading</t>
        </is>
      </c>
    </row>
    <row r="5" ht="13.5" customHeight="1">
      <c r="A5" s="5" t="n">
        <v>1</v>
      </c>
      <c r="B5" s="6" t="n"/>
      <c r="C5" s="7" t="inlineStr">
        <is>
          <t xml:space="preserve">ALPHA_SUBS     115  BETA_SUBS      115  1 </t>
        </is>
      </c>
      <c r="D5" s="6" t="n"/>
      <c r="E5" s="6" t="n"/>
      <c r="F5" s="6" t="n"/>
      <c r="G5" s="6" t="n"/>
      <c r="H5" s="6" t="n"/>
      <c r="I5" s="7" t="inlineStr">
        <is>
          <t>LINE_ALP-BET_TRIP</t>
        </is>
      </c>
      <c r="J5" s="7" t="n">
        <v>500</v>
      </c>
      <c r="K5" s="7" t="n">
        <v>490</v>
      </c>
      <c r="L5" s="7">
        <f>'PRDcalc (2)'!K5+'PRDcalc (2)'!M5</f>
        <v/>
      </c>
      <c r="M5" s="7">
        <f>R12</f>
        <v/>
      </c>
      <c r="N5" s="8">
        <f>'PRDcalc (2)'!L5/'PRDcalc (2)'!J5</f>
        <v/>
      </c>
    </row>
    <row r="6" ht="13.5" customHeight="1">
      <c r="A6" s="5" t="n">
        <v>2</v>
      </c>
      <c r="B6" s="6" t="n"/>
      <c r="C6" s="6" t="inlineStr">
        <is>
          <t xml:space="preserve">GAMMA_SUBS     115  DELTA_SUBS     115  1 </t>
        </is>
      </c>
      <c r="D6" s="6" t="n"/>
      <c r="E6" s="6" t="n"/>
      <c r="F6" s="6" t="n"/>
      <c r="G6" s="6" t="n"/>
      <c r="H6" s="6" t="n"/>
      <c r="I6" s="6" t="inlineStr">
        <is>
          <t>LINE_ALP-BET_TRIP</t>
        </is>
      </c>
      <c r="J6" s="6" t="n">
        <v>350</v>
      </c>
      <c r="K6" s="6" t="n">
        <v>280</v>
      </c>
      <c r="L6" s="6">
        <f>'PRDcalc (2)'!K6+'PRDcalc (2)'!M6</f>
        <v/>
      </c>
      <c r="M6" s="6">
        <f>S12</f>
        <v/>
      </c>
      <c r="N6" s="9">
        <f>'PRDcalc (2)'!L6/'PRDcalc (2)'!J6</f>
        <v/>
      </c>
    </row>
    <row r="7" ht="13.5" customHeight="1">
      <c r="A7" s="5" t="n">
        <v>3</v>
      </c>
      <c r="B7" s="6" t="n"/>
      <c r="C7" s="6" t="inlineStr">
        <is>
          <t xml:space="preserve">EPSILON_SUBS   115  ZETA_SUBS      115  1 </t>
        </is>
      </c>
      <c r="D7" s="6" t="n"/>
      <c r="E7" s="6" t="n"/>
      <c r="F7" s="6" t="n"/>
      <c r="G7" s="6" t="n"/>
      <c r="H7" s="6" t="n"/>
      <c r="I7" s="6" t="inlineStr">
        <is>
          <t>LINE_ALP-BET_TRIP</t>
        </is>
      </c>
      <c r="J7" s="6" t="n">
        <v>400</v>
      </c>
      <c r="K7" s="6" t="n">
        <v>360</v>
      </c>
      <c r="L7" s="6">
        <f>'PRDcalc (2)'!K7+'PRDcalc (2)'!M7</f>
        <v/>
      </c>
      <c r="M7" s="6">
        <f>T12</f>
        <v/>
      </c>
      <c r="N7" s="9">
        <f>'PRDcalc (2)'!L7/'PRDcalc (2)'!J7</f>
        <v/>
      </c>
    </row>
    <row r="8" ht="13.5" customHeight="1">
      <c r="A8" s="5" t="n">
        <v>4</v>
      </c>
      <c r="B8" s="6" t="n"/>
      <c r="C8" s="6" t="inlineStr">
        <is>
          <t xml:space="preserve">ETA_SUBS       115  THETA_SUBS     115  1 </t>
        </is>
      </c>
      <c r="D8" s="6" t="n"/>
      <c r="E8" s="6" t="n"/>
      <c r="F8" s="6" t="n"/>
      <c r="G8" s="6" t="n"/>
      <c r="H8" s="6" t="n"/>
      <c r="I8" s="6" t="inlineStr">
        <is>
          <t>LINE_ALP-BET_TRIP</t>
        </is>
      </c>
      <c r="J8" s="6" t="n">
        <v>300</v>
      </c>
      <c r="K8" s="6" t="n">
        <v>240</v>
      </c>
      <c r="L8" s="6">
        <f>'PRDcalc (2)'!K8+'PRDcalc (2)'!M8</f>
        <v/>
      </c>
      <c r="M8" s="6">
        <f>U12</f>
        <v/>
      </c>
      <c r="N8" s="9">
        <f>'PRDcalc (2)'!L8/'PRDcalc (2)'!J8</f>
        <v/>
      </c>
    </row>
    <row r="9" ht="13.5" customHeight="1">
      <c r="A9" s="10" t="n">
        <v>5</v>
      </c>
      <c r="B9" s="11" t="n"/>
      <c r="C9" s="11" t="inlineStr">
        <is>
          <t xml:space="preserve">IOTA_SUBS      115  KAPPA_SUBS     115  1 </t>
        </is>
      </c>
      <c r="D9" s="11" t="n"/>
      <c r="E9" s="11" t="n"/>
      <c r="F9" s="11" t="n"/>
      <c r="G9" s="11" t="n"/>
      <c r="H9" s="11" t="n"/>
      <c r="I9" s="11" t="inlineStr">
        <is>
          <t>LINE_ALP-BET_TRIP</t>
        </is>
      </c>
      <c r="J9" s="11" t="n">
        <v>600</v>
      </c>
      <c r="K9" s="11" t="n">
        <v>500</v>
      </c>
      <c r="L9" s="11">
        <f>'PRDcalc (2)'!K9+'PRDcalc (2)'!M9</f>
        <v/>
      </c>
      <c r="M9" s="11">
        <f>V12</f>
        <v/>
      </c>
      <c r="N9" s="12">
        <f>'PRDcalc (2)'!L9/'PRDcalc (2)'!J9</f>
        <v/>
      </c>
    </row>
    <row r="10" ht="13.5" customHeight="1"/>
    <row r="11" ht="13.5" customHeight="1"/>
    <row r="12" ht="14" customHeight="1">
      <c r="A12" s="1" t="inlineStr">
        <is>
          <t>Dispatch</t>
        </is>
      </c>
      <c r="J12">
        <f>SUM(J14:J35)</f>
        <v/>
      </c>
      <c r="R12">
        <f>SUM(R14:R35)</f>
        <v/>
      </c>
      <c r="S12">
        <f>SUM(S14:S35)</f>
        <v/>
      </c>
      <c r="T12">
        <f>SUM(T14:T35)</f>
        <v/>
      </c>
      <c r="U12">
        <f>SUM(U14:U35)</f>
        <v/>
      </c>
      <c r="V12">
        <f>SUM(V14:V35)</f>
        <v/>
      </c>
    </row>
    <row r="13" ht="14" customHeight="1">
      <c r="A13" s="2" t="inlineStr">
        <is>
          <t xml:space="preserve">  Bus#</t>
        </is>
      </c>
      <c r="B13" s="3" t="inlineStr">
        <is>
          <t xml:space="preserve">Bus Name    </t>
        </is>
      </c>
      <c r="C13" s="3" t="inlineStr">
        <is>
          <t>Volt</t>
        </is>
      </c>
      <c r="D13" s="3" t="inlineStr">
        <is>
          <t>Area</t>
        </is>
      </c>
      <c r="E13" s="3" t="inlineStr">
        <is>
          <t>Zone</t>
        </is>
      </c>
      <c r="F13" s="3" t="inlineStr">
        <is>
          <t>Pgen or Pload</t>
        </is>
      </c>
      <c r="G13" s="3" t="inlineStr">
        <is>
          <t>PMin Gen</t>
        </is>
      </c>
      <c r="H13" s="3" t="inlineStr">
        <is>
          <t>PMax Gen</t>
        </is>
      </c>
      <c r="I13" s="13" t="inlineStr">
        <is>
          <t>Pnew</t>
        </is>
      </c>
      <c r="J13" s="14" t="inlineStr">
        <is>
          <t>Pdelta</t>
        </is>
      </c>
      <c r="K13" s="14" t="inlineStr">
        <is>
          <t>Pavail</t>
        </is>
      </c>
      <c r="L13" s="14" t="inlineStr">
        <is>
          <t>Dfax_1</t>
        </is>
      </c>
      <c r="M13" s="14" t="inlineStr">
        <is>
          <t>Dfax_2</t>
        </is>
      </c>
      <c r="N13" s="14" t="inlineStr">
        <is>
          <t>Dfax_3</t>
        </is>
      </c>
      <c r="O13" s="14" t="inlineStr">
        <is>
          <t>Dfax_4</t>
        </is>
      </c>
      <c r="P13" s="14" t="inlineStr">
        <is>
          <t>Dfax_5</t>
        </is>
      </c>
      <c r="Q13" s="14" t="inlineStr">
        <is>
          <t>---</t>
        </is>
      </c>
      <c r="R13" s="14" t="inlineStr">
        <is>
          <t>Impact_1</t>
        </is>
      </c>
      <c r="S13" s="14" t="inlineStr">
        <is>
          <t>Impact_2</t>
        </is>
      </c>
      <c r="T13" s="14" t="inlineStr">
        <is>
          <t>Impact_3</t>
        </is>
      </c>
      <c r="U13" s="14" t="inlineStr">
        <is>
          <t>Impact_4</t>
        </is>
      </c>
      <c r="V13" s="15" t="inlineStr">
        <is>
          <t>Impact_5</t>
        </is>
      </c>
    </row>
    <row r="14" ht="13.5" customHeight="1">
      <c r="A14" s="16" t="n">
        <v>800001</v>
      </c>
      <c r="B14" s="17" t="inlineStr">
        <is>
          <t xml:space="preserve">SAMPLE_BESS </t>
        </is>
      </c>
      <c r="C14" s="17" t="n">
        <v>115</v>
      </c>
      <c r="D14" s="17" t="n">
        <v>1</v>
      </c>
      <c r="E14" s="17" t="n">
        <v>1000</v>
      </c>
      <c r="F14" s="17" t="n">
        <v>0</v>
      </c>
      <c r="G14" s="17" t="n">
        <v>0</v>
      </c>
      <c r="H14" s="17" t="n">
        <v>100</v>
      </c>
      <c r="I14" s="18" t="n">
        <v>0</v>
      </c>
      <c r="J14" s="17">
        <f>I14-F14</f>
        <v/>
      </c>
      <c r="K14" s="17">
        <f>H14-I14</f>
        <v/>
      </c>
      <c r="L14" s="17" t="n">
        <v>0.523</v>
      </c>
      <c r="M14" s="17" t="n">
        <v>0.312</v>
      </c>
      <c r="N14" s="17" t="n">
        <v>0.287</v>
      </c>
      <c r="O14" s="17" t="n">
        <v>0.156</v>
      </c>
      <c r="P14" s="17" t="n">
        <v>0.098</v>
      </c>
      <c r="Q14" s="17" t="n"/>
      <c r="R14" s="17">
        <f>L14*J14</f>
        <v/>
      </c>
      <c r="S14" s="17">
        <f>M14*J14</f>
        <v/>
      </c>
      <c r="T14" s="17">
        <f>N14*J14</f>
        <v/>
      </c>
      <c r="U14" s="17">
        <f>O14*J14</f>
        <v/>
      </c>
      <c r="V14" s="19">
        <f>P14*J14</f>
        <v/>
      </c>
    </row>
    <row r="15" ht="13.5" customHeight="1">
      <c r="A15" s="16" t="n">
        <v>800002</v>
      </c>
      <c r="B15" s="17" t="inlineStr">
        <is>
          <t xml:space="preserve">ALPHA_GAS_1 </t>
        </is>
      </c>
      <c r="C15" s="17" t="n">
        <v>13.8</v>
      </c>
      <c r="D15" s="17" t="n">
        <v>1</v>
      </c>
      <c r="E15" s="17" t="n">
        <v>1000</v>
      </c>
      <c r="F15" s="17" t="n">
        <v>150</v>
      </c>
      <c r="G15" s="17" t="n">
        <v>0</v>
      </c>
      <c r="H15" s="17" t="n">
        <v>200</v>
      </c>
      <c r="I15" s="18" t="n">
        <v>150</v>
      </c>
      <c r="J15" s="17">
        <f>I15-F15</f>
        <v/>
      </c>
      <c r="K15" s="17">
        <f>H15-I15</f>
        <v/>
      </c>
      <c r="L15" s="17" t="n">
        <v>0.445</v>
      </c>
      <c r="M15" s="17" t="n">
        <v>0.265</v>
      </c>
      <c r="N15" s="17" t="n">
        <v>0.241</v>
      </c>
      <c r="O15" s="17" t="n">
        <v>0.132</v>
      </c>
      <c r="P15" s="17" t="n">
        <v>0.082</v>
      </c>
      <c r="Q15" s="17" t="n"/>
      <c r="R15" s="17">
        <f>L15*J15</f>
        <v/>
      </c>
      <c r="S15" s="17">
        <f>M15*J15</f>
        <v/>
      </c>
      <c r="T15" s="17">
        <f>N15*J15</f>
        <v/>
      </c>
      <c r="U15" s="17">
        <f>O15*J15</f>
        <v/>
      </c>
      <c r="V15" s="19">
        <f>P15*J15</f>
        <v/>
      </c>
    </row>
    <row r="16" ht="13.5" customHeight="1">
      <c r="A16" s="16" t="n">
        <v>800003</v>
      </c>
      <c r="B16" s="17" t="inlineStr">
        <is>
          <t xml:space="preserve">ALPHA_GAS_2 </t>
        </is>
      </c>
      <c r="C16" s="17" t="n">
        <v>13.8</v>
      </c>
      <c r="D16" s="17" t="n">
        <v>1</v>
      </c>
      <c r="E16" s="17" t="n">
        <v>1000</v>
      </c>
      <c r="F16" s="17" t="n">
        <v>120</v>
      </c>
      <c r="G16" s="17" t="n">
        <v>0</v>
      </c>
      <c r="H16" s="17" t="n">
        <v>180</v>
      </c>
      <c r="I16" s="18" t="n">
        <v>120</v>
      </c>
      <c r="J16" s="17">
        <f>I16-F16</f>
        <v/>
      </c>
      <c r="K16" s="17">
        <f>H16-I16</f>
        <v/>
      </c>
      <c r="L16" s="17" t="n">
        <v>0.421</v>
      </c>
      <c r="M16" s="17" t="n">
        <v>0.251</v>
      </c>
      <c r="N16" s="17" t="n">
        <v>0.228</v>
      </c>
      <c r="O16" s="17" t="n">
        <v>0.124</v>
      </c>
      <c r="P16" s="17" t="n">
        <v>0.077</v>
      </c>
      <c r="Q16" s="17" t="n"/>
      <c r="R16" s="17">
        <f>L16*J16</f>
        <v/>
      </c>
      <c r="S16" s="17">
        <f>M16*J16</f>
        <v/>
      </c>
      <c r="T16" s="17">
        <f>N16*J16</f>
        <v/>
      </c>
      <c r="U16" s="17">
        <f>O16*J16</f>
        <v/>
      </c>
      <c r="V16" s="19">
        <f>P16*J16</f>
        <v/>
      </c>
    </row>
    <row r="17" ht="13.5" customHeight="1">
      <c r="A17" s="16" t="n">
        <v>800004</v>
      </c>
      <c r="B17" s="17" t="inlineStr">
        <is>
          <t xml:space="preserve">BETA_GAS_A  </t>
        </is>
      </c>
      <c r="C17" s="17" t="n">
        <v>13.8</v>
      </c>
      <c r="D17" s="17" t="n">
        <v>1</v>
      </c>
      <c r="E17" s="17" t="n">
        <v>1002</v>
      </c>
      <c r="F17" s="17" t="n">
        <v>90</v>
      </c>
      <c r="G17" s="17" t="n">
        <v>0</v>
      </c>
      <c r="H17" s="17" t="n">
        <v>135</v>
      </c>
      <c r="I17" s="18" t="n">
        <v>90</v>
      </c>
      <c r="J17" s="17">
        <f>I17-F17</f>
        <v/>
      </c>
      <c r="K17" s="17">
        <f>H17-I17</f>
        <v/>
      </c>
      <c r="L17" s="17" t="n">
        <v>0.384</v>
      </c>
      <c r="M17" s="17" t="n">
        <v>0.229</v>
      </c>
      <c r="N17" s="17" t="n">
        <v>0.208</v>
      </c>
      <c r="O17" s="17" t="n">
        <v>0.113</v>
      </c>
      <c r="P17" s="17" t="n">
        <v>0.07000000000000001</v>
      </c>
      <c r="Q17" s="17" t="n"/>
      <c r="R17" s="17">
        <f>L17*J17</f>
        <v/>
      </c>
      <c r="S17" s="17">
        <f>M17*J17</f>
        <v/>
      </c>
      <c r="T17" s="17">
        <f>N17*J17</f>
        <v/>
      </c>
      <c r="U17" s="17">
        <f>O17*J17</f>
        <v/>
      </c>
      <c r="V17" s="19">
        <f>P17*J17</f>
        <v/>
      </c>
    </row>
    <row r="18" ht="13.5" customHeight="1">
      <c r="A18" s="16" t="n">
        <v>800005</v>
      </c>
      <c r="B18" s="17" t="inlineStr">
        <is>
          <t xml:space="preserve">BETA_GAS_B  </t>
        </is>
      </c>
      <c r="C18" s="17" t="n">
        <v>13.8</v>
      </c>
      <c r="D18" s="17" t="n">
        <v>1</v>
      </c>
      <c r="E18" s="17" t="n">
        <v>1002</v>
      </c>
      <c r="F18" s="17" t="n">
        <v>85</v>
      </c>
      <c r="G18" s="17" t="n">
        <v>0</v>
      </c>
      <c r="H18" s="17" t="n">
        <v>130</v>
      </c>
      <c r="I18" s="18" t="n">
        <v>85</v>
      </c>
      <c r="J18" s="17">
        <f>I18-F18</f>
        <v/>
      </c>
      <c r="K18" s="17">
        <f>H18-I18</f>
        <v/>
      </c>
      <c r="L18" s="17" t="n">
        <v>0.372</v>
      </c>
      <c r="M18" s="17" t="n">
        <v>0.222</v>
      </c>
      <c r="N18" s="17" t="n">
        <v>0.201</v>
      </c>
      <c r="O18" s="17" t="n">
        <v>0.109</v>
      </c>
      <c r="P18" s="17" t="n">
        <v>0.068</v>
      </c>
      <c r="Q18" s="17" t="n"/>
      <c r="R18" s="17">
        <f>L18*J18</f>
        <v/>
      </c>
      <c r="S18" s="17">
        <f>M18*J18</f>
        <v/>
      </c>
      <c r="T18" s="17">
        <f>N18*J18</f>
        <v/>
      </c>
      <c r="U18" s="17">
        <f>O18*J18</f>
        <v/>
      </c>
      <c r="V18" s="19">
        <f>P18*J18</f>
        <v/>
      </c>
    </row>
    <row r="19" ht="13.5" customHeight="1">
      <c r="A19" s="16" t="n">
        <v>800006</v>
      </c>
      <c r="B19" s="17" t="inlineStr">
        <is>
          <t xml:space="preserve">GAMMA_JET   </t>
        </is>
      </c>
      <c r="C19" s="17" t="n">
        <v>13.8</v>
      </c>
      <c r="D19" s="17" t="n">
        <v>1</v>
      </c>
      <c r="E19" s="17" t="n">
        <v>1004</v>
      </c>
      <c r="F19" s="17" t="n">
        <v>45</v>
      </c>
      <c r="G19" s="17" t="n">
        <v>0</v>
      </c>
      <c r="H19" s="17" t="n">
        <v>70</v>
      </c>
      <c r="I19" s="18" t="n">
        <v>45</v>
      </c>
      <c r="J19" s="17">
        <f>I19-F19</f>
        <v/>
      </c>
      <c r="K19" s="17">
        <f>H19-I19</f>
        <v/>
      </c>
      <c r="L19" s="17" t="n">
        <v>0.298</v>
      </c>
      <c r="M19" s="17" t="n">
        <v>0.178</v>
      </c>
      <c r="N19" s="17" t="n">
        <v>0.161</v>
      </c>
      <c r="O19" s="17" t="n">
        <v>0.08799999999999999</v>
      </c>
      <c r="P19" s="17" t="n">
        <v>0.054</v>
      </c>
      <c r="Q19" s="17" t="n"/>
      <c r="R19" s="17">
        <f>L19*J19</f>
        <v/>
      </c>
      <c r="S19" s="17">
        <f>M19*J19</f>
        <v/>
      </c>
      <c r="T19" s="17">
        <f>N19*J19</f>
        <v/>
      </c>
      <c r="U19" s="17">
        <f>O19*J19</f>
        <v/>
      </c>
      <c r="V19" s="19">
        <f>P19*J19</f>
        <v/>
      </c>
    </row>
    <row r="20" ht="13.5" customHeight="1">
      <c r="A20" s="16" t="n">
        <v>800007</v>
      </c>
      <c r="B20" s="17" t="inlineStr">
        <is>
          <t xml:space="preserve">DELTA_GAS   </t>
        </is>
      </c>
      <c r="C20" s="17" t="n">
        <v>13.8</v>
      </c>
      <c r="D20" s="17" t="n">
        <v>1</v>
      </c>
      <c r="E20" s="17" t="n">
        <v>1004</v>
      </c>
      <c r="F20" s="17" t="n">
        <v>60</v>
      </c>
      <c r="G20" s="17" t="n">
        <v>0</v>
      </c>
      <c r="H20" s="17" t="n">
        <v>95</v>
      </c>
      <c r="I20" s="18" t="n">
        <v>60</v>
      </c>
      <c r="J20" s="17">
        <f>I20-F20</f>
        <v/>
      </c>
      <c r="K20" s="17">
        <f>H20-I20</f>
        <v/>
      </c>
      <c r="L20" s="17" t="n">
        <v>0.276</v>
      </c>
      <c r="M20" s="17" t="n">
        <v>0.165</v>
      </c>
      <c r="N20" s="17" t="n">
        <v>0.149</v>
      </c>
      <c r="O20" s="17" t="n">
        <v>0.081</v>
      </c>
      <c r="P20" s="17" t="n">
        <v>0.05</v>
      </c>
      <c r="Q20" s="17" t="n"/>
      <c r="R20" s="17">
        <f>L20*J20</f>
        <v/>
      </c>
      <c r="S20" s="17">
        <f>M20*J20</f>
        <v/>
      </c>
      <c r="T20" s="17">
        <f>N20*J20</f>
        <v/>
      </c>
      <c r="U20" s="17">
        <f>O20*J20</f>
        <v/>
      </c>
      <c r="V20" s="19">
        <f>P20*J20</f>
        <v/>
      </c>
    </row>
    <row r="21" ht="13.5" customHeight="1">
      <c r="A21" s="16" t="n">
        <v>800008</v>
      </c>
      <c r="B21" s="17" t="inlineStr">
        <is>
          <t>EPSILON_WIND</t>
        </is>
      </c>
      <c r="C21" s="17" t="n">
        <v>0.6899999999999999</v>
      </c>
      <c r="D21" s="17" t="n">
        <v>1</v>
      </c>
      <c r="E21" s="17" t="n">
        <v>1010</v>
      </c>
      <c r="F21" s="17" t="n">
        <v>25</v>
      </c>
      <c r="G21" s="17" t="n">
        <v>0</v>
      </c>
      <c r="H21" s="17" t="n">
        <v>25</v>
      </c>
      <c r="I21" s="18" t="n">
        <v>25</v>
      </c>
      <c r="J21" s="17">
        <f>I21-F21</f>
        <v/>
      </c>
      <c r="K21" s="17">
        <f>H21-I21</f>
        <v/>
      </c>
      <c r="L21" s="17" t="n">
        <v>0.198</v>
      </c>
      <c r="M21" s="17" t="n">
        <v>0.118</v>
      </c>
      <c r="N21" s="17" t="n">
        <v>0.107</v>
      </c>
      <c r="O21" s="17" t="n">
        <v>0.058</v>
      </c>
      <c r="P21" s="17" t="n">
        <v>0.036</v>
      </c>
      <c r="Q21" s="17" t="n"/>
      <c r="R21" s="17">
        <f>L21*J21</f>
        <v/>
      </c>
      <c r="S21" s="17">
        <f>M21*J21</f>
        <v/>
      </c>
      <c r="T21" s="17">
        <f>N21*J21</f>
        <v/>
      </c>
      <c r="U21" s="17">
        <f>O21*J21</f>
        <v/>
      </c>
      <c r="V21" s="19">
        <f>P21*J21</f>
        <v/>
      </c>
    </row>
    <row r="22" ht="13.5" customHeight="1">
      <c r="A22" s="16" t="n">
        <v>800009</v>
      </c>
      <c r="B22" s="17" t="inlineStr">
        <is>
          <t xml:space="preserve">ZETA_SOLAR  </t>
        </is>
      </c>
      <c r="C22" s="17" t="n">
        <v>0.6899999999999999</v>
      </c>
      <c r="D22" s="17" t="n">
        <v>1</v>
      </c>
      <c r="E22" s="17" t="n">
        <v>1010</v>
      </c>
      <c r="F22" s="17" t="n">
        <v>18</v>
      </c>
      <c r="G22" s="17" t="n">
        <v>0</v>
      </c>
      <c r="H22" s="17" t="n">
        <v>18</v>
      </c>
      <c r="I22" s="18" t="n">
        <v>18</v>
      </c>
      <c r="J22" s="17">
        <f>I22-F22</f>
        <v/>
      </c>
      <c r="K22" s="17">
        <f>H22-I22</f>
        <v/>
      </c>
      <c r="L22" s="17" t="n">
        <v>0.187</v>
      </c>
      <c r="M22" s="17" t="n">
        <v>0.112</v>
      </c>
      <c r="N22" s="17" t="n">
        <v>0.101</v>
      </c>
      <c r="O22" s="17" t="n">
        <v>0.055</v>
      </c>
      <c r="P22" s="17" t="n">
        <v>0.034</v>
      </c>
      <c r="Q22" s="17" t="n"/>
      <c r="R22" s="17">
        <f>L22*J22</f>
        <v/>
      </c>
      <c r="S22" s="17">
        <f>M22*J22</f>
        <v/>
      </c>
      <c r="T22" s="17">
        <f>N22*J22</f>
        <v/>
      </c>
      <c r="U22" s="17">
        <f>O22*J22</f>
        <v/>
      </c>
      <c r="V22" s="19">
        <f>P22*J22</f>
        <v/>
      </c>
    </row>
    <row r="23" ht="13.5" customHeight="1">
      <c r="A23" s="16" t="n">
        <v>800010</v>
      </c>
      <c r="B23" s="17" t="inlineStr">
        <is>
          <t xml:space="preserve">ETA_HYDRO   </t>
        </is>
      </c>
      <c r="C23" s="17" t="n">
        <v>13.8</v>
      </c>
      <c r="D23" s="17" t="n">
        <v>1</v>
      </c>
      <c r="E23" s="17" t="n">
        <v>1010</v>
      </c>
      <c r="F23" s="17" t="n">
        <v>40</v>
      </c>
      <c r="G23" s="17" t="n">
        <v>0</v>
      </c>
      <c r="H23" s="17" t="n">
        <v>60</v>
      </c>
      <c r="I23" s="18" t="n">
        <v>40</v>
      </c>
      <c r="J23" s="17">
        <f>I23-F23</f>
        <v/>
      </c>
      <c r="K23" s="17">
        <f>H23-I23</f>
        <v/>
      </c>
      <c r="L23" s="17" t="n">
        <v>0.175</v>
      </c>
      <c r="M23" s="17" t="n">
        <v>0.105</v>
      </c>
      <c r="N23" s="17" t="n">
        <v>0.095</v>
      </c>
      <c r="O23" s="17" t="n">
        <v>0.051</v>
      </c>
      <c r="P23" s="17" t="n">
        <v>0.032</v>
      </c>
      <c r="Q23" s="17" t="n"/>
      <c r="R23" s="17">
        <f>L23*J23</f>
        <v/>
      </c>
      <c r="S23" s="17">
        <f>M23*J23</f>
        <v/>
      </c>
      <c r="T23" s="17">
        <f>N23*J23</f>
        <v/>
      </c>
      <c r="U23" s="17">
        <f>O23*J23</f>
        <v/>
      </c>
      <c r="V23" s="19">
        <f>P23*J23</f>
        <v/>
      </c>
    </row>
    <row r="24" ht="13.5" customHeight="1">
      <c r="A24" s="16" t="n">
        <v>800011</v>
      </c>
      <c r="B24" s="17" t="inlineStr">
        <is>
          <t xml:space="preserve">THETA_GAS   </t>
        </is>
      </c>
      <c r="C24" s="17" t="n">
        <v>13.8</v>
      </c>
      <c r="D24" s="17" t="n">
        <v>1</v>
      </c>
      <c r="E24" s="17" t="n">
        <v>4000</v>
      </c>
      <c r="F24" s="17" t="n">
        <v>80</v>
      </c>
      <c r="G24" s="17" t="n">
        <v>0</v>
      </c>
      <c r="H24" s="17" t="n">
        <v>120</v>
      </c>
      <c r="I24" s="18" t="n">
        <v>80</v>
      </c>
      <c r="J24" s="17">
        <f>I24-F24</f>
        <v/>
      </c>
      <c r="K24" s="17">
        <f>H24-I24</f>
        <v/>
      </c>
      <c r="L24" s="17" t="n">
        <v>0.082</v>
      </c>
      <c r="M24" s="17" t="n">
        <v>0.049</v>
      </c>
      <c r="N24" s="17" t="n">
        <v>0.044</v>
      </c>
      <c r="O24" s="17" t="n">
        <v>0.024</v>
      </c>
      <c r="P24" s="17" t="n">
        <v>0.015</v>
      </c>
      <c r="Q24" s="17" t="n"/>
      <c r="R24" s="17">
        <f>L24*J24</f>
        <v/>
      </c>
      <c r="S24" s="17">
        <f>M24*J24</f>
        <v/>
      </c>
      <c r="T24" s="17">
        <f>N24*J24</f>
        <v/>
      </c>
      <c r="U24" s="17">
        <f>O24*J24</f>
        <v/>
      </c>
      <c r="V24" s="19">
        <f>P24*J24</f>
        <v/>
      </c>
    </row>
    <row r="25" ht="13.5" customHeight="1">
      <c r="A25" s="16" t="n">
        <v>800012</v>
      </c>
      <c r="B25" s="17" t="inlineStr">
        <is>
          <t xml:space="preserve">IOTA_GAS    </t>
        </is>
      </c>
      <c r="C25" s="17" t="n">
        <v>13.8</v>
      </c>
      <c r="D25" s="17" t="n">
        <v>1</v>
      </c>
      <c r="E25" s="17" t="n">
        <v>4000</v>
      </c>
      <c r="F25" s="17" t="n">
        <v>70</v>
      </c>
      <c r="G25" s="17" t="n">
        <v>0</v>
      </c>
      <c r="H25" s="17" t="n">
        <v>110</v>
      </c>
      <c r="I25" s="18" t="n">
        <v>70</v>
      </c>
      <c r="J25" s="17">
        <f>I25-F25</f>
        <v/>
      </c>
      <c r="K25" s="17">
        <f>H25-I25</f>
        <v/>
      </c>
      <c r="L25" s="17" t="n">
        <v>0.07099999999999999</v>
      </c>
      <c r="M25" s="17" t="n">
        <v>0.042</v>
      </c>
      <c r="N25" s="17" t="n">
        <v>0.038</v>
      </c>
      <c r="O25" s="17" t="n">
        <v>0.021</v>
      </c>
      <c r="P25" s="17" t="n">
        <v>0.013</v>
      </c>
      <c r="Q25" s="17" t="n"/>
      <c r="R25" s="17">
        <f>L25*J25</f>
        <v/>
      </c>
      <c r="S25" s="17">
        <f>M25*J25</f>
        <v/>
      </c>
      <c r="T25" s="17">
        <f>N25*J25</f>
        <v/>
      </c>
      <c r="U25" s="17">
        <f>O25*J25</f>
        <v/>
      </c>
      <c r="V25" s="19">
        <f>P25*J25</f>
        <v/>
      </c>
    </row>
    <row r="26" ht="13.5" customHeight="1">
      <c r="A26" s="16" t="n">
        <v>800013</v>
      </c>
      <c r="B26" s="17" t="inlineStr">
        <is>
          <t xml:space="preserve">KAPPA_WIND  </t>
        </is>
      </c>
      <c r="C26" s="17" t="n">
        <v>0.6899999999999999</v>
      </c>
      <c r="D26" s="17" t="n">
        <v>1</v>
      </c>
      <c r="E26" s="17" t="n">
        <v>4000</v>
      </c>
      <c r="F26" s="17" t="n">
        <v>35</v>
      </c>
      <c r="G26" s="17" t="n">
        <v>0</v>
      </c>
      <c r="H26" s="17" t="n">
        <v>35</v>
      </c>
      <c r="I26" s="18" t="n">
        <v>35</v>
      </c>
      <c r="J26" s="17">
        <f>I26-F26</f>
        <v/>
      </c>
      <c r="K26" s="17">
        <f>H26-I26</f>
        <v/>
      </c>
      <c r="L26" s="17" t="n">
        <v>0.055</v>
      </c>
      <c r="M26" s="17" t="n">
        <v>0.033</v>
      </c>
      <c r="N26" s="17" t="n">
        <v>0.03</v>
      </c>
      <c r="O26" s="17" t="n">
        <v>0.016</v>
      </c>
      <c r="P26" s="17" t="n">
        <v>0.01</v>
      </c>
      <c r="Q26" s="17" t="n"/>
      <c r="R26" s="17">
        <f>L26*J26</f>
        <v/>
      </c>
      <c r="S26" s="17">
        <f>M26*J26</f>
        <v/>
      </c>
      <c r="T26" s="17">
        <f>N26*J26</f>
        <v/>
      </c>
      <c r="U26" s="17">
        <f>O26*J26</f>
        <v/>
      </c>
      <c r="V26" s="19">
        <f>P26*J26</f>
        <v/>
      </c>
    </row>
    <row r="27" ht="13.5" customHeight="1">
      <c r="A27" s="16" t="n">
        <v>800014</v>
      </c>
      <c r="B27" s="17" t="inlineStr">
        <is>
          <t xml:space="preserve">LAMBDA_GAS  </t>
        </is>
      </c>
      <c r="C27" s="17" t="n">
        <v>13.8</v>
      </c>
      <c r="D27" s="17" t="n">
        <v>1</v>
      </c>
      <c r="E27" s="17" t="n">
        <v>1400</v>
      </c>
      <c r="F27" s="17" t="n">
        <v>55</v>
      </c>
      <c r="G27" s="17" t="n">
        <v>0</v>
      </c>
      <c r="H27" s="17" t="n">
        <v>85</v>
      </c>
      <c r="I27" s="18" t="n">
        <v>55</v>
      </c>
      <c r="J27" s="17">
        <f>I27-F27</f>
        <v/>
      </c>
      <c r="K27" s="17">
        <f>H27-I27</f>
        <v/>
      </c>
      <c r="L27" s="17" t="n">
        <v>0.041</v>
      </c>
      <c r="M27" s="17" t="n">
        <v>0.024</v>
      </c>
      <c r="N27" s="17" t="n">
        <v>0.022</v>
      </c>
      <c r="O27" s="17" t="n">
        <v>0.012</v>
      </c>
      <c r="P27" s="17" t="n">
        <v>0.007</v>
      </c>
      <c r="Q27" s="17" t="n"/>
      <c r="R27" s="17">
        <f>L27*J27</f>
        <v/>
      </c>
      <c r="S27" s="17">
        <f>M27*J27</f>
        <v/>
      </c>
      <c r="T27" s="17">
        <f>N27*J27</f>
        <v/>
      </c>
      <c r="U27" s="17">
        <f>O27*J27</f>
        <v/>
      </c>
      <c r="V27" s="19">
        <f>P27*J27</f>
        <v/>
      </c>
    </row>
    <row r="28" ht="13.5" customHeight="1">
      <c r="A28" s="16" t="n">
        <v>800015</v>
      </c>
      <c r="B28" s="17" t="inlineStr">
        <is>
          <t xml:space="preserve">MU_SOLAR    </t>
        </is>
      </c>
      <c r="C28" s="17" t="n">
        <v>0.6899999999999999</v>
      </c>
      <c r="D28" s="17" t="n">
        <v>1</v>
      </c>
      <c r="E28" s="17" t="n">
        <v>1400</v>
      </c>
      <c r="F28" s="17" t="n">
        <v>20</v>
      </c>
      <c r="G28" s="17" t="n">
        <v>0</v>
      </c>
      <c r="H28" s="17" t="n">
        <v>20</v>
      </c>
      <c r="I28" s="18" t="n">
        <v>20</v>
      </c>
      <c r="J28" s="17">
        <f>I28-F28</f>
        <v/>
      </c>
      <c r="K28" s="17">
        <f>H28-I28</f>
        <v/>
      </c>
      <c r="L28" s="17" t="n">
        <v>0.033</v>
      </c>
      <c r="M28" s="17" t="n">
        <v>0.02</v>
      </c>
      <c r="N28" s="17" t="n">
        <v>0.018</v>
      </c>
      <c r="O28" s="17" t="n">
        <v>0.01</v>
      </c>
      <c r="P28" s="17" t="n">
        <v>0.006</v>
      </c>
      <c r="Q28" s="17" t="n"/>
      <c r="R28" s="17">
        <f>L28*J28</f>
        <v/>
      </c>
      <c r="S28" s="17">
        <f>M28*J28</f>
        <v/>
      </c>
      <c r="T28" s="17">
        <f>N28*J28</f>
        <v/>
      </c>
      <c r="U28" s="17">
        <f>O28*J28</f>
        <v/>
      </c>
      <c r="V28" s="19">
        <f>P28*J28</f>
        <v/>
      </c>
    </row>
    <row r="29" ht="13.5" customHeight="1">
      <c r="A29" s="16" t="n">
        <v>800016</v>
      </c>
      <c r="B29" s="17" t="inlineStr">
        <is>
          <t xml:space="preserve">NU_GAS      </t>
        </is>
      </c>
      <c r="C29" s="17" t="n">
        <v>13.8</v>
      </c>
      <c r="D29" s="17" t="n">
        <v>1</v>
      </c>
      <c r="E29" s="17" t="n">
        <v>1400</v>
      </c>
      <c r="F29" s="17" t="n">
        <v>65</v>
      </c>
      <c r="G29" s="17" t="n">
        <v>0</v>
      </c>
      <c r="H29" s="17" t="n">
        <v>95</v>
      </c>
      <c r="I29" s="18" t="n">
        <v>65</v>
      </c>
      <c r="J29" s="17">
        <f>I29-F29</f>
        <v/>
      </c>
      <c r="K29" s="17">
        <f>H29-I29</f>
        <v/>
      </c>
      <c r="L29" s="17" t="n">
        <v>0.028</v>
      </c>
      <c r="M29" s="17" t="n">
        <v>0.017</v>
      </c>
      <c r="N29" s="17" t="n">
        <v>0.015</v>
      </c>
      <c r="O29" s="17" t="n">
        <v>0.008</v>
      </c>
      <c r="P29" s="17" t="n">
        <v>0.005</v>
      </c>
      <c r="Q29" s="17" t="n"/>
      <c r="R29" s="17">
        <f>L29*J29</f>
        <v/>
      </c>
      <c r="S29" s="17">
        <f>M29*J29</f>
        <v/>
      </c>
      <c r="T29" s="17">
        <f>N29*J29</f>
        <v/>
      </c>
      <c r="U29" s="17">
        <f>O29*J29</f>
        <v/>
      </c>
      <c r="V29" s="19">
        <f>P29*J29</f>
        <v/>
      </c>
    </row>
    <row r="30" ht="13.5" customHeight="1">
      <c r="A30" s="16" t="n">
        <v>800017</v>
      </c>
      <c r="B30" s="17" t="inlineStr">
        <is>
          <t xml:space="preserve">XI_WIND     </t>
        </is>
      </c>
      <c r="C30" s="17" t="n">
        <v>0.6899999999999999</v>
      </c>
      <c r="D30" s="17" t="n">
        <v>1</v>
      </c>
      <c r="E30" s="17" t="n">
        <v>1630</v>
      </c>
      <c r="F30" s="17" t="n">
        <v>28</v>
      </c>
      <c r="G30" s="17" t="n">
        <v>0</v>
      </c>
      <c r="H30" s="17" t="n">
        <v>28</v>
      </c>
      <c r="I30" s="18" t="n">
        <v>28</v>
      </c>
      <c r="J30" s="17">
        <f>I30-F30</f>
        <v/>
      </c>
      <c r="K30" s="17">
        <f>H30-I30</f>
        <v/>
      </c>
      <c r="L30" s="17" t="n">
        <v>0.019</v>
      </c>
      <c r="M30" s="17" t="n">
        <v>0.011</v>
      </c>
      <c r="N30" s="17" t="n">
        <v>0.01</v>
      </c>
      <c r="O30" s="17" t="n">
        <v>0.006</v>
      </c>
      <c r="P30" s="17" t="n">
        <v>0.004</v>
      </c>
      <c r="Q30" s="17" t="n"/>
      <c r="R30" s="17">
        <f>L30*J30</f>
        <v/>
      </c>
      <c r="S30" s="17">
        <f>M30*J30</f>
        <v/>
      </c>
      <c r="T30" s="17">
        <f>N30*J30</f>
        <v/>
      </c>
      <c r="U30" s="17">
        <f>O30*J30</f>
        <v/>
      </c>
      <c r="V30" s="19">
        <f>P30*J30</f>
        <v/>
      </c>
    </row>
    <row r="31" ht="13.5" customHeight="1">
      <c r="A31" s="16" t="n">
        <v>800018</v>
      </c>
      <c r="B31" s="17" t="inlineStr">
        <is>
          <t xml:space="preserve">OMICRON_GAS </t>
        </is>
      </c>
      <c r="C31" s="17" t="n">
        <v>13.8</v>
      </c>
      <c r="D31" s="17" t="n">
        <v>1</v>
      </c>
      <c r="E31" s="17" t="n">
        <v>1633</v>
      </c>
      <c r="F31" s="17" t="n">
        <v>75</v>
      </c>
      <c r="G31" s="17" t="n">
        <v>0</v>
      </c>
      <c r="H31" s="17" t="n">
        <v>110</v>
      </c>
      <c r="I31" s="18" t="n">
        <v>75</v>
      </c>
      <c r="J31" s="17">
        <f>I31-F31</f>
        <v/>
      </c>
      <c r="K31" s="17">
        <f>H31-I31</f>
        <v/>
      </c>
      <c r="L31" s="17" t="n">
        <v>0.014</v>
      </c>
      <c r="M31" s="17" t="n">
        <v>0.008</v>
      </c>
      <c r="N31" s="17" t="n">
        <v>0.008</v>
      </c>
      <c r="O31" s="17" t="n">
        <v>0.004</v>
      </c>
      <c r="P31" s="17" t="n">
        <v>0.003</v>
      </c>
      <c r="Q31" s="17" t="n"/>
      <c r="R31" s="17">
        <f>L31*J31</f>
        <v/>
      </c>
      <c r="S31" s="17">
        <f>M31*J31</f>
        <v/>
      </c>
      <c r="T31" s="17">
        <f>N31*J31</f>
        <v/>
      </c>
      <c r="U31" s="17">
        <f>O31*J31</f>
        <v/>
      </c>
      <c r="V31" s="19">
        <f>P31*J31</f>
        <v/>
      </c>
    </row>
    <row r="32" ht="13.5" customHeight="1">
      <c r="A32" s="16" t="n">
        <v>800019</v>
      </c>
      <c r="B32" s="17" t="inlineStr">
        <is>
          <t xml:space="preserve">PI_GAS      </t>
        </is>
      </c>
      <c r="C32" s="17" t="n">
        <v>13.8</v>
      </c>
      <c r="D32" s="17" t="n">
        <v>1</v>
      </c>
      <c r="E32" s="17" t="n">
        <v>1633</v>
      </c>
      <c r="F32" s="17" t="n">
        <v>50</v>
      </c>
      <c r="G32" s="17" t="n">
        <v>0</v>
      </c>
      <c r="H32" s="17" t="n">
        <v>75</v>
      </c>
      <c r="I32" s="18" t="n">
        <v>50</v>
      </c>
      <c r="J32" s="17">
        <f>I32-F32</f>
        <v/>
      </c>
      <c r="K32" s="17">
        <f>H32-I32</f>
        <v/>
      </c>
      <c r="L32" s="17" t="n">
        <v>0.011</v>
      </c>
      <c r="M32" s="17" t="n">
        <v>0.007</v>
      </c>
      <c r="N32" s="17" t="n">
        <v>0.006</v>
      </c>
      <c r="O32" s="17" t="n">
        <v>0.003</v>
      </c>
      <c r="P32" s="17" t="n">
        <v>0.002</v>
      </c>
      <c r="Q32" s="17" t="n"/>
      <c r="R32" s="17">
        <f>L32*J32</f>
        <v/>
      </c>
      <c r="S32" s="17">
        <f>M32*J32</f>
        <v/>
      </c>
      <c r="T32" s="17">
        <f>N32*J32</f>
        <v/>
      </c>
      <c r="U32" s="17">
        <f>O32*J32</f>
        <v/>
      </c>
      <c r="V32" s="19">
        <f>P32*J32</f>
        <v/>
      </c>
    </row>
    <row r="33" ht="13.5" customHeight="1">
      <c r="A33" s="16" t="n">
        <v>800020</v>
      </c>
      <c r="B33" s="17" t="inlineStr">
        <is>
          <t xml:space="preserve">RHO_HYDRO   </t>
        </is>
      </c>
      <c r="C33" s="17" t="n">
        <v>13.8</v>
      </c>
      <c r="D33" s="17" t="n">
        <v>1</v>
      </c>
      <c r="E33" s="17" t="n">
        <v>1634</v>
      </c>
      <c r="F33" s="17" t="n">
        <v>30</v>
      </c>
      <c r="G33" s="17" t="n">
        <v>0</v>
      </c>
      <c r="H33" s="17" t="n">
        <v>45</v>
      </c>
      <c r="I33" s="18" t="n">
        <v>30</v>
      </c>
      <c r="J33" s="17">
        <f>I33-F33</f>
        <v/>
      </c>
      <c r="K33" s="17">
        <f>H33-I33</f>
        <v/>
      </c>
      <c r="L33" s="17" t="n">
        <v>0.008</v>
      </c>
      <c r="M33" s="17" t="n">
        <v>0.005</v>
      </c>
      <c r="N33" s="17" t="n">
        <v>0.004</v>
      </c>
      <c r="O33" s="17" t="n">
        <v>0.002</v>
      </c>
      <c r="P33" s="17" t="n">
        <v>0.001</v>
      </c>
      <c r="Q33" s="17" t="n"/>
      <c r="R33" s="17">
        <f>L33*J33</f>
        <v/>
      </c>
      <c r="S33" s="17">
        <f>M33*J33</f>
        <v/>
      </c>
      <c r="T33" s="17">
        <f>N33*J33</f>
        <v/>
      </c>
      <c r="U33" s="17">
        <f>O33*J33</f>
        <v/>
      </c>
      <c r="V33" s="19">
        <f>P33*J33</f>
        <v/>
      </c>
    </row>
    <row r="34" ht="13.5" customHeight="1">
      <c r="A34" s="16" t="n">
        <v>999901</v>
      </c>
      <c r="B34" s="17" t="inlineStr">
        <is>
          <t xml:space="preserve">SEABROOK_G1 </t>
        </is>
      </c>
      <c r="C34" s="17" t="n">
        <v>22</v>
      </c>
      <c r="D34" s="17" t="n">
        <v>1</v>
      </c>
      <c r="E34" s="17" t="n">
        <v>4000</v>
      </c>
      <c r="F34" s="17" t="n">
        <v>1200</v>
      </c>
      <c r="G34" s="17" t="n">
        <v>0</v>
      </c>
      <c r="H34" s="17" t="n">
        <v>1200</v>
      </c>
      <c r="I34" s="18" t="n">
        <v>1200</v>
      </c>
      <c r="J34" s="17">
        <f>I34-F34</f>
        <v/>
      </c>
      <c r="K34" s="17">
        <f>H34-I34</f>
        <v/>
      </c>
      <c r="L34" s="17" t="n">
        <v>-0.045</v>
      </c>
      <c r="M34" s="17" t="n">
        <v>-0.027</v>
      </c>
      <c r="N34" s="17" t="n">
        <v>-0.024</v>
      </c>
      <c r="O34" s="17" t="n">
        <v>-0.013</v>
      </c>
      <c r="P34" s="17" t="n">
        <v>-0.008</v>
      </c>
      <c r="Q34" s="17" t="n"/>
      <c r="R34" s="17">
        <f>L34*J34</f>
        <v/>
      </c>
      <c r="S34" s="17">
        <f>M34*J34</f>
        <v/>
      </c>
      <c r="T34" s="17">
        <f>N34*J34</f>
        <v/>
      </c>
      <c r="U34" s="17">
        <f>O34*J34</f>
        <v/>
      </c>
      <c r="V34" s="19">
        <f>P34*J34</f>
        <v/>
      </c>
    </row>
    <row r="35" ht="13.5" customHeight="1">
      <c r="A35" s="20" t="n">
        <v>999902</v>
      </c>
      <c r="B35" s="21" t="inlineStr">
        <is>
          <t xml:space="preserve">NYPA_IMPORT </t>
        </is>
      </c>
      <c r="C35" s="21" t="n">
        <v>345</v>
      </c>
      <c r="D35" s="21" t="n">
        <v>1</v>
      </c>
      <c r="E35" s="21" t="n">
        <v>4000</v>
      </c>
      <c r="F35" s="21" t="n">
        <v>500</v>
      </c>
      <c r="G35" s="21" t="n">
        <v>0</v>
      </c>
      <c r="H35" s="21" t="n">
        <v>600</v>
      </c>
      <c r="I35" s="22" t="n">
        <v>500</v>
      </c>
      <c r="J35" s="21">
        <f>I35-F35</f>
        <v/>
      </c>
      <c r="K35" s="21">
        <f>H35-I35</f>
        <v/>
      </c>
      <c r="L35" s="21" t="n">
        <v>-0.098</v>
      </c>
      <c r="M35" s="21" t="n">
        <v>-0.058</v>
      </c>
      <c r="N35" s="21" t="n">
        <v>-0.053</v>
      </c>
      <c r="O35" s="21" t="n">
        <v>-0.029</v>
      </c>
      <c r="P35" s="21" t="n">
        <v>-0.018</v>
      </c>
      <c r="Q35" s="21" t="n"/>
      <c r="R35" s="21">
        <f>L35*J35</f>
        <v/>
      </c>
      <c r="S35" s="21">
        <f>M35*J35</f>
        <v/>
      </c>
      <c r="T35" s="21">
        <f>N35*J35</f>
        <v/>
      </c>
      <c r="U35" s="21">
        <f>O35*J35</f>
        <v/>
      </c>
      <c r="V35" s="23">
        <f>P35*J35</f>
        <v/>
      </c>
    </row>
  </sheetData>
  <autoFilter ref="A13:V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.5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 ht="13.5" customHeight="1"/>
    <row r="3" ht="14" customHeight="1">
      <c r="A3" s="1" t="inlineStr">
        <is>
          <t>Flows</t>
        </is>
      </c>
    </row>
    <row r="4" ht="13.5" customHeight="1">
      <c r="A4" s="2" t="inlineStr">
        <is>
          <t>NN</t>
        </is>
      </c>
      <c r="B4" s="3" t="inlineStr">
        <is>
          <t>LFCaseName</t>
        </is>
      </c>
      <c r="C4" s="3" t="inlineStr">
        <is>
          <t>Monitored Element</t>
        </is>
      </c>
      <c r="D4" s="3" t="n"/>
      <c r="E4" s="3" t="n"/>
      <c r="F4" s="3" t="n"/>
      <c r="G4" s="3" t="n"/>
      <c r="H4" s="3" t="n"/>
      <c r="I4" s="3" t="inlineStr">
        <is>
          <t>Contingency</t>
        </is>
      </c>
      <c r="J4" s="3" t="inlineStr">
        <is>
          <t>Limit</t>
        </is>
      </c>
      <c r="K4" s="3" t="inlineStr">
        <is>
          <t>FlowInit</t>
        </is>
      </c>
      <c r="L4" s="3" t="inlineStr">
        <is>
          <t>FlowRes</t>
        </is>
      </c>
      <c r="M4" s="3" t="inlineStr">
        <is>
          <t>FlowChange</t>
        </is>
      </c>
      <c r="N4" s="4" t="inlineStr">
        <is>
          <t>Loading</t>
        </is>
      </c>
    </row>
    <row r="5" ht="13.5" customHeight="1">
      <c r="A5" s="5" t="n">
        <v>1</v>
      </c>
      <c r="B5" s="6" t="n"/>
      <c r="C5" s="7" t="inlineStr">
        <is>
          <t xml:space="preserve">GAMMA_SUBS     115  DELTA_SUBS     115  1 </t>
        </is>
      </c>
      <c r="D5" s="6" t="n"/>
      <c r="E5" s="6" t="n"/>
      <c r="F5" s="6" t="n"/>
      <c r="G5" s="6" t="n"/>
      <c r="H5" s="6" t="n"/>
      <c r="I5" s="7" t="inlineStr">
        <is>
          <t>LINE_GAM-DEL_TRIP</t>
        </is>
      </c>
      <c r="J5" s="7" t="n">
        <v>400</v>
      </c>
      <c r="K5" s="7" t="n">
        <v>385</v>
      </c>
      <c r="L5" s="7">
        <f>'PRDcalc'!K5+'PRDcalc'!M5</f>
        <v/>
      </c>
      <c r="M5" s="7">
        <f>R12</f>
        <v/>
      </c>
      <c r="N5" s="8">
        <f>'PRDcalc'!L5/'PRDcalc'!J5</f>
        <v/>
      </c>
    </row>
    <row r="6" ht="13.5" customHeight="1">
      <c r="A6" s="5" t="n">
        <v>2</v>
      </c>
      <c r="B6" s="6" t="n"/>
      <c r="C6" s="6" t="inlineStr">
        <is>
          <t xml:space="preserve">ETA_SUBS       115  THETA_SUBS     115  1 </t>
        </is>
      </c>
      <c r="D6" s="6" t="n"/>
      <c r="E6" s="6" t="n"/>
      <c r="F6" s="6" t="n"/>
      <c r="G6" s="6" t="n"/>
      <c r="H6" s="6" t="n"/>
      <c r="I6" s="6" t="inlineStr">
        <is>
          <t>LINE_GAM-DEL_TRIP</t>
        </is>
      </c>
      <c r="J6" s="6" t="n">
        <v>280</v>
      </c>
      <c r="K6" s="6" t="n">
        <v>220</v>
      </c>
      <c r="L6" s="6">
        <f>'PRDcalc'!K6+'PRDcalc'!M6</f>
        <v/>
      </c>
      <c r="M6" s="6">
        <f>S12</f>
        <v/>
      </c>
      <c r="N6" s="9">
        <f>'PRDcalc'!L6/'PRDcalc'!J6</f>
        <v/>
      </c>
    </row>
    <row r="7" ht="13.5" customHeight="1">
      <c r="A7" s="5" t="n">
        <v>3</v>
      </c>
      <c r="B7" s="6" t="n"/>
      <c r="C7" s="6" t="inlineStr">
        <is>
          <t xml:space="preserve">ALPHA_SUBS     115  BETA_SUBS      115  1 </t>
        </is>
      </c>
      <c r="D7" s="6" t="n"/>
      <c r="E7" s="6" t="n"/>
      <c r="F7" s="6" t="n"/>
      <c r="G7" s="6" t="n"/>
      <c r="H7" s="6" t="n"/>
      <c r="I7" s="6" t="inlineStr">
        <is>
          <t>LINE_GAM-DEL_TRIP</t>
        </is>
      </c>
      <c r="J7" s="6" t="n">
        <v>500</v>
      </c>
      <c r="K7" s="6" t="n">
        <v>420</v>
      </c>
      <c r="L7" s="6">
        <f>'PRDcalc'!K7+'PRDcalc'!M7</f>
        <v/>
      </c>
      <c r="M7" s="6">
        <f>T12</f>
        <v/>
      </c>
      <c r="N7" s="9">
        <f>'PRDcalc'!L7/'PRDcalc'!J7</f>
        <v/>
      </c>
    </row>
    <row r="8" ht="13.5" customHeight="1">
      <c r="A8" s="5" t="n">
        <v>4</v>
      </c>
      <c r="B8" s="6" t="n"/>
      <c r="C8" s="6" t="inlineStr">
        <is>
          <t xml:space="preserve">LAMBDA_SUBS    115  MU_SUBS        115  1 </t>
        </is>
      </c>
      <c r="D8" s="6" t="n"/>
      <c r="E8" s="6" t="n"/>
      <c r="F8" s="6" t="n"/>
      <c r="G8" s="6" t="n"/>
      <c r="H8" s="6" t="n"/>
      <c r="I8" s="6" t="inlineStr">
        <is>
          <t>LINE_GAM-DEL_TRIP</t>
        </is>
      </c>
      <c r="J8" s="6" t="n">
        <v>350</v>
      </c>
      <c r="K8" s="6" t="n">
        <v>270</v>
      </c>
      <c r="L8" s="6">
        <f>'PRDcalc'!K8+'PRDcalc'!M8</f>
        <v/>
      </c>
      <c r="M8" s="6">
        <f>U12</f>
        <v/>
      </c>
      <c r="N8" s="9">
        <f>'PRDcalc'!L8/'PRDcalc'!J8</f>
        <v/>
      </c>
    </row>
    <row r="9" ht="13.5" customHeight="1">
      <c r="A9" s="10" t="n">
        <v>5</v>
      </c>
      <c r="B9" s="11" t="n"/>
      <c r="C9" s="11" t="inlineStr">
        <is>
          <t xml:space="preserve">NU_SUBS        115  XI_SUBS        115  1 </t>
        </is>
      </c>
      <c r="D9" s="11" t="n"/>
      <c r="E9" s="11" t="n"/>
      <c r="F9" s="11" t="n"/>
      <c r="G9" s="11" t="n"/>
      <c r="H9" s="11" t="n"/>
      <c r="I9" s="11" t="inlineStr">
        <is>
          <t>LINE_GAM-DEL_TRIP</t>
        </is>
      </c>
      <c r="J9" s="11" t="n">
        <v>450</v>
      </c>
      <c r="K9" s="11" t="n">
        <v>380</v>
      </c>
      <c r="L9" s="11">
        <f>'PRDcalc'!K9+'PRDcalc'!M9</f>
        <v/>
      </c>
      <c r="M9" s="11">
        <f>V12</f>
        <v/>
      </c>
      <c r="N9" s="12">
        <f>'PRDcalc'!L9/'PRDcalc'!J9</f>
        <v/>
      </c>
    </row>
    <row r="10" ht="13.5" customHeight="1"/>
    <row r="11" ht="13.5" customHeight="1"/>
    <row r="12" ht="14" customHeight="1">
      <c r="A12" s="1" t="inlineStr">
        <is>
          <t>Dispatch</t>
        </is>
      </c>
      <c r="J12">
        <f>SUM(J14:J35)</f>
        <v/>
      </c>
      <c r="R12">
        <f>SUM(R14:R35)</f>
        <v/>
      </c>
      <c r="S12">
        <f>SUM(S14:S35)</f>
        <v/>
      </c>
      <c r="T12">
        <f>SUM(T14:T35)</f>
        <v/>
      </c>
      <c r="U12">
        <f>SUM(U14:U35)</f>
        <v/>
      </c>
      <c r="V12">
        <f>SUM(V14:V35)</f>
        <v/>
      </c>
    </row>
    <row r="13" ht="14" customHeight="1">
      <c r="A13" s="2" t="inlineStr">
        <is>
          <t xml:space="preserve">  Bus#</t>
        </is>
      </c>
      <c r="B13" s="3" t="inlineStr">
        <is>
          <t xml:space="preserve">Bus Name    </t>
        </is>
      </c>
      <c r="C13" s="3" t="inlineStr">
        <is>
          <t>Volt</t>
        </is>
      </c>
      <c r="D13" s="3" t="inlineStr">
        <is>
          <t>Area</t>
        </is>
      </c>
      <c r="E13" s="3" t="inlineStr">
        <is>
          <t>Zone</t>
        </is>
      </c>
      <c r="F13" s="3" t="inlineStr">
        <is>
          <t>Pgen or Pload</t>
        </is>
      </c>
      <c r="G13" s="3" t="inlineStr">
        <is>
          <t>PMin Gen</t>
        </is>
      </c>
      <c r="H13" s="3" t="inlineStr">
        <is>
          <t>PMax Gen</t>
        </is>
      </c>
      <c r="I13" s="13" t="inlineStr">
        <is>
          <t>Pnew</t>
        </is>
      </c>
      <c r="J13" s="14" t="inlineStr">
        <is>
          <t>Pdelta</t>
        </is>
      </c>
      <c r="K13" s="14" t="inlineStr">
        <is>
          <t>Pavail</t>
        </is>
      </c>
      <c r="L13" s="14" t="inlineStr">
        <is>
          <t>Dfax_1</t>
        </is>
      </c>
      <c r="M13" s="14" t="inlineStr">
        <is>
          <t>Dfax_2</t>
        </is>
      </c>
      <c r="N13" s="14" t="inlineStr">
        <is>
          <t>Dfax_3</t>
        </is>
      </c>
      <c r="O13" s="14" t="inlineStr">
        <is>
          <t>Dfax_4</t>
        </is>
      </c>
      <c r="P13" s="14" t="inlineStr">
        <is>
          <t>Dfax_5</t>
        </is>
      </c>
      <c r="Q13" s="14" t="inlineStr">
        <is>
          <t>---</t>
        </is>
      </c>
      <c r="R13" s="14" t="inlineStr">
        <is>
          <t>Impact_1</t>
        </is>
      </c>
      <c r="S13" s="14" t="inlineStr">
        <is>
          <t>Impact_2</t>
        </is>
      </c>
      <c r="T13" s="14" t="inlineStr">
        <is>
          <t>Impact_3</t>
        </is>
      </c>
      <c r="U13" s="14" t="inlineStr">
        <is>
          <t>Impact_4</t>
        </is>
      </c>
      <c r="V13" s="15" t="inlineStr">
        <is>
          <t>Impact_5</t>
        </is>
      </c>
    </row>
    <row r="14" ht="13.5" customHeight="1">
      <c r="A14" s="16" t="n">
        <v>800001</v>
      </c>
      <c r="B14" s="17" t="inlineStr">
        <is>
          <t xml:space="preserve">SAMPLE_BESS </t>
        </is>
      </c>
      <c r="C14" s="17" t="n">
        <v>115</v>
      </c>
      <c r="D14" s="17" t="n">
        <v>1</v>
      </c>
      <c r="E14" s="17" t="n">
        <v>1000</v>
      </c>
      <c r="F14" s="17" t="n">
        <v>0</v>
      </c>
      <c r="G14" s="17" t="n">
        <v>0</v>
      </c>
      <c r="H14" s="17" t="n">
        <v>100</v>
      </c>
      <c r="I14" s="18" t="n">
        <v>0</v>
      </c>
      <c r="J14" s="17">
        <f>I14-F14</f>
        <v/>
      </c>
      <c r="K14" s="17">
        <f>H14-I14</f>
        <v/>
      </c>
      <c r="L14" s="17" t="n">
        <v>0.351</v>
      </c>
      <c r="M14" s="17" t="n">
        <v>0.198</v>
      </c>
      <c r="N14" s="17" t="n">
        <v>0.312</v>
      </c>
      <c r="O14" s="17" t="n">
        <v>0.08699999999999999</v>
      </c>
      <c r="P14" s="17" t="n">
        <v>0.143</v>
      </c>
      <c r="Q14" s="17" t="n"/>
      <c r="R14" s="17">
        <f>L14*J14</f>
        <v/>
      </c>
      <c r="S14" s="17">
        <f>M14*J14</f>
        <v/>
      </c>
      <c r="T14" s="17">
        <f>N14*J14</f>
        <v/>
      </c>
      <c r="U14" s="17">
        <f>O14*J14</f>
        <v/>
      </c>
      <c r="V14" s="19">
        <f>P14*J14</f>
        <v/>
      </c>
    </row>
    <row r="15" ht="13.5" customHeight="1">
      <c r="A15" s="16" t="n">
        <v>800002</v>
      </c>
      <c r="B15" s="17" t="inlineStr">
        <is>
          <t xml:space="preserve">ALPHA_GAS_1 </t>
        </is>
      </c>
      <c r="C15" s="17" t="n">
        <v>13.8</v>
      </c>
      <c r="D15" s="17" t="n">
        <v>1</v>
      </c>
      <c r="E15" s="17" t="n">
        <v>1000</v>
      </c>
      <c r="F15" s="17" t="n">
        <v>150</v>
      </c>
      <c r="G15" s="17" t="n">
        <v>0</v>
      </c>
      <c r="H15" s="17" t="n">
        <v>200</v>
      </c>
      <c r="I15" s="18" t="n">
        <v>150</v>
      </c>
      <c r="J15" s="17">
        <f>I15-F15</f>
        <v/>
      </c>
      <c r="K15" s="17">
        <f>H15-I15</f>
        <v/>
      </c>
      <c r="L15" s="17" t="n">
        <v>0.298</v>
      </c>
      <c r="M15" s="17" t="n">
        <v>0.168</v>
      </c>
      <c r="N15" s="17" t="n">
        <v>0.264</v>
      </c>
      <c r="O15" s="17" t="n">
        <v>0.074</v>
      </c>
      <c r="P15" s="17" t="n">
        <v>0.121</v>
      </c>
      <c r="Q15" s="17" t="n"/>
      <c r="R15" s="17">
        <f>L15*J15</f>
        <v/>
      </c>
      <c r="S15" s="17">
        <f>M15*J15</f>
        <v/>
      </c>
      <c r="T15" s="17">
        <f>N15*J15</f>
        <v/>
      </c>
      <c r="U15" s="17">
        <f>O15*J15</f>
        <v/>
      </c>
      <c r="V15" s="19">
        <f>P15*J15</f>
        <v/>
      </c>
    </row>
    <row r="16" ht="13.5" customHeight="1">
      <c r="A16" s="16" t="n">
        <v>800003</v>
      </c>
      <c r="B16" s="17" t="inlineStr">
        <is>
          <t xml:space="preserve">ALPHA_GAS_2 </t>
        </is>
      </c>
      <c r="C16" s="17" t="n">
        <v>13.8</v>
      </c>
      <c r="D16" s="17" t="n">
        <v>1</v>
      </c>
      <c r="E16" s="17" t="n">
        <v>1000</v>
      </c>
      <c r="F16" s="17" t="n">
        <v>120</v>
      </c>
      <c r="G16" s="17" t="n">
        <v>0</v>
      </c>
      <c r="H16" s="17" t="n">
        <v>180</v>
      </c>
      <c r="I16" s="18" t="n">
        <v>120</v>
      </c>
      <c r="J16" s="17">
        <f>I16-F16</f>
        <v/>
      </c>
      <c r="K16" s="17">
        <f>H16-I16</f>
        <v/>
      </c>
      <c r="L16" s="17" t="n">
        <v>0.281</v>
      </c>
      <c r="M16" s="17" t="n">
        <v>0.159</v>
      </c>
      <c r="N16" s="17" t="n">
        <v>0.25</v>
      </c>
      <c r="O16" s="17" t="n">
        <v>0.07000000000000001</v>
      </c>
      <c r="P16" s="17" t="n">
        <v>0.114</v>
      </c>
      <c r="Q16" s="17" t="n"/>
      <c r="R16" s="17">
        <f>L16*J16</f>
        <v/>
      </c>
      <c r="S16" s="17">
        <f>M16*J16</f>
        <v/>
      </c>
      <c r="T16" s="17">
        <f>N16*J16</f>
        <v/>
      </c>
      <c r="U16" s="17">
        <f>O16*J16</f>
        <v/>
      </c>
      <c r="V16" s="19">
        <f>P16*J16</f>
        <v/>
      </c>
    </row>
    <row r="17" ht="13.5" customHeight="1">
      <c r="A17" s="16" t="n">
        <v>800004</v>
      </c>
      <c r="B17" s="17" t="inlineStr">
        <is>
          <t xml:space="preserve">BETA_GAS_A  </t>
        </is>
      </c>
      <c r="C17" s="17" t="n">
        <v>13.8</v>
      </c>
      <c r="D17" s="17" t="n">
        <v>1</v>
      </c>
      <c r="E17" s="17" t="n">
        <v>1002</v>
      </c>
      <c r="F17" s="17" t="n">
        <v>90</v>
      </c>
      <c r="G17" s="17" t="n">
        <v>0</v>
      </c>
      <c r="H17" s="17" t="n">
        <v>135</v>
      </c>
      <c r="I17" s="18" t="n">
        <v>90</v>
      </c>
      <c r="J17" s="17">
        <f>I17-F17</f>
        <v/>
      </c>
      <c r="K17" s="17">
        <f>H17-I17</f>
        <v/>
      </c>
      <c r="L17" s="17" t="n">
        <v>0.256</v>
      </c>
      <c r="M17" s="17" t="n">
        <v>0.145</v>
      </c>
      <c r="N17" s="17" t="n">
        <v>0.228</v>
      </c>
      <c r="O17" s="17" t="n">
        <v>0.063</v>
      </c>
      <c r="P17" s="17" t="n">
        <v>0.104</v>
      </c>
      <c r="Q17" s="17" t="n"/>
      <c r="R17" s="17">
        <f>L17*J17</f>
        <v/>
      </c>
      <c r="S17" s="17">
        <f>M17*J17</f>
        <v/>
      </c>
      <c r="T17" s="17">
        <f>N17*J17</f>
        <v/>
      </c>
      <c r="U17" s="17">
        <f>O17*J17</f>
        <v/>
      </c>
      <c r="V17" s="19">
        <f>P17*J17</f>
        <v/>
      </c>
    </row>
    <row r="18" ht="13.5" customHeight="1">
      <c r="A18" s="16" t="n">
        <v>800005</v>
      </c>
      <c r="B18" s="17" t="inlineStr">
        <is>
          <t xml:space="preserve">BETA_GAS_B  </t>
        </is>
      </c>
      <c r="C18" s="17" t="n">
        <v>13.8</v>
      </c>
      <c r="D18" s="17" t="n">
        <v>1</v>
      </c>
      <c r="E18" s="17" t="n">
        <v>1002</v>
      </c>
      <c r="F18" s="17" t="n">
        <v>85</v>
      </c>
      <c r="G18" s="17" t="n">
        <v>0</v>
      </c>
      <c r="H18" s="17" t="n">
        <v>130</v>
      </c>
      <c r="I18" s="18" t="n">
        <v>85</v>
      </c>
      <c r="J18" s="17">
        <f>I18-F18</f>
        <v/>
      </c>
      <c r="K18" s="17">
        <f>H18-I18</f>
        <v/>
      </c>
      <c r="L18" s="17" t="n">
        <v>0.248</v>
      </c>
      <c r="M18" s="17" t="n">
        <v>0.14</v>
      </c>
      <c r="N18" s="17" t="n">
        <v>0.221</v>
      </c>
      <c r="O18" s="17" t="n">
        <v>0.061</v>
      </c>
      <c r="P18" s="17" t="n">
        <v>0.101</v>
      </c>
      <c r="Q18" s="17" t="n"/>
      <c r="R18" s="17">
        <f>L18*J18</f>
        <v/>
      </c>
      <c r="S18" s="17">
        <f>M18*J18</f>
        <v/>
      </c>
      <c r="T18" s="17">
        <f>N18*J18</f>
        <v/>
      </c>
      <c r="U18" s="17">
        <f>O18*J18</f>
        <v/>
      </c>
      <c r="V18" s="19">
        <f>P18*J18</f>
        <v/>
      </c>
    </row>
    <row r="19" ht="13.5" customHeight="1">
      <c r="A19" s="16" t="n">
        <v>800006</v>
      </c>
      <c r="B19" s="17" t="inlineStr">
        <is>
          <t xml:space="preserve">GAMMA_JET   </t>
        </is>
      </c>
      <c r="C19" s="17" t="n">
        <v>13.8</v>
      </c>
      <c r="D19" s="17" t="n">
        <v>1</v>
      </c>
      <c r="E19" s="17" t="n">
        <v>1004</v>
      </c>
      <c r="F19" s="17" t="n">
        <v>45</v>
      </c>
      <c r="G19" s="17" t="n">
        <v>0</v>
      </c>
      <c r="H19" s="17" t="n">
        <v>70</v>
      </c>
      <c r="I19" s="18" t="n">
        <v>45</v>
      </c>
      <c r="J19" s="17">
        <f>I19-F19</f>
        <v/>
      </c>
      <c r="K19" s="17">
        <f>H19-I19</f>
        <v/>
      </c>
      <c r="L19" s="17" t="n">
        <v>0.199</v>
      </c>
      <c r="M19" s="17" t="n">
        <v>0.112</v>
      </c>
      <c r="N19" s="17" t="n">
        <v>0.177</v>
      </c>
      <c r="O19" s="17" t="n">
        <v>0.049</v>
      </c>
      <c r="P19" s="17" t="n">
        <v>0.081</v>
      </c>
      <c r="Q19" s="17" t="n"/>
      <c r="R19" s="17">
        <f>L19*J19</f>
        <v/>
      </c>
      <c r="S19" s="17">
        <f>M19*J19</f>
        <v/>
      </c>
      <c r="T19" s="17">
        <f>N19*J19</f>
        <v/>
      </c>
      <c r="U19" s="17">
        <f>O19*J19</f>
        <v/>
      </c>
      <c r="V19" s="19">
        <f>P19*J19</f>
        <v/>
      </c>
    </row>
    <row r="20" ht="13.5" customHeight="1">
      <c r="A20" s="16" t="n">
        <v>800007</v>
      </c>
      <c r="B20" s="17" t="inlineStr">
        <is>
          <t xml:space="preserve">DELTA_GAS   </t>
        </is>
      </c>
      <c r="C20" s="17" t="n">
        <v>13.8</v>
      </c>
      <c r="D20" s="17" t="n">
        <v>1</v>
      </c>
      <c r="E20" s="17" t="n">
        <v>1004</v>
      </c>
      <c r="F20" s="17" t="n">
        <v>60</v>
      </c>
      <c r="G20" s="17" t="n">
        <v>0</v>
      </c>
      <c r="H20" s="17" t="n">
        <v>95</v>
      </c>
      <c r="I20" s="18" t="n">
        <v>60</v>
      </c>
      <c r="J20" s="17">
        <f>I20-F20</f>
        <v/>
      </c>
      <c r="K20" s="17">
        <f>H20-I20</f>
        <v/>
      </c>
      <c r="L20" s="17" t="n">
        <v>0.184</v>
      </c>
      <c r="M20" s="17" t="n">
        <v>0.104</v>
      </c>
      <c r="N20" s="17" t="n">
        <v>0.163</v>
      </c>
      <c r="O20" s="17" t="n">
        <v>0.046</v>
      </c>
      <c r="P20" s="17" t="n">
        <v>0.075</v>
      </c>
      <c r="Q20" s="17" t="n"/>
      <c r="R20" s="17">
        <f>L20*J20</f>
        <v/>
      </c>
      <c r="S20" s="17">
        <f>M20*J20</f>
        <v/>
      </c>
      <c r="T20" s="17">
        <f>N20*J20</f>
        <v/>
      </c>
      <c r="U20" s="17">
        <f>O20*J20</f>
        <v/>
      </c>
      <c r="V20" s="19">
        <f>P20*J20</f>
        <v/>
      </c>
    </row>
    <row r="21" ht="13.5" customHeight="1">
      <c r="A21" s="16" t="n">
        <v>800008</v>
      </c>
      <c r="B21" s="17" t="inlineStr">
        <is>
          <t>EPSILON_WIND</t>
        </is>
      </c>
      <c r="C21" s="17" t="n">
        <v>0.6899999999999999</v>
      </c>
      <c r="D21" s="17" t="n">
        <v>1</v>
      </c>
      <c r="E21" s="17" t="n">
        <v>1010</v>
      </c>
      <c r="F21" s="17" t="n">
        <v>25</v>
      </c>
      <c r="G21" s="17" t="n">
        <v>0</v>
      </c>
      <c r="H21" s="17" t="n">
        <v>25</v>
      </c>
      <c r="I21" s="18" t="n">
        <v>25</v>
      </c>
      <c r="J21" s="17">
        <f>I21-F21</f>
        <v/>
      </c>
      <c r="K21" s="17">
        <f>H21-I21</f>
        <v/>
      </c>
      <c r="L21" s="17" t="n">
        <v>0.132</v>
      </c>
      <c r="M21" s="17" t="n">
        <v>0.074</v>
      </c>
      <c r="N21" s="17" t="n">
        <v>0.117</v>
      </c>
      <c r="O21" s="17" t="n">
        <v>0.033</v>
      </c>
      <c r="P21" s="17" t="n">
        <v>0.054</v>
      </c>
      <c r="Q21" s="17" t="n"/>
      <c r="R21" s="17">
        <f>L21*J21</f>
        <v/>
      </c>
      <c r="S21" s="17">
        <f>M21*J21</f>
        <v/>
      </c>
      <c r="T21" s="17">
        <f>N21*J21</f>
        <v/>
      </c>
      <c r="U21" s="17">
        <f>O21*J21</f>
        <v/>
      </c>
      <c r="V21" s="19">
        <f>P21*J21</f>
        <v/>
      </c>
    </row>
    <row r="22" ht="13.5" customHeight="1">
      <c r="A22" s="16" t="n">
        <v>800009</v>
      </c>
      <c r="B22" s="17" t="inlineStr">
        <is>
          <t xml:space="preserve">ZETA_SOLAR  </t>
        </is>
      </c>
      <c r="C22" s="17" t="n">
        <v>0.6899999999999999</v>
      </c>
      <c r="D22" s="17" t="n">
        <v>1</v>
      </c>
      <c r="E22" s="17" t="n">
        <v>1010</v>
      </c>
      <c r="F22" s="17" t="n">
        <v>18</v>
      </c>
      <c r="G22" s="17" t="n">
        <v>0</v>
      </c>
      <c r="H22" s="17" t="n">
        <v>18</v>
      </c>
      <c r="I22" s="18" t="n">
        <v>18</v>
      </c>
      <c r="J22" s="17">
        <f>I22-F22</f>
        <v/>
      </c>
      <c r="K22" s="17">
        <f>H22-I22</f>
        <v/>
      </c>
      <c r="L22" s="17" t="n">
        <v>0.125</v>
      </c>
      <c r="M22" s="17" t="n">
        <v>0.07000000000000001</v>
      </c>
      <c r="N22" s="17" t="n">
        <v>0.111</v>
      </c>
      <c r="O22" s="17" t="n">
        <v>0.031</v>
      </c>
      <c r="P22" s="17" t="n">
        <v>0.051</v>
      </c>
      <c r="Q22" s="17" t="n"/>
      <c r="R22" s="17">
        <f>L22*J22</f>
        <v/>
      </c>
      <c r="S22" s="17">
        <f>M22*J22</f>
        <v/>
      </c>
      <c r="T22" s="17">
        <f>N22*J22</f>
        <v/>
      </c>
      <c r="U22" s="17">
        <f>O22*J22</f>
        <v/>
      </c>
      <c r="V22" s="19">
        <f>P22*J22</f>
        <v/>
      </c>
    </row>
    <row r="23" ht="13.5" customHeight="1">
      <c r="A23" s="16" t="n">
        <v>800010</v>
      </c>
      <c r="B23" s="17" t="inlineStr">
        <is>
          <t xml:space="preserve">ETA_HYDRO   </t>
        </is>
      </c>
      <c r="C23" s="17" t="n">
        <v>13.8</v>
      </c>
      <c r="D23" s="17" t="n">
        <v>1</v>
      </c>
      <c r="E23" s="17" t="n">
        <v>1010</v>
      </c>
      <c r="F23" s="17" t="n">
        <v>40</v>
      </c>
      <c r="G23" s="17" t="n">
        <v>0</v>
      </c>
      <c r="H23" s="17" t="n">
        <v>60</v>
      </c>
      <c r="I23" s="18" t="n">
        <v>40</v>
      </c>
      <c r="J23" s="17">
        <f>I23-F23</f>
        <v/>
      </c>
      <c r="K23" s="17">
        <f>H23-I23</f>
        <v/>
      </c>
      <c r="L23" s="17" t="n">
        <v>0.117</v>
      </c>
      <c r="M23" s="17" t="n">
        <v>0.066</v>
      </c>
      <c r="N23" s="17" t="n">
        <v>0.104</v>
      </c>
      <c r="O23" s="17" t="n">
        <v>0.029</v>
      </c>
      <c r="P23" s="17" t="n">
        <v>0.048</v>
      </c>
      <c r="Q23" s="17" t="n"/>
      <c r="R23" s="17">
        <f>L23*J23</f>
        <v/>
      </c>
      <c r="S23" s="17">
        <f>M23*J23</f>
        <v/>
      </c>
      <c r="T23" s="17">
        <f>N23*J23</f>
        <v/>
      </c>
      <c r="U23" s="17">
        <f>O23*J23</f>
        <v/>
      </c>
      <c r="V23" s="19">
        <f>P23*J23</f>
        <v/>
      </c>
    </row>
    <row r="24" ht="13.5" customHeight="1">
      <c r="A24" s="16" t="n">
        <v>800011</v>
      </c>
      <c r="B24" s="17" t="inlineStr">
        <is>
          <t xml:space="preserve">THETA_GAS   </t>
        </is>
      </c>
      <c r="C24" s="17" t="n">
        <v>13.8</v>
      </c>
      <c r="D24" s="17" t="n">
        <v>1</v>
      </c>
      <c r="E24" s="17" t="n">
        <v>4000</v>
      </c>
      <c r="F24" s="17" t="n">
        <v>80</v>
      </c>
      <c r="G24" s="17" t="n">
        <v>0</v>
      </c>
      <c r="H24" s="17" t="n">
        <v>120</v>
      </c>
      <c r="I24" s="18" t="n">
        <v>80</v>
      </c>
      <c r="J24" s="17">
        <f>I24-F24</f>
        <v/>
      </c>
      <c r="K24" s="17">
        <f>H24-I24</f>
        <v/>
      </c>
      <c r="L24" s="17" t="n">
        <v>0.055</v>
      </c>
      <c r="M24" s="17" t="n">
        <v>0.031</v>
      </c>
      <c r="N24" s="17" t="n">
        <v>0.049</v>
      </c>
      <c r="O24" s="17" t="n">
        <v>0.014</v>
      </c>
      <c r="P24" s="17" t="n">
        <v>0.022</v>
      </c>
      <c r="Q24" s="17" t="n"/>
      <c r="R24" s="17">
        <f>L24*J24</f>
        <v/>
      </c>
      <c r="S24" s="17">
        <f>M24*J24</f>
        <v/>
      </c>
      <c r="T24" s="17">
        <f>N24*J24</f>
        <v/>
      </c>
      <c r="U24" s="17">
        <f>O24*J24</f>
        <v/>
      </c>
      <c r="V24" s="19">
        <f>P24*J24</f>
        <v/>
      </c>
    </row>
    <row r="25" ht="13.5" customHeight="1">
      <c r="A25" s="16" t="n">
        <v>800012</v>
      </c>
      <c r="B25" s="17" t="inlineStr">
        <is>
          <t xml:space="preserve">IOTA_GAS    </t>
        </is>
      </c>
      <c r="C25" s="17" t="n">
        <v>13.8</v>
      </c>
      <c r="D25" s="17" t="n">
        <v>1</v>
      </c>
      <c r="E25" s="17" t="n">
        <v>4000</v>
      </c>
      <c r="F25" s="17" t="n">
        <v>70</v>
      </c>
      <c r="G25" s="17" t="n">
        <v>0</v>
      </c>
      <c r="H25" s="17" t="n">
        <v>110</v>
      </c>
      <c r="I25" s="18" t="n">
        <v>70</v>
      </c>
      <c r="J25" s="17">
        <f>I25-F25</f>
        <v/>
      </c>
      <c r="K25" s="17">
        <f>H25-I25</f>
        <v/>
      </c>
      <c r="L25" s="17" t="n">
        <v>0.047</v>
      </c>
      <c r="M25" s="17" t="n">
        <v>0.027</v>
      </c>
      <c r="N25" s="17" t="n">
        <v>0.042</v>
      </c>
      <c r="O25" s="17" t="n">
        <v>0.012</v>
      </c>
      <c r="P25" s="17" t="n">
        <v>0.019</v>
      </c>
      <c r="Q25" s="17" t="n"/>
      <c r="R25" s="17">
        <f>L25*J25</f>
        <v/>
      </c>
      <c r="S25" s="17">
        <f>M25*J25</f>
        <v/>
      </c>
      <c r="T25" s="17">
        <f>N25*J25</f>
        <v/>
      </c>
      <c r="U25" s="17">
        <f>O25*J25</f>
        <v/>
      </c>
      <c r="V25" s="19">
        <f>P25*J25</f>
        <v/>
      </c>
    </row>
    <row r="26" ht="13.5" customHeight="1">
      <c r="A26" s="16" t="n">
        <v>800013</v>
      </c>
      <c r="B26" s="17" t="inlineStr">
        <is>
          <t xml:space="preserve">KAPPA_WIND  </t>
        </is>
      </c>
      <c r="C26" s="17" t="n">
        <v>0.6899999999999999</v>
      </c>
      <c r="D26" s="17" t="n">
        <v>1</v>
      </c>
      <c r="E26" s="17" t="n">
        <v>4000</v>
      </c>
      <c r="F26" s="17" t="n">
        <v>35</v>
      </c>
      <c r="G26" s="17" t="n">
        <v>0</v>
      </c>
      <c r="H26" s="17" t="n">
        <v>35</v>
      </c>
      <c r="I26" s="18" t="n">
        <v>35</v>
      </c>
      <c r="J26" s="17">
        <f>I26-F26</f>
        <v/>
      </c>
      <c r="K26" s="17">
        <f>H26-I26</f>
        <v/>
      </c>
      <c r="L26" s="17" t="n">
        <v>0.037</v>
      </c>
      <c r="M26" s="17" t="n">
        <v>0.021</v>
      </c>
      <c r="N26" s="17" t="n">
        <v>0.033</v>
      </c>
      <c r="O26" s="17" t="n">
        <v>0.008999999999999999</v>
      </c>
      <c r="P26" s="17" t="n">
        <v>0.015</v>
      </c>
      <c r="Q26" s="17" t="n"/>
      <c r="R26" s="17">
        <f>L26*J26</f>
        <v/>
      </c>
      <c r="S26" s="17">
        <f>M26*J26</f>
        <v/>
      </c>
      <c r="T26" s="17">
        <f>N26*J26</f>
        <v/>
      </c>
      <c r="U26" s="17">
        <f>O26*J26</f>
        <v/>
      </c>
      <c r="V26" s="19">
        <f>P26*J26</f>
        <v/>
      </c>
    </row>
    <row r="27" ht="13.5" customHeight="1">
      <c r="A27" s="16" t="n">
        <v>800014</v>
      </c>
      <c r="B27" s="17" t="inlineStr">
        <is>
          <t xml:space="preserve">LAMBDA_GAS  </t>
        </is>
      </c>
      <c r="C27" s="17" t="n">
        <v>13.8</v>
      </c>
      <c r="D27" s="17" t="n">
        <v>1</v>
      </c>
      <c r="E27" s="17" t="n">
        <v>1400</v>
      </c>
      <c r="F27" s="17" t="n">
        <v>55</v>
      </c>
      <c r="G27" s="17" t="n">
        <v>0</v>
      </c>
      <c r="H27" s="17" t="n">
        <v>85</v>
      </c>
      <c r="I27" s="18" t="n">
        <v>55</v>
      </c>
      <c r="J27" s="17">
        <f>I27-F27</f>
        <v/>
      </c>
      <c r="K27" s="17">
        <f>H27-I27</f>
        <v/>
      </c>
      <c r="L27" s="17" t="n">
        <v>0.027</v>
      </c>
      <c r="M27" s="17" t="n">
        <v>0.015</v>
      </c>
      <c r="N27" s="17" t="n">
        <v>0.024</v>
      </c>
      <c r="O27" s="17" t="n">
        <v>0.007</v>
      </c>
      <c r="P27" s="17" t="n">
        <v>0.011</v>
      </c>
      <c r="Q27" s="17" t="n"/>
      <c r="R27" s="17">
        <f>L27*J27</f>
        <v/>
      </c>
      <c r="S27" s="17">
        <f>M27*J27</f>
        <v/>
      </c>
      <c r="T27" s="17">
        <f>N27*J27</f>
        <v/>
      </c>
      <c r="U27" s="17">
        <f>O27*J27</f>
        <v/>
      </c>
      <c r="V27" s="19">
        <f>P27*J27</f>
        <v/>
      </c>
    </row>
    <row r="28" ht="13.5" customHeight="1">
      <c r="A28" s="16" t="n">
        <v>800015</v>
      </c>
      <c r="B28" s="17" t="inlineStr">
        <is>
          <t xml:space="preserve">MU_SOLAR    </t>
        </is>
      </c>
      <c r="C28" s="17" t="n">
        <v>0.6899999999999999</v>
      </c>
      <c r="D28" s="17" t="n">
        <v>1</v>
      </c>
      <c r="E28" s="17" t="n">
        <v>1400</v>
      </c>
      <c r="F28" s="17" t="n">
        <v>20</v>
      </c>
      <c r="G28" s="17" t="n">
        <v>0</v>
      </c>
      <c r="H28" s="17" t="n">
        <v>20</v>
      </c>
      <c r="I28" s="18" t="n">
        <v>20</v>
      </c>
      <c r="J28" s="17">
        <f>I28-F28</f>
        <v/>
      </c>
      <c r="K28" s="17">
        <f>H28-I28</f>
        <v/>
      </c>
      <c r="L28" s="17" t="n">
        <v>0.022</v>
      </c>
      <c r="M28" s="17" t="n">
        <v>0.012</v>
      </c>
      <c r="N28" s="17" t="n">
        <v>0.02</v>
      </c>
      <c r="O28" s="17" t="n">
        <v>0.005</v>
      </c>
      <c r="P28" s="17" t="n">
        <v>0.008999999999999999</v>
      </c>
      <c r="Q28" s="17" t="n"/>
      <c r="R28" s="17">
        <f>L28*J28</f>
        <v/>
      </c>
      <c r="S28" s="17">
        <f>M28*J28</f>
        <v/>
      </c>
      <c r="T28" s="17">
        <f>N28*J28</f>
        <v/>
      </c>
      <c r="U28" s="17">
        <f>O28*J28</f>
        <v/>
      </c>
      <c r="V28" s="19">
        <f>P28*J28</f>
        <v/>
      </c>
    </row>
    <row r="29" ht="13.5" customHeight="1">
      <c r="A29" s="16" t="n">
        <v>800016</v>
      </c>
      <c r="B29" s="17" t="inlineStr">
        <is>
          <t xml:space="preserve">NU_GAS      </t>
        </is>
      </c>
      <c r="C29" s="17" t="n">
        <v>13.8</v>
      </c>
      <c r="D29" s="17" t="n">
        <v>1</v>
      </c>
      <c r="E29" s="17" t="n">
        <v>1400</v>
      </c>
      <c r="F29" s="17" t="n">
        <v>65</v>
      </c>
      <c r="G29" s="17" t="n">
        <v>0</v>
      </c>
      <c r="H29" s="17" t="n">
        <v>95</v>
      </c>
      <c r="I29" s="18" t="n">
        <v>65</v>
      </c>
      <c r="J29" s="17">
        <f>I29-F29</f>
        <v/>
      </c>
      <c r="K29" s="17">
        <f>H29-I29</f>
        <v/>
      </c>
      <c r="L29" s="17" t="n">
        <v>0.019</v>
      </c>
      <c r="M29" s="17" t="n">
        <v>0.01</v>
      </c>
      <c r="N29" s="17" t="n">
        <v>0.017</v>
      </c>
      <c r="O29" s="17" t="n">
        <v>0.005</v>
      </c>
      <c r="P29" s="17" t="n">
        <v>0.008</v>
      </c>
      <c r="Q29" s="17" t="n"/>
      <c r="R29" s="17">
        <f>L29*J29</f>
        <v/>
      </c>
      <c r="S29" s="17">
        <f>M29*J29</f>
        <v/>
      </c>
      <c r="T29" s="17">
        <f>N29*J29</f>
        <v/>
      </c>
      <c r="U29" s="17">
        <f>O29*J29</f>
        <v/>
      </c>
      <c r="V29" s="19">
        <f>P29*J29</f>
        <v/>
      </c>
    </row>
    <row r="30" ht="13.5" customHeight="1">
      <c r="A30" s="16" t="n">
        <v>800017</v>
      </c>
      <c r="B30" s="17" t="inlineStr">
        <is>
          <t xml:space="preserve">XI_WIND     </t>
        </is>
      </c>
      <c r="C30" s="17" t="n">
        <v>0.6899999999999999</v>
      </c>
      <c r="D30" s="17" t="n">
        <v>1</v>
      </c>
      <c r="E30" s="17" t="n">
        <v>1630</v>
      </c>
      <c r="F30" s="17" t="n">
        <v>28</v>
      </c>
      <c r="G30" s="17" t="n">
        <v>0</v>
      </c>
      <c r="H30" s="17" t="n">
        <v>28</v>
      </c>
      <c r="I30" s="18" t="n">
        <v>28</v>
      </c>
      <c r="J30" s="17">
        <f>I30-F30</f>
        <v/>
      </c>
      <c r="K30" s="17">
        <f>H30-I30</f>
        <v/>
      </c>
      <c r="L30" s="17" t="n">
        <v>0.013</v>
      </c>
      <c r="M30" s="17" t="n">
        <v>0.007</v>
      </c>
      <c r="N30" s="17" t="n">
        <v>0.011</v>
      </c>
      <c r="O30" s="17" t="n">
        <v>0.003</v>
      </c>
      <c r="P30" s="17" t="n">
        <v>0.005</v>
      </c>
      <c r="Q30" s="17" t="n"/>
      <c r="R30" s="17">
        <f>L30*J30</f>
        <v/>
      </c>
      <c r="S30" s="17">
        <f>M30*J30</f>
        <v/>
      </c>
      <c r="T30" s="17">
        <f>N30*J30</f>
        <v/>
      </c>
      <c r="U30" s="17">
        <f>O30*J30</f>
        <v/>
      </c>
      <c r="V30" s="19">
        <f>P30*J30</f>
        <v/>
      </c>
    </row>
    <row r="31" ht="13.5" customHeight="1">
      <c r="A31" s="16" t="n">
        <v>800018</v>
      </c>
      <c r="B31" s="17" t="inlineStr">
        <is>
          <t xml:space="preserve">OMICRON_GAS </t>
        </is>
      </c>
      <c r="C31" s="17" t="n">
        <v>13.8</v>
      </c>
      <c r="D31" s="17" t="n">
        <v>1</v>
      </c>
      <c r="E31" s="17" t="n">
        <v>1633</v>
      </c>
      <c r="F31" s="17" t="n">
        <v>75</v>
      </c>
      <c r="G31" s="17" t="n">
        <v>0</v>
      </c>
      <c r="H31" s="17" t="n">
        <v>110</v>
      </c>
      <c r="I31" s="18" t="n">
        <v>75</v>
      </c>
      <c r="J31" s="17">
        <f>I31-F31</f>
        <v/>
      </c>
      <c r="K31" s="17">
        <f>H31-I31</f>
        <v/>
      </c>
      <c r="L31" s="17" t="n">
        <v>0.008999999999999999</v>
      </c>
      <c r="M31" s="17" t="n">
        <v>0.005</v>
      </c>
      <c r="N31" s="17" t="n">
        <v>0.008</v>
      </c>
      <c r="O31" s="17" t="n">
        <v>0.002</v>
      </c>
      <c r="P31" s="17" t="n">
        <v>0.004</v>
      </c>
      <c r="Q31" s="17" t="n"/>
      <c r="R31" s="17">
        <f>L31*J31</f>
        <v/>
      </c>
      <c r="S31" s="17">
        <f>M31*J31</f>
        <v/>
      </c>
      <c r="T31" s="17">
        <f>N31*J31</f>
        <v/>
      </c>
      <c r="U31" s="17">
        <f>O31*J31</f>
        <v/>
      </c>
      <c r="V31" s="19">
        <f>P31*J31</f>
        <v/>
      </c>
    </row>
    <row r="32" ht="13.5" customHeight="1">
      <c r="A32" s="16" t="n">
        <v>800019</v>
      </c>
      <c r="B32" s="17" t="inlineStr">
        <is>
          <t xml:space="preserve">PI_GAS      </t>
        </is>
      </c>
      <c r="C32" s="17" t="n">
        <v>13.8</v>
      </c>
      <c r="D32" s="17" t="n">
        <v>1</v>
      </c>
      <c r="E32" s="17" t="n">
        <v>1633</v>
      </c>
      <c r="F32" s="17" t="n">
        <v>50</v>
      </c>
      <c r="G32" s="17" t="n">
        <v>0</v>
      </c>
      <c r="H32" s="17" t="n">
        <v>75</v>
      </c>
      <c r="I32" s="18" t="n">
        <v>50</v>
      </c>
      <c r="J32" s="17">
        <f>I32-F32</f>
        <v/>
      </c>
      <c r="K32" s="17">
        <f>H32-I32</f>
        <v/>
      </c>
      <c r="L32" s="17" t="n">
        <v>0.007</v>
      </c>
      <c r="M32" s="17" t="n">
        <v>0.004</v>
      </c>
      <c r="N32" s="17" t="n">
        <v>0.006</v>
      </c>
      <c r="O32" s="17" t="n">
        <v>0.002</v>
      </c>
      <c r="P32" s="17" t="n">
        <v>0.003</v>
      </c>
      <c r="Q32" s="17" t="n"/>
      <c r="R32" s="17">
        <f>L32*J32</f>
        <v/>
      </c>
      <c r="S32" s="17">
        <f>M32*J32</f>
        <v/>
      </c>
      <c r="T32" s="17">
        <f>N32*J32</f>
        <v/>
      </c>
      <c r="U32" s="17">
        <f>O32*J32</f>
        <v/>
      </c>
      <c r="V32" s="19">
        <f>P32*J32</f>
        <v/>
      </c>
    </row>
    <row r="33" ht="13.5" customHeight="1">
      <c r="A33" s="16" t="n">
        <v>800020</v>
      </c>
      <c r="B33" s="17" t="inlineStr">
        <is>
          <t xml:space="preserve">RHO_HYDRO   </t>
        </is>
      </c>
      <c r="C33" s="17" t="n">
        <v>13.8</v>
      </c>
      <c r="D33" s="17" t="n">
        <v>1</v>
      </c>
      <c r="E33" s="17" t="n">
        <v>1634</v>
      </c>
      <c r="F33" s="17" t="n">
        <v>30</v>
      </c>
      <c r="G33" s="17" t="n">
        <v>0</v>
      </c>
      <c r="H33" s="17" t="n">
        <v>45</v>
      </c>
      <c r="I33" s="18" t="n">
        <v>30</v>
      </c>
      <c r="J33" s="17">
        <f>I33-F33</f>
        <v/>
      </c>
      <c r="K33" s="17">
        <f>H33-I33</f>
        <v/>
      </c>
      <c r="L33" s="17" t="n">
        <v>0.005</v>
      </c>
      <c r="M33" s="17" t="n">
        <v>0.003</v>
      </c>
      <c r="N33" s="17" t="n">
        <v>0.005</v>
      </c>
      <c r="O33" s="17" t="n">
        <v>0.001</v>
      </c>
      <c r="P33" s="17" t="n">
        <v>0.002</v>
      </c>
      <c r="Q33" s="17" t="n"/>
      <c r="R33" s="17">
        <f>L33*J33</f>
        <v/>
      </c>
      <c r="S33" s="17">
        <f>M33*J33</f>
        <v/>
      </c>
      <c r="T33" s="17">
        <f>N33*J33</f>
        <v/>
      </c>
      <c r="U33" s="17">
        <f>O33*J33</f>
        <v/>
      </c>
      <c r="V33" s="19">
        <f>P33*J33</f>
        <v/>
      </c>
    </row>
    <row r="34" ht="13.5" customHeight="1">
      <c r="A34" s="16" t="n">
        <v>999901</v>
      </c>
      <c r="B34" s="17" t="inlineStr">
        <is>
          <t xml:space="preserve">SEABROOK_G1 </t>
        </is>
      </c>
      <c r="C34" s="17" t="n">
        <v>22</v>
      </c>
      <c r="D34" s="17" t="n">
        <v>1</v>
      </c>
      <c r="E34" s="17" t="n">
        <v>4000</v>
      </c>
      <c r="F34" s="17" t="n">
        <v>1200</v>
      </c>
      <c r="G34" s="17" t="n">
        <v>0</v>
      </c>
      <c r="H34" s="17" t="n">
        <v>1200</v>
      </c>
      <c r="I34" s="18" t="n">
        <v>1200</v>
      </c>
      <c r="J34" s="17">
        <f>I34-F34</f>
        <v/>
      </c>
      <c r="K34" s="17">
        <f>H34-I34</f>
        <v/>
      </c>
      <c r="L34" s="17" t="n">
        <v>-0.03</v>
      </c>
      <c r="M34" s="17" t="n">
        <v>-0.017</v>
      </c>
      <c r="N34" s="17" t="n">
        <v>-0.027</v>
      </c>
      <c r="O34" s="17" t="n">
        <v>-0.007</v>
      </c>
      <c r="P34" s="17" t="n">
        <v>-0.012</v>
      </c>
      <c r="Q34" s="17" t="n"/>
      <c r="R34" s="17">
        <f>L34*J34</f>
        <v/>
      </c>
      <c r="S34" s="17">
        <f>M34*J34</f>
        <v/>
      </c>
      <c r="T34" s="17">
        <f>N34*J34</f>
        <v/>
      </c>
      <c r="U34" s="17">
        <f>O34*J34</f>
        <v/>
      </c>
      <c r="V34" s="19">
        <f>P34*J34</f>
        <v/>
      </c>
    </row>
    <row r="35" ht="13.5" customHeight="1">
      <c r="A35" s="20" t="n">
        <v>999902</v>
      </c>
      <c r="B35" s="21" t="inlineStr">
        <is>
          <t xml:space="preserve">NYPA_IMPORT </t>
        </is>
      </c>
      <c r="C35" s="21" t="n">
        <v>345</v>
      </c>
      <c r="D35" s="21" t="n">
        <v>1</v>
      </c>
      <c r="E35" s="21" t="n">
        <v>4000</v>
      </c>
      <c r="F35" s="21" t="n">
        <v>500</v>
      </c>
      <c r="G35" s="21" t="n">
        <v>0</v>
      </c>
      <c r="H35" s="21" t="n">
        <v>600</v>
      </c>
      <c r="I35" s="22" t="n">
        <v>500</v>
      </c>
      <c r="J35" s="21">
        <f>I35-F35</f>
        <v/>
      </c>
      <c r="K35" s="21">
        <f>H35-I35</f>
        <v/>
      </c>
      <c r="L35" s="21" t="n">
        <v>-0.065</v>
      </c>
      <c r="M35" s="21" t="n">
        <v>-0.037</v>
      </c>
      <c r="N35" s="21" t="n">
        <v>-0.058</v>
      </c>
      <c r="O35" s="21" t="n">
        <v>-0.016</v>
      </c>
      <c r="P35" s="21" t="n">
        <v>-0.027</v>
      </c>
      <c r="Q35" s="21" t="n"/>
      <c r="R35" s="21">
        <f>L35*J35</f>
        <v/>
      </c>
      <c r="S35" s="21">
        <f>M35*J35</f>
        <v/>
      </c>
      <c r="T35" s="21">
        <f>N35*J35</f>
        <v/>
      </c>
      <c r="U35" s="21">
        <f>O35*J35</f>
        <v/>
      </c>
      <c r="V35" s="23">
        <f>P35*J35</f>
        <v/>
      </c>
    </row>
  </sheetData>
  <autoFilter ref="A13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2026-05-02T20:14:13Z</dcterms:created>
  <dcterms:modified xsi:type="dcterms:W3CDTF">2026-05-02T20:14:13Z</dcterms:modified>
</cp:coreProperties>
</file>